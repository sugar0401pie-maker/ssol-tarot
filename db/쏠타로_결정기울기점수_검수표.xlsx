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읽어주세요" sheetId="1" state="visible" r:id="rId3"/>
    <sheet name="질문 유형" sheetId="2" state="visible" r:id="rId4"/>
    <sheet name="기울기점수" sheetId="3" state="visible" r:id="rId5"/>
    <sheet name="계산 예시" sheetId="4" state="visible" r:id="rId6"/>
    <sheet name="재회점수" sheetId="5" state="visible" r:id="rId7"/>
    <sheet name="재회 사례" sheetId="6" state="visible" r:id="rId8"/>
    <sheet name="관계형 점수" sheetId="7" state="visible" r:id="rId9"/>
    <sheet name="변화형 점수" sheetId="8" state="visible" r:id="rId10"/>
    <sheet name="표현·경계 점수" sheetId="9" state="visible" r:id="rId11"/>
    <sheet name="바꾼 카드(v2)" sheetId="10" state="visible" r:id="rId12"/>
    <sheet name="유형 비교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<sst xmlns="http://schemas.openxmlformats.org/spreadsheetml/2006/main" count="2440" uniqueCount="1161">
  <si>
    <t xml:space="preserve">쏠 타로 — 결정형 고민 '기울기 점수' 검수표</t>
  </si>
  <si>
    <t xml:space="preserve">무엇: 카드 22장 × 정·역방향 44개에 질문 유형별로 '움직이는 쪽(+) / 머무는 쪽(−)' 점수를 매겨, 결정형 고민(이직할까·연락할까 등)의 방향을 계산합니다. AI는 이 결론을 바꾸지 못하고 이유만 씁니다.</t>
  </si>
  <si>
    <t xml:space="preserve">점수: +2 움직이는 쪽 강하게 / +1 움직이는 쪽 / −1 머무는 쪽 / −2 머무는 쪽 강하게 (0은 쓰지 않음 — 모든 카드가 어느 쪽이든 기울어야 함)</t>
  </si>
  <si>
    <t xml:space="preserve">계산(v2): 지나온 길 점수×1 + 지금의 흐름 점수×1 + 앞으로의 열쇠 점수×2 → 합이 0 이상이면 움직이는 쪽(0도 움직이는 쪽), 0보다 작으면 머무는 쪽. 기준값(평균)은 빼지 않습니다.</t>
  </si>
  <si>
    <r>
      <rPr>
        <sz val="11"/>
        <rFont val="Arial"/>
        <family val="0"/>
        <charset val="1"/>
      </rPr>
      <t xml:space="preserve">v2 </t>
    </r>
    <r>
      <rPr>
        <sz val="11"/>
        <rFont val="Noto Sans CJK SC"/>
        <family val="2"/>
      </rPr>
      <t xml:space="preserve">변경</t>
    </r>
    <r>
      <rPr>
        <sz val="11"/>
        <rFont val="Arial"/>
        <family val="0"/>
        <charset val="1"/>
      </rPr>
      <t xml:space="preserve">: </t>
    </r>
    <r>
      <rPr>
        <sz val="11"/>
        <rFont val="Noto Sans CJK SC"/>
        <family val="2"/>
      </rPr>
      <t xml:space="preserve">행동을 제안하는 서비스라 결론이 </t>
    </r>
    <r>
      <rPr>
        <sz val="11"/>
        <rFont val="Arial"/>
        <family val="0"/>
        <charset val="1"/>
      </rPr>
      <t xml:space="preserve">'</t>
    </r>
    <r>
      <rPr>
        <sz val="11"/>
        <rFont val="Noto Sans CJK SC"/>
        <family val="2"/>
      </rPr>
      <t xml:space="preserve">움직이는 쪽</t>
    </r>
    <r>
      <rPr>
        <sz val="11"/>
        <rFont val="Arial"/>
        <family val="0"/>
        <charset val="1"/>
      </rPr>
      <t xml:space="preserve">'</t>
    </r>
    <r>
      <rPr>
        <sz val="11"/>
        <rFont val="Noto Sans CJK SC"/>
        <family val="2"/>
      </rPr>
      <t xml:space="preserve">으로 더 자주 나오도록</t>
    </r>
    <r>
      <rPr>
        <sz val="11"/>
        <rFont val="Arial"/>
        <family val="0"/>
        <charset val="1"/>
      </rPr>
      <t xml:space="preserve">, 8</t>
    </r>
    <r>
      <rPr>
        <sz val="11"/>
        <rFont val="Noto Sans CJK SC"/>
        <family val="2"/>
      </rPr>
      <t xml:space="preserve">개 점수표마다 </t>
    </r>
    <r>
      <rPr>
        <sz val="11"/>
        <rFont val="Arial"/>
        <family val="0"/>
        <charset val="1"/>
      </rPr>
      <t xml:space="preserve">+ </t>
    </r>
    <r>
      <rPr>
        <sz val="11"/>
        <rFont val="Noto Sans CJK SC"/>
        <family val="2"/>
      </rPr>
      <t xml:space="preserve">카드를 </t>
    </r>
    <r>
      <rPr>
        <sz val="11"/>
        <rFont val="Arial"/>
        <family val="0"/>
        <charset val="1"/>
      </rPr>
      <t xml:space="preserve">26</t>
    </r>
    <r>
      <rPr>
        <sz val="11"/>
        <rFont val="Noto Sans CJK SC"/>
        <family val="2"/>
      </rPr>
      <t xml:space="preserve">개</t>
    </r>
    <r>
      <rPr>
        <sz val="11"/>
        <rFont val="Arial"/>
        <family val="0"/>
        <charset val="1"/>
      </rPr>
      <t xml:space="preserve">(44</t>
    </r>
    <r>
      <rPr>
        <sz val="11"/>
        <rFont val="Noto Sans CJK SC"/>
        <family val="2"/>
      </rPr>
      <t xml:space="preserve">개 중</t>
    </r>
    <r>
      <rPr>
        <sz val="11"/>
        <rFont val="Arial"/>
        <family val="0"/>
        <charset val="1"/>
      </rPr>
      <t xml:space="preserve">)</t>
    </r>
    <r>
      <rPr>
        <sz val="11"/>
        <rFont val="Noto Sans CJK SC"/>
        <family val="2"/>
      </rPr>
      <t xml:space="preserve">로 맞췄습니다</t>
    </r>
    <r>
      <rPr>
        <sz val="11"/>
        <rFont val="Arial"/>
        <family val="0"/>
        <charset val="1"/>
      </rPr>
      <t xml:space="preserve">. </t>
    </r>
    <r>
      <rPr>
        <sz val="11"/>
        <rFont val="Noto Sans CJK SC"/>
        <family val="2"/>
      </rPr>
      <t xml:space="preserve">바꾼 카드는 </t>
    </r>
    <r>
      <rPr>
        <sz val="11"/>
        <rFont val="Arial"/>
        <family val="0"/>
        <charset val="1"/>
      </rPr>
      <t xml:space="preserve">'</t>
    </r>
    <r>
      <rPr>
        <sz val="11"/>
        <rFont val="Noto Sans CJK SC"/>
        <family val="2"/>
      </rPr>
      <t xml:space="preserve">바꾼 카드</t>
    </r>
    <r>
      <rPr>
        <sz val="11"/>
        <rFont val="Arial"/>
        <family val="0"/>
        <charset val="1"/>
      </rPr>
      <t xml:space="preserve">(v2)' </t>
    </r>
    <r>
      <rPr>
        <sz val="11"/>
        <rFont val="Noto Sans CJK SC"/>
        <family val="2"/>
      </rPr>
      <t xml:space="preserve">시트와 각 점수표의 연두색 칸에 있습니다</t>
    </r>
    <r>
      <rPr>
        <sz val="11"/>
        <rFont val="Arial"/>
        <family val="0"/>
        <charset val="1"/>
      </rPr>
      <t xml:space="preserve">. </t>
    </r>
    <r>
      <rPr>
        <sz val="11"/>
        <rFont val="Noto Sans CJK SC"/>
        <family val="2"/>
      </rPr>
      <t xml:space="preserve">결과</t>
    </r>
    <r>
      <rPr>
        <sz val="11"/>
        <rFont val="Arial"/>
        <family val="0"/>
        <charset val="1"/>
      </rPr>
      <t xml:space="preserve">: </t>
    </r>
    <r>
      <rPr>
        <sz val="11"/>
        <rFont val="Noto Sans CJK SC"/>
        <family val="2"/>
      </rPr>
      <t xml:space="preserve">표마다 움직이는 쪽 결론 </t>
    </r>
    <r>
      <rPr>
        <sz val="11"/>
        <rFont val="Arial"/>
        <family val="0"/>
        <charset val="1"/>
      </rPr>
      <t xml:space="preserve">63~67%.</t>
    </r>
  </si>
  <si>
    <t xml:space="preserve">강도: |점수| 3 이상 '뚜렷해요', 1.5 이상 '분명해요', 그 아래 '조금 더 커요' — '계산 예시' 시트의 노란 칸에서 바꿀 수 있음</t>
  </si>
  <si>
    <t xml:space="preserve">검수하는 법</t>
  </si>
  <si>
    <r>
      <rPr>
        <sz val="11"/>
        <rFont val="Arial"/>
        <family val="0"/>
        <charset val="1"/>
      </rPr>
      <t xml:space="preserve">1) '</t>
    </r>
    <r>
      <rPr>
        <sz val="11"/>
        <rFont val="Noto Sans CJK SC"/>
        <family val="2"/>
      </rPr>
      <t xml:space="preserve">기울기점수</t>
    </r>
    <r>
      <rPr>
        <sz val="11"/>
        <rFont val="Arial"/>
        <family val="0"/>
        <charset val="1"/>
      </rPr>
      <t xml:space="preserve">' </t>
    </r>
    <r>
      <rPr>
        <sz val="11"/>
        <rFont val="Noto Sans CJK SC"/>
        <family val="2"/>
      </rPr>
      <t xml:space="preserve">시트의 노란 칸 </t>
    </r>
    <r>
      <rPr>
        <sz val="11"/>
        <rFont val="Arial"/>
        <family val="0"/>
        <charset val="1"/>
      </rPr>
      <t xml:space="preserve">'</t>
    </r>
    <r>
      <rPr>
        <sz val="11"/>
        <rFont val="Noto Sans CJK SC"/>
        <family val="2"/>
      </rPr>
      <t xml:space="preserve">확정 점수</t>
    </r>
    <r>
      <rPr>
        <sz val="11"/>
        <rFont val="Arial"/>
        <family val="0"/>
        <charset val="1"/>
      </rPr>
      <t xml:space="preserve">'</t>
    </r>
    <r>
      <rPr>
        <sz val="11"/>
        <rFont val="Noto Sans CJK SC"/>
        <family val="2"/>
      </rPr>
      <t xml:space="preserve">에 −</t>
    </r>
    <r>
      <rPr>
        <sz val="11"/>
        <rFont val="Arial"/>
        <family val="0"/>
        <charset val="1"/>
      </rPr>
      <t xml:space="preserve">2·−1·+1·+2 </t>
    </r>
    <r>
      <rPr>
        <sz val="11"/>
        <rFont val="Noto Sans CJK SC"/>
        <family val="2"/>
      </rPr>
      <t xml:space="preserve">중 하나를 넣습니다</t>
    </r>
    <r>
      <rPr>
        <sz val="11"/>
        <rFont val="Arial"/>
        <family val="0"/>
        <charset val="1"/>
      </rPr>
      <t xml:space="preserve">. </t>
    </r>
    <r>
      <rPr>
        <sz val="11"/>
        <rFont val="Noto Sans CJK SC"/>
        <family val="2"/>
      </rPr>
      <t xml:space="preserve">비워 두면 초안 점수가 쓰입니다</t>
    </r>
    <r>
      <rPr>
        <sz val="11"/>
        <rFont val="Arial"/>
        <family val="0"/>
        <charset val="1"/>
      </rPr>
      <t xml:space="preserve">.</t>
    </r>
  </si>
  <si>
    <r>
      <rPr>
        <sz val="11"/>
        <rFont val="Arial"/>
        <family val="0"/>
        <charset val="1"/>
      </rPr>
      <t xml:space="preserve">2) '</t>
    </r>
    <r>
      <rPr>
        <sz val="11"/>
        <rFont val="Noto Sans CJK SC"/>
        <family val="2"/>
      </rPr>
      <t xml:space="preserve">전통과 다름</t>
    </r>
    <r>
      <rPr>
        <sz val="11"/>
        <rFont val="Arial"/>
        <family val="0"/>
        <charset val="1"/>
      </rPr>
      <t xml:space="preserve">' </t>
    </r>
    <r>
      <rPr>
        <sz val="11"/>
        <rFont val="Noto Sans CJK SC"/>
        <family val="2"/>
      </rPr>
      <t xml:space="preserve">열에 ●가 있는 줄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초안 점수와 일반적인 예</t>
    </r>
    <r>
      <rPr>
        <sz val="11"/>
        <rFont val="Arial"/>
        <family val="0"/>
        <charset val="1"/>
      </rPr>
      <t xml:space="preserve">/</t>
    </r>
    <r>
      <rPr>
        <sz val="11"/>
        <rFont val="Noto Sans CJK SC"/>
        <family val="2"/>
      </rPr>
      <t xml:space="preserve">아니오 해석이 반대</t>
    </r>
    <r>
      <rPr>
        <sz val="11"/>
        <rFont val="Arial"/>
        <family val="0"/>
        <charset val="1"/>
      </rPr>
      <t xml:space="preserve">)</t>
    </r>
    <r>
      <rPr>
        <sz val="11"/>
        <rFont val="Noto Sans CJK SC"/>
        <family val="2"/>
      </rPr>
      <t xml:space="preserve">부터 먼저 봐 주세요</t>
    </r>
    <r>
      <rPr>
        <sz val="11"/>
        <rFont val="Arial"/>
        <family val="0"/>
        <charset val="1"/>
      </rPr>
      <t xml:space="preserve">. </t>
    </r>
    <r>
      <rPr>
        <sz val="11"/>
        <rFont val="Noto Sans CJK SC"/>
        <family val="2"/>
      </rPr>
      <t xml:space="preserve">결론을 가장 많이 바꾸는 카드들입니다</t>
    </r>
    <r>
      <rPr>
        <sz val="11"/>
        <rFont val="Arial"/>
        <family val="0"/>
        <charset val="1"/>
      </rPr>
      <t xml:space="preserve">.</t>
    </r>
  </si>
  <si>
    <r>
      <rPr>
        <sz val="11"/>
        <rFont val="Arial"/>
        <family val="0"/>
        <charset val="1"/>
      </rPr>
      <t xml:space="preserve">3) '</t>
    </r>
    <r>
      <rPr>
        <sz val="11"/>
        <rFont val="Noto Sans CJK SC"/>
        <family val="2"/>
      </rPr>
      <t xml:space="preserve">계산 예시</t>
    </r>
    <r>
      <rPr>
        <sz val="11"/>
        <rFont val="Arial"/>
        <family val="0"/>
        <charset val="1"/>
      </rPr>
      <t xml:space="preserve">' </t>
    </r>
    <r>
      <rPr>
        <sz val="11"/>
        <rFont val="Noto Sans CJK SC"/>
        <family val="2"/>
      </rPr>
      <t xml:space="preserve">시트에서 도현님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이직 제안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이직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퇴사 표</t>
    </r>
    <r>
      <rPr>
        <sz val="11"/>
        <rFont val="Arial"/>
        <family val="0"/>
        <charset val="1"/>
      </rPr>
      <t xml:space="preserve">) </t>
    </r>
    <r>
      <rPr>
        <sz val="11"/>
        <rFont val="Noto Sans CJK SC"/>
        <family val="2"/>
      </rPr>
      <t xml:space="preserve">등 예시 세 건의 결론이 바로 다시 계산됩니다</t>
    </r>
    <r>
      <rPr>
        <sz val="11"/>
        <rFont val="Arial"/>
        <family val="0"/>
        <charset val="1"/>
      </rPr>
      <t xml:space="preserve">.</t>
    </r>
  </si>
  <si>
    <r>
      <rPr>
        <sz val="11"/>
        <rFont val="Arial"/>
        <family val="0"/>
        <charset val="1"/>
      </rPr>
      <t xml:space="preserve">4) </t>
    </r>
    <r>
      <rPr>
        <sz val="11"/>
        <rFont val="Noto Sans CJK SC"/>
        <family val="2"/>
      </rPr>
      <t xml:space="preserve">메모 칸에 이유를 적어 주세요</t>
    </r>
    <r>
      <rPr>
        <sz val="11"/>
        <rFont val="Arial"/>
        <family val="0"/>
        <charset val="1"/>
      </rPr>
      <t xml:space="preserve">. '</t>
    </r>
    <r>
      <rPr>
        <sz val="11"/>
        <rFont val="Noto Sans CJK SC"/>
        <family val="2"/>
      </rPr>
      <t xml:space="preserve">이유</t>
    </r>
    <r>
      <rPr>
        <sz val="11"/>
        <rFont val="Arial"/>
        <family val="0"/>
        <charset val="1"/>
      </rPr>
      <t xml:space="preserve">' </t>
    </r>
    <r>
      <rPr>
        <sz val="11"/>
        <rFont val="Noto Sans CJK SC"/>
        <family val="2"/>
      </rPr>
      <t xml:space="preserve">열의 문장은 결과 화면에 나오므로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원래 타로 이름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여사제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절제 등</t>
    </r>
    <r>
      <rPr>
        <sz val="11"/>
        <rFont val="Arial"/>
        <family val="0"/>
        <charset val="1"/>
      </rPr>
      <t xml:space="preserve">) </t>
    </r>
    <r>
      <rPr>
        <sz val="11"/>
        <rFont val="Noto Sans CJK SC"/>
        <family val="2"/>
      </rPr>
      <t xml:space="preserve">대신 우리 카드 말로 다시 쓸 예정입니다</t>
    </r>
    <r>
      <rPr>
        <sz val="11"/>
        <rFont val="Arial"/>
        <family val="0"/>
        <charset val="1"/>
      </rPr>
      <t xml:space="preserve">.</t>
    </r>
  </si>
  <si>
    <t xml:space="preserve">참고: '전통 예/아니오'는 일반적인 예/아니오 타로 해석을 정리한 참고값으로, 해석하는 사람마다 다를 수 있습니다. '초안 점수'는 이 덱의 쏠 해석(결정 렌즈)을 따라 매긴 Claude 초안입니다.</t>
  </si>
  <si>
    <t xml:space="preserve">변화형은 세 가지(이직·퇴사 / 시작·도전 / 이사·독립)로 나눠 둡니다(CSO 확정). 돈·투자·큰 지출은 '시작·도전' 표로 계산하되, 결과 화면에 작은 글씨 안내를 붙입니다('질문 유형' 시트 참고).</t>
  </si>
  <si>
    <r>
      <rPr>
        <i val="true"/>
        <sz val="11"/>
        <color rgb="FF666666"/>
        <rFont val="Arial"/>
        <family val="0"/>
        <charset val="1"/>
      </rPr>
      <t xml:space="preserve">'</t>
    </r>
    <r>
      <rPr>
        <i val="true"/>
        <sz val="11"/>
        <color rgb="FF666666"/>
        <rFont val="Noto Sans CJK SC"/>
        <family val="2"/>
      </rPr>
      <t xml:space="preserve">기울기점수</t>
    </r>
    <r>
      <rPr>
        <i val="true"/>
        <sz val="11"/>
        <color rgb="FF666666"/>
        <rFont val="Arial"/>
        <family val="0"/>
        <charset val="1"/>
      </rPr>
      <t xml:space="preserve">' </t>
    </r>
    <r>
      <rPr>
        <i val="true"/>
        <sz val="11"/>
        <color rgb="FF666666"/>
        <rFont val="Noto Sans CJK SC"/>
        <family val="2"/>
      </rPr>
      <t xml:space="preserve">시트</t>
    </r>
    <r>
      <rPr>
        <i val="true"/>
        <sz val="11"/>
        <color rgb="FF666666"/>
        <rFont val="Arial"/>
        <family val="0"/>
        <charset val="1"/>
      </rPr>
      <t xml:space="preserve">(</t>
    </r>
    <r>
      <rPr>
        <i val="true"/>
        <sz val="11"/>
        <color rgb="FF666666"/>
        <rFont val="Noto Sans CJK SC"/>
        <family val="2"/>
      </rPr>
      <t xml:space="preserve">기존 공통표</t>
    </r>
    <r>
      <rPr>
        <i val="true"/>
        <sz val="11"/>
        <color rgb="FF666666"/>
        <rFont val="Arial"/>
        <family val="0"/>
        <charset val="1"/>
      </rPr>
      <t xml:space="preserve">)</t>
    </r>
    <r>
      <rPr>
        <i val="true"/>
        <sz val="11"/>
        <color rgb="FF666666"/>
        <rFont val="Noto Sans CJK SC"/>
        <family val="2"/>
      </rPr>
      <t xml:space="preserve">는 질문 유형별 표로 대체되어 비교용으로만 남깁니다</t>
    </r>
    <r>
      <rPr>
        <i val="true"/>
        <sz val="11"/>
        <color rgb="FF666666"/>
        <rFont val="Arial"/>
        <family val="0"/>
        <charset val="1"/>
      </rPr>
      <t xml:space="preserve">.</t>
    </r>
  </si>
  <si>
    <t xml:space="preserve">결정 질문 유형 — 어떤 점수표로 방향을 계산할지</t>
  </si>
  <si>
    <t xml:space="preserve">유형</t>
  </si>
  <si>
    <t xml:space="preserve">코드</t>
  </si>
  <si>
    <t xml:space="preserve">어떤 질문</t>
  </si>
  <si>
    <r>
      <rPr>
        <b val="true"/>
        <sz val="11"/>
        <color rgb="FFFFFFFF"/>
        <rFont val="Arial"/>
        <family val="0"/>
        <charset val="1"/>
      </rPr>
      <t xml:space="preserve">+ </t>
    </r>
    <r>
      <rPr>
        <b val="true"/>
        <sz val="11"/>
        <color rgb="FFFFFFFF"/>
        <rFont val="Noto Sans CJK SC"/>
        <family val="2"/>
      </rPr>
      <t xml:space="preserve">움직이는 쪽</t>
    </r>
  </si>
  <si>
    <t xml:space="preserve">− 머무는 쪽</t>
  </si>
  <si>
    <t xml:space="preserve">점수표 시트</t>
  </si>
  <si>
    <r>
      <rPr>
        <b val="true"/>
        <sz val="11"/>
        <color rgb="FFFFFFFF"/>
        <rFont val="Arial"/>
        <family val="0"/>
        <charset val="1"/>
      </rPr>
      <t xml:space="preserve">'</t>
    </r>
    <r>
      <rPr>
        <b val="true"/>
        <sz val="11"/>
        <color rgb="FFFFFFFF"/>
        <rFont val="Noto Sans CJK SC"/>
        <family val="2"/>
      </rPr>
      <t xml:space="preserve">움직이는 쪽</t>
    </r>
    <r>
      <rPr>
        <b val="true"/>
        <sz val="11"/>
        <color rgb="FFFFFFFF"/>
        <rFont val="Arial"/>
        <family val="0"/>
        <charset val="1"/>
      </rPr>
      <t xml:space="preserve">' </t>
    </r>
    <r>
      <rPr>
        <b val="true"/>
        <sz val="11"/>
        <color rgb="FFFFFFFF"/>
        <rFont val="Noto Sans CJK SC"/>
        <family val="2"/>
      </rPr>
      <t xml:space="preserve">결론 비율 </t>
    </r>
    <r>
      <rPr>
        <b val="true"/>
        <sz val="11"/>
        <color rgb="FFFFFFFF"/>
        <rFont val="Arial"/>
        <family val="0"/>
        <charset val="1"/>
      </rPr>
      <t xml:space="preserve">v1 → v2</t>
    </r>
  </si>
  <si>
    <r>
      <rPr>
        <b val="true"/>
        <sz val="11"/>
        <color rgb="FFFFFFFF"/>
        <rFont val="Arial"/>
        <family val="0"/>
        <charset val="1"/>
      </rPr>
      <t xml:space="preserve">'</t>
    </r>
    <r>
      <rPr>
        <b val="true"/>
        <sz val="11"/>
        <color rgb="FFFFFFFF"/>
        <rFont val="Noto Sans CJK SC"/>
        <family val="2"/>
      </rPr>
      <t xml:space="preserve">뚜렷</t>
    </r>
    <r>
      <rPr>
        <b val="true"/>
        <sz val="11"/>
        <color rgb="FFFFFFFF"/>
        <rFont val="Arial"/>
        <family val="0"/>
        <charset val="1"/>
      </rPr>
      <t xml:space="preserve">' </t>
    </r>
    <r>
      <rPr>
        <b val="true"/>
        <sz val="11"/>
        <color rgb="FFFFFFFF"/>
        <rFont val="Noto Sans CJK SC"/>
        <family val="2"/>
      </rPr>
      <t xml:space="preserve">비율</t>
    </r>
    <r>
      <rPr>
        <b val="true"/>
        <sz val="11"/>
        <color rgb="FFFFFFFF"/>
        <rFont val="Arial"/>
        <family val="0"/>
        <charset val="1"/>
      </rPr>
      <t xml:space="preserve">(v2)</t>
    </r>
  </si>
  <si>
    <t xml:space="preserve">변화 · 이직·퇴사</t>
  </si>
  <si>
    <t xml:space="preserve">job</t>
  </si>
  <si>
    <t xml:space="preserve">이직 제안 수락, 퇴사, 부서 이동, 승진 제안</t>
  </si>
  <si>
    <t xml:space="preserve">옮기기·그만두기</t>
  </si>
  <si>
    <t xml:space="preserve">지금 자리에 남기</t>
  </si>
  <si>
    <t xml:space="preserve">변화형 점수</t>
  </si>
  <si>
    <t xml:space="preserve">52% → 67%</t>
  </si>
  <si>
    <t xml:space="preserve">변화 · 시작·실행(한다/안 한다)</t>
  </si>
  <si>
    <t xml:space="preserve">start</t>
  </si>
  <si>
    <t xml:space="preserve">창업, 부업, 공부·자격증, 새 프로젝트, 진로 전환 시작</t>
  </si>
  <si>
    <t xml:space="preserve">지금 시작하기</t>
  </si>
  <si>
    <t xml:space="preserve">준비하며 때를 기다리기</t>
  </si>
  <si>
    <t xml:space="preserve">39% → 64%</t>
  </si>
  <si>
    <t xml:space="preserve">변화 · 이사·독립</t>
  </si>
  <si>
    <t xml:space="preserve">move</t>
  </si>
  <si>
    <t xml:space="preserve">이사, 본가에서 독립, 다른 도시·해외로 옮기기</t>
  </si>
  <si>
    <t xml:space="preserve">옮기기·독립하기</t>
  </si>
  <si>
    <t xml:space="preserve">지금 사는 곳 유지하기</t>
  </si>
  <si>
    <t xml:space="preserve">48% → 65%</t>
  </si>
  <si>
    <t xml:space="preserve">관계 · 다가가기</t>
  </si>
  <si>
    <t xml:space="preserve">approach</t>
  </si>
  <si>
    <t xml:space="preserve">진행 중인 썸·연인에게 먼저 연락·표현할까</t>
  </si>
  <si>
    <t xml:space="preserve">먼저 연락·표현하기</t>
  </si>
  <si>
    <t xml:space="preserve">기다리며 지켜보기</t>
  </si>
  <si>
    <t xml:space="preserve">관계형 점수</t>
  </si>
  <si>
    <t xml:space="preserve">51% → 66%</t>
  </si>
  <si>
    <t xml:space="preserve">관계 · 재회</t>
  </si>
  <si>
    <t xml:space="preserve">reunion</t>
  </si>
  <si>
    <t xml:space="preserve">이미 끝난 관계 — 다시 연락할까, 재회될까</t>
  </si>
  <si>
    <t xml:space="preserve">다시 연락·재회 시도</t>
  </si>
  <si>
    <t xml:space="preserve">연락하지 않고 정리하기</t>
  </si>
  <si>
    <t xml:space="preserve">재회점수</t>
  </si>
  <si>
    <t xml:space="preserve">45% → 66%</t>
  </si>
  <si>
    <t xml:space="preserve">관계 · 진전</t>
  </si>
  <si>
    <t xml:space="preserve">progress</t>
  </si>
  <si>
    <t xml:space="preserve">고백·관계 정의·공개·결혼할까</t>
  </si>
  <si>
    <t xml:space="preserve">한 걸음 나아가기</t>
  </si>
  <si>
    <t xml:space="preserve">지금 단계를 유지하며 더 지켜보기</t>
  </si>
  <si>
    <t xml:space="preserve">50% → 63%</t>
  </si>
  <si>
    <t xml:space="preserve">관계 · 지속</t>
  </si>
  <si>
    <t xml:space="preserve">continue</t>
  </si>
  <si>
    <t xml:space="preserve">계속 만날까, 흔들리는 관계(권태·의심)</t>
  </si>
  <si>
    <t xml:space="preserve">이어 가며 회복하기</t>
  </si>
  <si>
    <t xml:space="preserve">이 관계를 다시 생각해 볼 때</t>
  </si>
  <si>
    <t xml:space="preserve">44% → 64%</t>
  </si>
  <si>
    <t xml:space="preserve">관계 · 새 인연</t>
  </si>
  <si>
    <t xml:space="preserve">newlove</t>
  </si>
  <si>
    <t xml:space="preserve">만나 볼까, 새 사람에게 마음을 열까</t>
  </si>
  <si>
    <t xml:space="preserve">만나 보기·마음 열기</t>
  </si>
  <si>
    <t xml:space="preserve">지금은 나에게 집중하기</t>
  </si>
  <si>
    <r>
      <rPr>
        <sz val="11"/>
        <rFont val="Noto Sans CJK SC"/>
        <family val="2"/>
      </rPr>
      <t xml:space="preserve">관계 밖 </t>
    </r>
    <r>
      <rPr>
        <sz val="11"/>
        <rFont val="Arial"/>
        <family val="0"/>
        <charset val="1"/>
      </rPr>
      <t xml:space="preserve">· </t>
    </r>
    <r>
      <rPr>
        <sz val="11"/>
        <rFont val="Noto Sans CJK SC"/>
        <family val="2"/>
      </rPr>
      <t xml:space="preserve">표현</t>
    </r>
  </si>
  <si>
    <t xml:space="preserve">express</t>
  </si>
  <si>
    <r>
      <rPr>
        <sz val="11"/>
        <rFont val="Noto Sans CJK SC"/>
        <family val="2"/>
      </rPr>
      <t xml:space="preserve">친구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가족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직장 사람에게 먼저 말할까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연락할까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다가갈까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외로움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낯선 동네</t>
    </r>
  </si>
  <si>
    <r>
      <rPr>
        <sz val="11"/>
        <rFont val="Noto Sans CJK SC"/>
        <family val="2"/>
      </rPr>
      <t xml:space="preserve">먼저 말하기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연락하기</t>
    </r>
  </si>
  <si>
    <t xml:space="preserve">말 아끼고 지켜보기</t>
  </si>
  <si>
    <r>
      <rPr>
        <sz val="11"/>
        <rFont val="Noto Sans CJK SC"/>
        <family val="2"/>
      </rPr>
      <t xml:space="preserve">표현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경계 점수</t>
    </r>
  </si>
  <si>
    <r>
      <rPr>
        <sz val="11"/>
        <rFont val="Noto Sans CJK SC"/>
        <family val="2"/>
      </rPr>
      <t xml:space="preserve">관계 밖 </t>
    </r>
    <r>
      <rPr>
        <sz val="11"/>
        <rFont val="Arial"/>
        <family val="0"/>
        <charset val="1"/>
      </rPr>
      <t xml:space="preserve">· </t>
    </r>
    <r>
      <rPr>
        <sz val="11"/>
        <rFont val="Noto Sans CJK SC"/>
        <family val="2"/>
      </rPr>
      <t xml:space="preserve">경계</t>
    </r>
  </si>
  <si>
    <t xml:space="preserve">boundary</t>
  </si>
  <si>
    <r>
      <rPr>
        <sz val="11"/>
        <rFont val="Noto Sans CJK SC"/>
        <family val="2"/>
      </rPr>
      <t xml:space="preserve">거절할까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선 그을까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빠질까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내려놓을까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쉴까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지침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쉴 틈 없음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가족의 요구</t>
    </r>
  </si>
  <si>
    <r>
      <rPr>
        <sz val="11"/>
        <rFont val="Noto Sans CJK SC"/>
        <family val="2"/>
      </rPr>
      <t xml:space="preserve">거절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선 긋기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내려놓기</t>
    </r>
  </si>
  <si>
    <r>
      <rPr>
        <sz val="11"/>
        <rFont val="Noto Sans CJK SC"/>
        <family val="2"/>
      </rPr>
      <t xml:space="preserve">지금처럼 맞춰 주기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버티기</t>
    </r>
  </si>
  <si>
    <t xml:space="preserve">연애 세부 유형(qsub 38개) → 점수표</t>
  </si>
  <si>
    <t xml:space="preserve">qsub</t>
  </si>
  <si>
    <t xml:space="preserve">이름</t>
  </si>
  <si>
    <t xml:space="preserve">점수표</t>
  </si>
  <si>
    <t xml:space="preserve">메모(검수)</t>
  </si>
  <si>
    <t xml:space="preserve">YN-TEXT</t>
  </si>
  <si>
    <t xml:space="preserve">먼저 연락(선톡)해도 될까</t>
  </si>
  <si>
    <t xml:space="preserve">YN-STOP</t>
  </si>
  <si>
    <t xml:space="preserve">연락을 그만할까·기다릴까</t>
  </si>
  <si>
    <t xml:space="preserve">OM-REPLY</t>
  </si>
  <si>
    <t xml:space="preserve">읽씹·답장 속도·단답의 의미</t>
  </si>
  <si>
    <t xml:space="preserve">OM-SSUM</t>
  </si>
  <si>
    <t xml:space="preserve">썸인지·호감인지 확인</t>
  </si>
  <si>
    <t xml:space="preserve">OM-HOTCOLD</t>
  </si>
  <si>
    <t xml:space="preserve">온도차·밀당·회피형</t>
  </si>
  <si>
    <t xml:space="preserve">OM-QUIET</t>
  </si>
  <si>
    <t xml:space="preserve">표현 없는 연인의 속마음</t>
  </si>
  <si>
    <t xml:space="preserve">OM-ANGRY</t>
  </si>
  <si>
    <t xml:space="preserve">애인이 왜 화났나·서운해하나</t>
  </si>
  <si>
    <t xml:space="preserve">TM-REPLY</t>
  </si>
  <si>
    <t xml:space="preserve">연락이 언제 올까(썸·싸운 뒤)</t>
  </si>
  <si>
    <t xml:space="preserve">YN-EXCONTACT</t>
  </si>
  <si>
    <t xml:space="preserve">전 애인에게 연락해도 될까</t>
  </si>
  <si>
    <t xml:space="preserve">YN-REUNION</t>
  </si>
  <si>
    <t xml:space="preserve">재회될까·다시 만나도 될까</t>
  </si>
  <si>
    <t xml:space="preserve">TM-EXBACK</t>
  </si>
  <si>
    <t xml:space="preserve">헤어진 사람 연락·재회가 언제</t>
  </si>
  <si>
    <t xml:space="preserve">OM-EXMSG</t>
  </si>
  <si>
    <t xml:space="preserve">전 애인 연락의 의미</t>
  </si>
  <si>
    <t xml:space="preserve">OM-EXMIND</t>
  </si>
  <si>
    <t xml:space="preserve">전 애인이 나를 생각할까·미련</t>
  </si>
  <si>
    <t xml:space="preserve">OM-GHOST</t>
  </si>
  <si>
    <t xml:space="preserve">잠수·고스팅 뒤 이유</t>
  </si>
  <si>
    <t xml:space="preserve">FT-REUNION</t>
  </si>
  <si>
    <t xml:space="preserve">재회운</t>
  </si>
  <si>
    <t xml:space="preserve">YN-CONFESS</t>
  </si>
  <si>
    <t xml:space="preserve">고백할까·관계를 물어볼까</t>
  </si>
  <si>
    <t xml:space="preserve">YN-PUBLIC</t>
  </si>
  <si>
    <t xml:space="preserve">연애를 공개할까·진도</t>
  </si>
  <si>
    <t xml:space="preserve">YN-MARRY</t>
  </si>
  <si>
    <t xml:space="preserve">이 사람과 결혼해도 될까·기다릴까</t>
  </si>
  <si>
    <t xml:space="preserve">TM-OFFICIAL</t>
  </si>
  <si>
    <t xml:space="preserve">썸이 언제 연애가 될까</t>
  </si>
  <si>
    <t xml:space="preserve">TM-MARRY</t>
  </si>
  <si>
    <t xml:space="preserve">결혼·프러포즈는 언제</t>
  </si>
  <si>
    <t xml:space="preserve">OM-DTR</t>
  </si>
  <si>
    <t xml:space="preserve">관계 정의 회피·어장·간보기</t>
  </si>
  <si>
    <t xml:space="preserve">OM-FUTURE</t>
  </si>
  <si>
    <t xml:space="preserve">결혼·미래 생각이 있나</t>
  </si>
  <si>
    <t xml:space="preserve">OM-SINCERE</t>
  </si>
  <si>
    <t xml:space="preserve">진심인지·가벼운 건지</t>
  </si>
  <si>
    <t xml:space="preserve">YN-BREAKUP</t>
  </si>
  <si>
    <t xml:space="preserve">헤어질까 계속 만날까</t>
  </si>
  <si>
    <t xml:space="preserve">YN-CUT</t>
  </si>
  <si>
    <t xml:space="preserve">애매한 관계를 정리·차단할까</t>
  </si>
  <si>
    <t xml:space="preserve">OM-CHEAT</t>
  </si>
  <si>
    <t xml:space="preserve">바람·다른 사람 의심</t>
  </si>
  <si>
    <t xml:space="preserve">OM-COOLING</t>
  </si>
  <si>
    <t xml:space="preserve">연인 마음이 식었나·권태</t>
  </si>
  <si>
    <t xml:space="preserve">TM-SPARK</t>
  </si>
  <si>
    <t xml:space="preserve">권태는 언제 끝나나·설렘은 언제까지</t>
  </si>
  <si>
    <t xml:space="preserve">TM-TRIANGLE</t>
  </si>
  <si>
    <t xml:space="preserve">그 사람이 언제 지금 애인과 헤어질까</t>
  </si>
  <si>
    <t xml:space="preserve">YN-TRY</t>
  </si>
  <si>
    <t xml:space="preserve">만나 볼까(소개팅·나를 좋아하는 사람)</t>
  </si>
  <si>
    <t xml:space="preserve">OM-FIRSTDATE</t>
  </si>
  <si>
    <t xml:space="preserve">소개팅·첫 만남 뒤 호감</t>
  </si>
  <si>
    <t xml:space="preserve">TM-NEWLOVE</t>
  </si>
  <si>
    <t xml:space="preserve">새 인연은 언제 올까</t>
  </si>
  <si>
    <t xml:space="preserve">FT-DESTINY</t>
  </si>
  <si>
    <t xml:space="preserve">인연운·운명의 상대</t>
  </si>
  <si>
    <t xml:space="preserve">FT-PERIOD</t>
  </si>
  <si>
    <t xml:space="preserve">오늘·이번 주·이번 달·올해 연애운</t>
  </si>
  <si>
    <t xml:space="preserve">FT-MATCH</t>
  </si>
  <si>
    <t xml:space="preserve">궁합(별자리·사주·결혼 궁합)</t>
  </si>
  <si>
    <t xml:space="preserve">OM-MYFEEL</t>
  </si>
  <si>
    <t xml:space="preserve">내 감정이 진짜인지(사랑·집착·금사빠)</t>
  </si>
  <si>
    <t xml:space="preserve">방향 계산 안 함(내 마음·회복을 묻는 설명형)</t>
  </si>
  <si>
    <t xml:space="preserve">OM-EXWHY</t>
  </si>
  <si>
    <t xml:space="preserve">지난 관계의 진심·왜 안 됐나</t>
  </si>
  <si>
    <t xml:space="preserve">TM-HEAL</t>
  </si>
  <si>
    <t xml:space="preserve">이별 뒤 언제 괜찮아질까</t>
  </si>
  <si>
    <t xml:space="preserve">커리어·생활 세부 주제 → 점수표</t>
  </si>
  <si>
    <t xml:space="preserve">세부 주제</t>
  </si>
  <si>
    <t xml:space="preserve">이직·퇴사</t>
  </si>
  <si>
    <t xml:space="preserve">직장 안 관계(상사·동료)</t>
  </si>
  <si>
    <t xml:space="preserve">방향 계산 안 함(결정 질문이면 내용에 따라)</t>
  </si>
  <si>
    <t xml:space="preserve">업무량·번아웃</t>
  </si>
  <si>
    <t xml:space="preserve">방향 계산 안 함 — '그만둘까'를 물으면 이직·퇴사</t>
  </si>
  <si>
    <t xml:space="preserve">평가·성과·승진</t>
  </si>
  <si>
    <t xml:space="preserve">승진·이동 제안 수락을 물으면 이직·퇴사</t>
  </si>
  <si>
    <t xml:space="preserve">진로 전환·새 직무</t>
  </si>
  <si>
    <t xml:space="preserve">시작·실행(한다/안 한다)</t>
  </si>
  <si>
    <t xml:space="preserve">창업·부업</t>
  </si>
  <si>
    <t xml:space="preserve">취업 준비</t>
  </si>
  <si>
    <t xml:space="preserve">시작·실행(한다/안 한다)(지원할까·준비를 더 할까)</t>
  </si>
  <si>
    <t xml:space="preserve">이사·독립(생활)</t>
  </si>
  <si>
    <t xml:space="preserve">돈·투자·큰 지출</t>
  </si>
  <si>
    <t xml:space="preserve">변화 · 시작·실행(한다/안 한다) (+ 결과 화면 맨 아래 작은 글씨 안내 — 아래 문구)</t>
  </si>
  <si>
    <t xml:space="preserve">막지 않음(CSO 확정)</t>
  </si>
  <si>
    <t xml:space="preserve">돈·투자·큰 지출 작은 글씨 안내(초안)</t>
  </si>
  <si>
    <t xml:space="preserve">결정적인 판단은 ○○님의 몫이에요. 카드는 금액·조건 같은 세부 내용을 알 수 없어서, 실제 금전 문제에 대한 판단 근거나 기반을 제공하지 않아요. 신중하게 판단해 주세요.</t>
  </si>
  <si>
    <t xml:space="preserve">키</t>
  </si>
  <si>
    <t xml:space="preserve">번호</t>
  </si>
  <si>
    <t xml:space="preserve">카드명</t>
  </si>
  <si>
    <t xml:space="preserve">캐릭터</t>
  </si>
  <si>
    <t xml:space="preserve">원래 타로</t>
  </si>
  <si>
    <t xml:space="preserve">방향</t>
  </si>
  <si>
    <t xml:space="preserve">결정 렌즈(stance)</t>
  </si>
  <si>
    <t xml:space="preserve">초안 점수</t>
  </si>
  <si>
    <t xml:space="preserve">전통 예/아니오(참고)</t>
  </si>
  <si>
    <t xml:space="preserve">전통과 다름</t>
  </si>
  <si>
    <t xml:space="preserve">확정 점수</t>
  </si>
  <si>
    <t xml:space="preserve">적용 점수</t>
  </si>
  <si>
    <t xml:space="preserve">이유(화면에 나옴)</t>
  </si>
  <si>
    <t xml:space="preserve">지지하는 쪽(lean)</t>
  </si>
  <si>
    <t xml:space="preserve">확인 질문</t>
  </si>
  <si>
    <t xml:space="preserve">함정</t>
  </si>
  <si>
    <t xml:space="preserve">메모</t>
  </si>
  <si>
    <t xml:space="preserve">0_up</t>
  </si>
  <si>
    <t xml:space="preserve">첫 물장구</t>
  </si>
  <si>
    <t xml:space="preserve">수달</t>
  </si>
  <si>
    <t xml:space="preserve">바보(The Fool)</t>
  </si>
  <si>
    <t xml:space="preserve">정방향</t>
  </si>
  <si>
    <t xml:space="preserve">움직이기</t>
  </si>
  <si>
    <t xml:space="preserve">예</t>
  </si>
  <si>
    <t xml:space="preserve">전통적으로 바보 정방향은 강한 예라서, 가볍게 첫발을 떼는 쪽을 지지해요.</t>
  </si>
  <si>
    <t xml:space="preserve">익숙한 쪽에 머물기보다, 가볍게 첫걸음을 내딛는 쪽을 지지해요.</t>
  </si>
  <si>
    <t xml:space="preserve">실패해도 해 볼 만하다고 느껴지는 쪽은 어느 쪽인가요?</t>
  </si>
  <si>
    <t xml:space="preserve">설렘만 보고 따져 볼 현실 조건을 건너뛰기 쉬워요</t>
  </si>
  <si>
    <t xml:space="preserve">0_rev</t>
  </si>
  <si>
    <t xml:space="preserve">역방향</t>
  </si>
  <si>
    <t xml:space="preserve">기다리기</t>
  </si>
  <si>
    <t xml:space="preserve">아니오</t>
  </si>
  <si>
    <t xml:space="preserve">역방향 바보는 준비 부족과 망설임의 신호라서, 잠시 멈추고 살피는 쪽을 지지해요.</t>
  </si>
  <si>
    <t xml:space="preserve">아직 준비가 덜 됐다는 신호로 읽혀서, 한 번 더 살펴본 뒤 움직이는 쪽을 지지해요.</t>
  </si>
  <si>
    <t xml:space="preserve">지금 망설이는 이유가 정보 부족인가요, 두려움인가요?</t>
  </si>
  <si>
    <t xml:space="preserve">완벽한 준비를 기다리다 시작을 계속 미루기 쉬워요</t>
  </si>
  <si>
    <t xml:space="preserve">1_up</t>
  </si>
  <si>
    <t xml:space="preserve">여덟 갈래의 손</t>
  </si>
  <si>
    <t xml:space="preserve">문어</t>
  </si>
  <si>
    <t xml:space="preserve">마법사(The Magician)</t>
  </si>
  <si>
    <t xml:space="preserve">마법사 정방향은 능력과 자원이 갖춰진 강한 예라서, 직접 실행하는 쪽을 지지해요.</t>
  </si>
  <si>
    <t xml:space="preserve">가진 능력과 자원이 이미 충분하니, 직접 실행에 옮기는 쪽을 지지해요.</t>
  </si>
  <si>
    <t xml:space="preserve">지금 가진 것만으로 첫 단계를 시작할 수 있나요?</t>
  </si>
  <si>
    <t xml:space="preserve">자신감이 앞서 준비 과정을 통째로 건너뛰기 쉬워요</t>
  </si>
  <si>
    <t xml:space="preserve">1_rev</t>
  </si>
  <si>
    <t xml:space="preserve">조건 바꾸기</t>
  </si>
  <si>
    <t xml:space="preserve">역방향 마법사는 힘이 흩어진 상태라서, 벌이기보다 범위를 줄이는 쪽을 지지해요.</t>
  </si>
  <si>
    <t xml:space="preserve">여러 곳에 힘을 나누기보다, 범위를 줄여 하나에 집중하는 쪽을 지지해요.</t>
  </si>
  <si>
    <t xml:space="preserve">지금 손대는 일 중 가장 아끼고 싶은 한 가지는 무엇인가요?</t>
  </si>
  <si>
    <t xml:space="preserve">다 잘하려다 어느 것도 깊게 하지 못하기 쉬워요</t>
  </si>
  <si>
    <t xml:space="preserve">2_up</t>
  </si>
  <si>
    <t xml:space="preserve">고요히 바라보기</t>
  </si>
  <si>
    <t xml:space="preserve">왜가리</t>
  </si>
  <si>
    <t xml:space="preserve">여사제(The High Priestess)</t>
  </si>
  <si>
    <t xml:space="preserve">보류</t>
  </si>
  <si>
    <t xml:space="preserve">여사제 정방향은 전통적으로 아니오에 가까워서, 서두르지 않고 지켜보는 쪽을 지지해요.</t>
  </si>
  <si>
    <t xml:space="preserve">서둘러 고르기보다, 조용히 지켜보며 속마음이 드러나길 기다리는 쪽을 지지해요.</t>
  </si>
  <si>
    <t xml:space="preserve">아무도 보지 않는다면 어느 쪽에 더 마음이 가나요?</t>
  </si>
  <si>
    <t xml:space="preserve">기다림이 길어져 그냥 피하는 것이 되기 쉬워요</t>
  </si>
  <si>
    <t xml:space="preserve">2_rev</t>
  </si>
  <si>
    <t xml:space="preserve">나 먼저</t>
  </si>
  <si>
    <t xml:space="preserve">역방향 여사제는 속마음을 놓친 상태라서, 결정을 미루고 마음을 듣는 쪽을 지지해요.</t>
  </si>
  <si>
    <t xml:space="preserve">정보를 더 모으기보다, 흐려진 내 직감을 먼저 들여다보는 쪽을 지지해요.</t>
  </si>
  <si>
    <t xml:space="preserve">남의 의견을 빼면 내가 끌리는 쪽은 어디인가요?</t>
  </si>
  <si>
    <t xml:space="preserve">자료를 찾을수록 오히려 더 헷갈리고 흐려지기 쉬워요</t>
  </si>
  <si>
    <t xml:space="preserve">3_up</t>
  </si>
  <si>
    <t xml:space="preserve">품어 주는 품</t>
  </si>
  <si>
    <t xml:space="preserve">해달</t>
  </si>
  <si>
    <t xml:space="preserve">여황제(The Empress)</t>
  </si>
  <si>
    <t xml:space="preserve">머물기</t>
  </si>
  <si>
    <t xml:space="preserve">여황제 정방향은 풍요로운 예지만 이미 가진 것을 키우라는 뜻이라, 머물며 돌보는 쪽을 지지해요.</t>
  </si>
  <si>
    <t xml:space="preserve">지금 자리에서 받을 수 있는 돌봄과 풍요를 충분히 누리는 쪽을 지지해요.</t>
  </si>
  <si>
    <t xml:space="preserve">지금 자리에서 이미 받고 있는 좋은 점은 무엇인가요?</t>
  </si>
  <si>
    <t xml:space="preserve">편안함에 익숙해져 아쉬운 점을 못 본 척하기 쉬워요</t>
  </si>
  <si>
    <t xml:space="preserve">3_rev</t>
  </si>
  <si>
    <t xml:space="preserve">역방향 여황제는 나를 돌보지 못한 신호라서, 움직이기 전에 회복하는 쪽을 지지해요.</t>
  </si>
  <si>
    <t xml:space="preserve">남을 챙기느라 비어 버린 나를 먼저 채운 뒤에 정하는 쪽을 지지해요.</t>
  </si>
  <si>
    <t xml:space="preserve">두 선택 중 내 에너지를 덜 쓰게 하는 쪽은 어디인가요?</t>
  </si>
  <si>
    <t xml:space="preserve">지친 상태에서 내린 선택을 나중에 후회하기 쉬워요</t>
  </si>
  <si>
    <t xml:space="preserve">4_up</t>
  </si>
  <si>
    <t xml:space="preserve">지키는 자리</t>
  </si>
  <si>
    <t xml:space="preserve">펭귄</t>
  </si>
  <si>
    <t xml:space="preserve">황제(The Emperor)</t>
  </si>
  <si>
    <t xml:space="preserve">황제 정방향은 안정과 질서의 예라서, 기반을 지키며 다지는 쪽을 지지해요.</t>
  </si>
  <si>
    <t xml:space="preserve">기반을 단단히 지키고 책임질 수 있는 자리를 다지는 쪽을 지지해요.</t>
  </si>
  <si>
    <t xml:space="preserve">이 자리를 지키면 내가 지켜야 할 것들이 더 안정되나요?</t>
  </si>
  <si>
    <t xml:space="preserve">책임감 때문에 하고 싶은 마음을 뒤로 미루기 쉬워요</t>
  </si>
  <si>
    <t xml:space="preserve">4_rev</t>
  </si>
  <si>
    <t xml:space="preserve">역방향 황제는 통제가 흔들린 상태라서, 구조를 다시 세운 뒤 움직이는 쪽을 지지해요.</t>
  </si>
  <si>
    <t xml:space="preserve">혼자 다 짊어진 틀을 느슨하게 풀고, 역할과 규칙을 바꾸는 쪽을 지지해요.</t>
  </si>
  <si>
    <t xml:space="preserve">내가 쥐고 있는 일 중 나눌 수 있는 것은 무엇인가요?</t>
  </si>
  <si>
    <t xml:space="preserve">통제하려는 마음이 커져 선택지를 좁히기 쉬워요</t>
  </si>
  <si>
    <t xml:space="preserve">5_up</t>
  </si>
  <si>
    <t xml:space="preserve">오래된 지혜</t>
  </si>
  <si>
    <t xml:space="preserve">거북</t>
  </si>
  <si>
    <t xml:space="preserve">교황(The Hierophant)</t>
  </si>
  <si>
    <t xml:space="preserve">교황 정방향은 검증된 방식을 따르라는 예라서, 지금 자리를 지키는 쪽을 지지해요.</t>
  </si>
  <si>
    <t xml:space="preserve">검증된 길과 믿을 만한 사람의 조언을 따라 안정적으로 가는 쪽을 지지해요.</t>
  </si>
  <si>
    <t xml:space="preserve">이 선택에 대해 믿고 물어볼 만한 사람은 누구인가요?</t>
  </si>
  <si>
    <t xml:space="preserve">남이 가 본 길만 따르다 내 기준을 놓치기 쉬워요</t>
  </si>
  <si>
    <t xml:space="preserve">5_rev</t>
  </si>
  <si>
    <t xml:space="preserve">역방향 교황은 관습에서 벗어나라는 신호라서, 나만의 길로 움직이는 쪽을 지지해요.</t>
  </si>
  <si>
    <t xml:space="preserve">기존 틀이 나와 맞지 않는다는 신호로 읽혀, 내 방식대로 가는 쪽을 지지해요.</t>
  </si>
  <si>
    <t xml:space="preserve">정해진 방식을 따를 때 내 마음이 편한가요, 답답한가요?</t>
  </si>
  <si>
    <t xml:space="preserve">틀이 싫다는 이유로 조언까지 한꺼번에 밀어내기 쉬워요</t>
  </si>
  <si>
    <t xml:space="preserve">6_up</t>
  </si>
  <si>
    <t xml:space="preserve">나란히 헤엄</t>
  </si>
  <si>
    <t xml:space="preserve">원앙</t>
  </si>
  <si>
    <t xml:space="preserve">연인(The Lovers)</t>
  </si>
  <si>
    <t xml:space="preserve">연인 정방향은 마음이 일치하는 강한 예라서, 끌리는 쪽으로 다가가는 쪽을 지지해요.</t>
  </si>
  <si>
    <t xml:space="preserve">조건보다 내 가치관과 마음이 맞는 쪽을 골라 가는 선택을 지지해요.</t>
  </si>
  <si>
    <t xml:space="preserve">누구의 기대도 없다면 어느 쪽이 나다운 선택인가요?</t>
  </si>
  <si>
    <t xml:space="preserve">마음이 끌리는 쪽만 보고 현실 조건을 가볍게 넘기기 쉬워요</t>
  </si>
  <si>
    <t xml:space="preserve">6_rev</t>
  </si>
  <si>
    <t xml:space="preserve">역방향 연인은 가치관이 어긋난 신호라서, 선택을 보류하고 기다리는 쪽을 지지해요.</t>
  </si>
  <si>
    <t xml:space="preserve">마음이 엇갈린 채 고르기보다, 내 진짜 기준부터 확인하고 정하는 쪽을 지지해요.</t>
  </si>
  <si>
    <t xml:space="preserve">두 선택에서 각각 내가 포기하기 싫은 것은 무엇인가요?</t>
  </si>
  <si>
    <t xml:space="preserve">확인만 거듭하다 정해야 할 시기를 놓치기 쉬워요</t>
  </si>
  <si>
    <t xml:space="preserve">7_up</t>
  </si>
  <si>
    <t xml:space="preserve">파도를 타는 힘</t>
  </si>
  <si>
    <t xml:space="preserve">돌고래</t>
  </si>
  <si>
    <t xml:space="preserve">전차(The Chariot)</t>
  </si>
  <si>
    <t xml:space="preserve">전차 정방향은 의지와 추진력이 모인 강한 예라서, 밀어붙여 나아가는 쪽을 지지해요.</t>
  </si>
  <si>
    <t xml:space="preserve">방향이 정해졌다면 망설이지 않고 밀고 나가는 쪽을 지지해요.</t>
  </si>
  <si>
    <t xml:space="preserve">내가 가고 싶은 방향을 한 문장으로 말할 수 있나요?</t>
  </si>
  <si>
    <t xml:space="preserve">속도에 취해 중간에 점검할 기회를 놓치기 쉬워요</t>
  </si>
  <si>
    <t xml:space="preserve">7_rev</t>
  </si>
  <si>
    <t xml:space="preserve">역방향 전차는 방향을 잃고 힘이 엇갈린 신호라서, 멈추고 정비하는 쪽을 지지해요.</t>
  </si>
  <si>
    <t xml:space="preserve">서두르기를 멈추고, 방향부터 다시 잡은 뒤 움직이는 쪽을 지지해요.</t>
  </si>
  <si>
    <t xml:space="preserve">지금 빨리 정하려는 이유가 내 마음인가요, 주변 압박인가요?</t>
  </si>
  <si>
    <t xml:space="preserve">조급함에 끌려 눈에 띄는 아무 쪽이나 고르기 쉬워요</t>
  </si>
  <si>
    <t xml:space="preserve">8_up</t>
  </si>
  <si>
    <t xml:space="preserve">진주를 품는 힘</t>
  </si>
  <si>
    <t xml:space="preserve">조개</t>
  </si>
  <si>
    <t xml:space="preserve">힘(Strength)</t>
  </si>
  <si>
    <t xml:space="preserve">힘 정방향은 침착한 인내의 예라서, 서두르지 않고 버티며 다스리는 쪽을 지지해요.</t>
  </si>
  <si>
    <t xml:space="preserve">당장 판을 바꾸기보다, 부드럽게 버티며 내 힘으로 이겨 내는 쪽을 지지해요.</t>
  </si>
  <si>
    <t xml:space="preserve">지금의 어려움이 견딜 만한 정도인가요, 한계에 가까운가요?</t>
  </si>
  <si>
    <t xml:space="preserve">참는 것이 습관이 되어 필요한 도움까지 미루기 쉬워요</t>
  </si>
  <si>
    <t xml:space="preserve">8_rev</t>
  </si>
  <si>
    <t xml:space="preserve">역방향 힘은 자신감이 흔들린 상태라서, 움직이기 전에 나부터 다독이는 쪽을 지지해요.</t>
  </si>
  <si>
    <t xml:space="preserve">더 버티기보다, 지친 나를 먼저 돌보고 도움을 구하는 쪽을 지지해요.</t>
  </si>
  <si>
    <t xml:space="preserve">지금 나를 가장 지치게 하는 것은 어느 쪽 선택인가요?</t>
  </si>
  <si>
    <t xml:space="preserve">괜찮은 척하다 몸과 마음이 먼저 한계에 닿기 쉬워요</t>
  </si>
  <si>
    <t xml:space="preserve">9_up</t>
  </si>
  <si>
    <t xml:space="preserve">나만의 등불</t>
  </si>
  <si>
    <t xml:space="preserve">바다의 노인</t>
  </si>
  <si>
    <t xml:space="preserve">은둔자(The Hermit)</t>
  </si>
  <si>
    <t xml:space="preserve">은둔자 정방향은 전통적으로 아니오라서, 혼자 돌아보며 머무는 쪽을 지지해요.</t>
  </si>
  <si>
    <t xml:space="preserve">주변 소리를 잠시 줄이고, 혼자 충분히 생각한 뒤 정하는 쪽을 지지해요.</t>
  </si>
  <si>
    <t xml:space="preserve">혼자 조용히 생각할 때 계속 떠오르는 쪽은 어디인가요?</t>
  </si>
  <si>
    <t xml:space="preserve">생각만 깊어져 실제로 움직이는 시기가 늦어지기 쉬워요</t>
  </si>
  <si>
    <t xml:space="preserve">9_rev</t>
  </si>
  <si>
    <t xml:space="preserve">역방향 은둔자는 고립이나 회피의 신호라서, 숨 고르며 나를 먼저 살피는 쪽을 지지해요.</t>
  </si>
  <si>
    <t xml:space="preserve">혼자 끌어안고 고민하기보다, 마음을 열고 누군가와 나누는 쪽을 지지해요.</t>
  </si>
  <si>
    <t xml:space="preserve">이 고민을 털어놓을 수 있는 사람이 한 명이라도 있나요?</t>
  </si>
  <si>
    <t xml:space="preserve">외로움 때문에 판단이 한쪽으로 크게 기울기 쉬워요</t>
  </si>
  <si>
    <t xml:space="preserve">10_up</t>
  </si>
  <si>
    <t xml:space="preserve">물살의 순환</t>
  </si>
  <si>
    <t xml:space="preserve">가오리</t>
  </si>
  <si>
    <t xml:space="preserve">운명의 수레바퀴(Wheel of Fortune)</t>
  </si>
  <si>
    <t xml:space="preserve">운명의 수레바퀴 정방향은 흐름이 바뀌는 예라서, 찾아온 기회를 잡는 쪽을 지지해요.</t>
  </si>
  <si>
    <t xml:space="preserve">흐름이 바뀌는 때일 수 있어서, 변화를 받아들이는 쪽을 지지해요.</t>
  </si>
  <si>
    <t xml:space="preserve">최근 상황이 바뀌고 있다고 느끼는 신호가 있나요?</t>
  </si>
  <si>
    <t xml:space="preserve">때가 왔다는 느낌만으로 준비 없이 움직이기 쉬워요</t>
  </si>
  <si>
    <t xml:space="preserve">10_rev</t>
  </si>
  <si>
    <t xml:space="preserve">역방향 수레바퀴는 흐름이 막힌 신호라서, 때가 바뀔 때까지 기다리는 쪽을 지지해요.</t>
  </si>
  <si>
    <t xml:space="preserve">억지로 흐름을 바꾸기보다, 지금 어디서 막혔는지 살펴보는 쪽을 지지해요.</t>
  </si>
  <si>
    <t xml:space="preserve">내가 예전 방식을 붙잡고 있는 부분이 있나요?</t>
  </si>
  <si>
    <t xml:space="preserve">바뀌지 않는 상황을 탓하다 내가 할 수 있는 일을 놓치기 쉬워요</t>
  </si>
  <si>
    <t xml:space="preserve">11_up</t>
  </si>
  <si>
    <t xml:space="preserve">고요한 균형</t>
  </si>
  <si>
    <t xml:space="preserve">백조</t>
  </si>
  <si>
    <t xml:space="preserve">정의(Justice)</t>
  </si>
  <si>
    <t xml:space="preserve">정의 정방향은 공정한 판단의 예라서, 사실을 따져 본 뒤 결정하는 쪽을 지지해요.</t>
  </si>
  <si>
    <t xml:space="preserve">두 선택의 장단점을 같은 기준으로 공정하게 따져 본 뒤 정하는 쪽을 지지해요.</t>
  </si>
  <si>
    <t xml:space="preserve">두 선택의 장단점을 같은 기준으로 적어 보았나요?</t>
  </si>
  <si>
    <t xml:space="preserve">따지는 데 몰두해 마음이 원하는 쪽을 놓치기 쉬워요</t>
  </si>
  <si>
    <t xml:space="preserve">11_rev</t>
  </si>
  <si>
    <t xml:space="preserve">역방향 정의는 판단이 한쪽으로 치우친 신호라서, 결정을 늦추고 다시 보는 쪽을 지지해요.</t>
  </si>
  <si>
    <t xml:space="preserve">계산에 치우치기보다, 나를 탓하는 마음을 내려놓고 다시 공정하게 보는 쪽을 지지해요.</t>
  </si>
  <si>
    <t xml:space="preserve">내 친구가 같은 고민이라면 나는 어떻게 말해 줄까요?</t>
  </si>
  <si>
    <t xml:space="preserve">한쪽 기준만 크게 보고 서둘러 정해 버리기 쉬워요</t>
  </si>
  <si>
    <t xml:space="preserve">12_up</t>
  </si>
  <si>
    <t xml:space="preserve">바위 위의 쉼</t>
  </si>
  <si>
    <t xml:space="preserve">물범</t>
  </si>
  <si>
    <t xml:space="preserve">매달린 사람(The Hanged Man)</t>
  </si>
  <si>
    <t xml:space="preserve">매달린 사람 정방향은 전통적으로 아니오라서, 멈추고 관점을 바꾸는 쪽을 지지해요.</t>
  </si>
  <si>
    <t xml:space="preserve">지금은 움직이기보다 멈추고, 관점을 바꿔 보며 기다리는 쪽을 지지해요.</t>
  </si>
  <si>
    <t xml:space="preserve">상황을 다른 사람 입장에서 보면 무엇이 달라 보이나요?</t>
  </si>
  <si>
    <t xml:space="preserve">기다림이 길어져 아무것도 정하지 못한 채 시간이 흐르기 쉬워요</t>
  </si>
  <si>
    <t xml:space="preserve">12_rev</t>
  </si>
  <si>
    <t xml:space="preserve">역방향 매달린 사람은 정체가 끝나 간다는 신호라서, 이제 움직이는 쪽을 지지해요.</t>
  </si>
  <si>
    <t xml:space="preserve">멈춰 있는 느낌이 계속된다면, 작게라도 움직여 보는 쪽을 지지해요.</t>
  </si>
  <si>
    <t xml:space="preserve">지금 제자리에 멈춘 듯한 느낌이 드는 이유는 무엇인가요?</t>
  </si>
  <si>
    <t xml:space="preserve">답답함에 쫓겨 서둘러 아무 쪽으로나 움직이기 쉬워요</t>
  </si>
  <si>
    <t xml:space="preserve">13_up</t>
  </si>
  <si>
    <t xml:space="preserve">새 집으로 이사</t>
  </si>
  <si>
    <t xml:space="preserve">소라게</t>
  </si>
  <si>
    <t xml:space="preserve">죽음(Death)</t>
  </si>
  <si>
    <t xml:space="preserve">내려놓기</t>
  </si>
  <si>
    <t xml:space="preserve">죽음 정방향은 끝과 전환의 신호라서, 끝난 것을 놓고 떠나는 쪽을 지지해요.</t>
  </si>
  <si>
    <t xml:space="preserve">더 이어 가기보다, 이미 끝난 것을 내려놓고 새로 시작하는 쪽을 지지해요.</t>
  </si>
  <si>
    <t xml:space="preserve">이미 마음이 떠난 것을 아쉬움으로만 붙들고 있지 않나요?</t>
  </si>
  <si>
    <t xml:space="preserve">끝내는 것 자체가 목적이 되어 얻을 것까지 놓치기 쉬워요</t>
  </si>
  <si>
    <t xml:space="preserve">13_rev</t>
  </si>
  <si>
    <t xml:space="preserve">역방향 죽음은 끝을 받아들이지 못한 상태라서, 정리를 기다리며 머무는 쪽을 지지해요.</t>
  </si>
  <si>
    <t xml:space="preserve">내려놓을 준비가 덜 된 만큼, 무엇을 정리할지 먼저 살펴보는 쪽을 지지해요.</t>
  </si>
  <si>
    <t xml:space="preserve">익숙하다는 이유만으로 붙잡고 있는 것은 무엇인가요?</t>
  </si>
  <si>
    <t xml:space="preserve">변화가 두려워 지금이 괜찮다고 스스로 설득하기 쉬워요</t>
  </si>
  <si>
    <t xml:space="preserve">14_up</t>
  </si>
  <si>
    <t xml:space="preserve">물과 뭍 사이</t>
  </si>
  <si>
    <t xml:space="preserve">개구리</t>
  </si>
  <si>
    <t xml:space="preserve">절제(Temperance)</t>
  </si>
  <si>
    <t xml:space="preserve">절제 정방향은 균형과 조율의 예라서, 급히 바꾸기보다 조금씩 맞춰 가는 쪽을 지지해요.</t>
  </si>
  <si>
    <t xml:space="preserve">둘 중 하나를 버리기보다, 조건과 비율을 바꿔 두 쪽의 좋은 점을 함께 가져가는 선택을 지지해요.</t>
  </si>
  <si>
    <t xml:space="preserve">지금 싫은 것이 '이곳'인가요, '이 일'인가요?</t>
  </si>
  <si>
    <t xml:space="preserve">섞으려다 정하는 일 자체를 미루는 핑계가 되기 쉬워요</t>
  </si>
  <si>
    <t xml:space="preserve">14_rev</t>
  </si>
  <si>
    <t xml:space="preserve">역방향 절제는 균형이 무너진 신호라서, 극단을 피하고 속도를 늦추는 쪽을 지지해요.</t>
  </si>
  <si>
    <t xml:space="preserve">한쪽으로 쏠린 지금 비율을 줄이고, 균형을 다시 맞추는 쪽을 지지해요.</t>
  </si>
  <si>
    <t xml:space="preserve">지금 시간과 에너지가 어느 한쪽에 너무 쏠려 있나요?</t>
  </si>
  <si>
    <t xml:space="preserve">극단으로 갈아타며 반대쪽 문제를 새로 만들기 쉬워요</t>
  </si>
  <si>
    <t xml:space="preserve">15_up</t>
  </si>
  <si>
    <t xml:space="preserve">부풀어 오른 마음</t>
  </si>
  <si>
    <t xml:space="preserve">복어</t>
  </si>
  <si>
    <t xml:space="preserve">악마(The Devil)</t>
  </si>
  <si>
    <t xml:space="preserve">악마 정방향은 전통적으로 아니오지만 얽매임을 끊으라는 뜻이라, 벗어나는 쪽을 지지해요.</t>
  </si>
  <si>
    <t xml:space="preserve">나를 묶어 온 습관이나 조건을 알아차리고, 거기서 벗어나는 쪽을 지지해요.</t>
  </si>
  <si>
    <t xml:space="preserve">이 선택을 하는 이유가 두려움 때문인가요, 원해서인가요?</t>
  </si>
  <si>
    <t xml:space="preserve">익숙한 안전함을 이유로 묶임을 편하다고 넘기기 쉬워요</t>
  </si>
  <si>
    <t xml:space="preserve">15_rev</t>
  </si>
  <si>
    <t xml:space="preserve">역방향 악마는 속박에서 풀려나는 신호라서, 과감히 벗어나 움직이는 쪽을 지지해요.</t>
  </si>
  <si>
    <t xml:space="preserve">얽매던 것에서 풀려나는 때라서, 새 방식으로 움직이는 쪽을 지지해요.</t>
  </si>
  <si>
    <t xml:space="preserve">예전엔 못 했지만 지금은 할 수 있게 된 것이 있나요?</t>
  </si>
  <si>
    <t xml:space="preserve">풀려난 기분에 취해 필요한 약속까지 버리기 쉬워요</t>
  </si>
  <si>
    <t xml:space="preserve">16_up</t>
  </si>
  <si>
    <t xml:space="preserve">다시 쌓는 둑</t>
  </si>
  <si>
    <t xml:space="preserve">비버</t>
  </si>
  <si>
    <t xml:space="preserve">탑(The Tower)</t>
  </si>
  <si>
    <t xml:space="preserve">탑 정방향은 전통적으로 아니오이고 무너짐을 뜻해서, 무너진 것을 놓고 나가는 쪽을 지지해요.</t>
  </si>
  <si>
    <t xml:space="preserve">이미 흔들린 것을 붙들기보다, 새 기반을 다시 쌓는 쪽을 지지해요.</t>
  </si>
  <si>
    <t xml:space="preserve">지금 흔들리는 것을 다시 세워도 같은 문제가 남을까요?</t>
  </si>
  <si>
    <t xml:space="preserve">충격이 큰 때에 서둘러 큰 선택을 내리기 쉬워요</t>
  </si>
  <si>
    <t xml:space="preserve">16_rev</t>
  </si>
  <si>
    <t xml:space="preserve">역방향 탑은 충격을 피하거나 미룬 상태라서, 서두르지 않고 상황을 살피는 쪽을 지지해요.</t>
  </si>
  <si>
    <t xml:space="preserve">크게 바꾸기 전에, 아직 무너지지 않은 곳부터 천천히 살피는 쪽을 지지해요.</t>
  </si>
  <si>
    <t xml:space="preserve">다시 흔들릴까 봐 미루고 피하고 있는 일이 있나요?</t>
  </si>
  <si>
    <t xml:space="preserve">또 무너질 걱정에 필요한 정리를 계속 미루기 쉬워요</t>
  </si>
  <si>
    <t xml:space="preserve">17_up</t>
  </si>
  <si>
    <t xml:space="preserve">다시 빛나는 별</t>
  </si>
  <si>
    <t xml:space="preserve">불가사리</t>
  </si>
  <si>
    <t xml:space="preserve">별(The Star)</t>
  </si>
  <si>
    <t xml:space="preserve">별 정방향은 희망과 회복의 강한 예라서, 믿고 앞으로 나아가는 쪽을 지지해요.</t>
  </si>
  <si>
    <t xml:space="preserve">마음이 회복되고 있으니, 희망이 느껴지는 쪽으로 나아가는 선택을 지지해요.</t>
  </si>
  <si>
    <t xml:space="preserve">생각만 해도 기운이 나는 쪽은 어느 쪽인가요?</t>
  </si>
  <si>
    <t xml:space="preserve">희망이 큰 만큼 현실의 속도를 놓치고 앞서가기 쉬워요</t>
  </si>
  <si>
    <t xml:space="preserve">17_rev</t>
  </si>
  <si>
    <t xml:space="preserve">역방향 별은 희망이 흐려진 신호라서, 마음이 회복될 때까지 기다리는 쪽을 지지해요.</t>
  </si>
  <si>
    <t xml:space="preserve">회복이 아직 진행 중이라, 조급해하지 않고 천천히 정하는 쪽을 지지해요.</t>
  </si>
  <si>
    <t xml:space="preserve">지금 서두르는 이유가 회복이 더딘 데 대한 불안인가요?</t>
  </si>
  <si>
    <t xml:space="preserve">실망감에 지금 상황을 실제보다 나쁘게 보기 쉬워요</t>
  </si>
  <si>
    <t xml:space="preserve">18_up</t>
  </si>
  <si>
    <t xml:space="preserve">달빛 아래 떠다니기</t>
  </si>
  <si>
    <t xml:space="preserve">해파리</t>
  </si>
  <si>
    <t xml:space="preserve">달(The Moon)</t>
  </si>
  <si>
    <t xml:space="preserve">달 정방향은 불안과 착각의 아니오라서, 안개가 걷힐 때까지 기다리는 쪽을 지지해요.</t>
  </si>
  <si>
    <t xml:space="preserve">안개가 낀 듯 불확실한 때라서, 정보를 더 모으며 기다리는 쪽을 지지해요.</t>
  </si>
  <si>
    <t xml:space="preserve">아직 모르는 사실 중 알아볼 수 있는 것은 무엇인가요?</t>
  </si>
  <si>
    <t xml:space="preserve">막연한 불안이 실제보다 훨씬 크게 느껴지기 쉬워요</t>
  </si>
  <si>
    <t xml:space="preserve">18_rev</t>
  </si>
  <si>
    <t xml:space="preserve">역방향 달은 안개가 걷히는 신호라서, 분명해진 만큼 움직이는 쪽을 지지해요.</t>
  </si>
  <si>
    <t xml:space="preserve">상황이 또렷해지고 있으니, 확인된 사실을 바탕으로 정하는 쪽을 지지해요.</t>
  </si>
  <si>
    <t xml:space="preserve">이제 알게 된 사실과 아직 모르는 것은 각각 무엇인가요?</t>
  </si>
  <si>
    <t xml:space="preserve">또렷해졌다는 느낌에 남은 의문을 지나치기 쉬워요</t>
  </si>
  <si>
    <t xml:space="preserve">19_up</t>
  </si>
  <si>
    <t xml:space="preserve">햇살 바위</t>
  </si>
  <si>
    <t xml:space="preserve">물개</t>
  </si>
  <si>
    <t xml:space="preserve">태양(The Sun)</t>
  </si>
  <si>
    <t xml:space="preserve">태양 정방향은 밝은 예지만 지금 자리가 이미 좋다는 뜻이라, 지키며 누리는 쪽을 지지해요.</t>
  </si>
  <si>
    <t xml:space="preserve">지금 기쁨과 활력을 주는 자리를 알아보고, 그쪽을 지키는 선택을 지지해요.</t>
  </si>
  <si>
    <t xml:space="preserve">두 선택 중 어느 쪽을 떠올릴 때 저절로 웃음이 나나요?</t>
  </si>
  <si>
    <t xml:space="preserve">당장의 즐거움에 끌려 먼 앞날을 가볍게 보기 쉬워요</t>
  </si>
  <si>
    <t xml:space="preserve">19_rev</t>
  </si>
  <si>
    <t xml:space="preserve">역방향 태양은 기쁨이 가려진 신호라서, 서두르지 않고 나를 먼저 챙기는 쪽을 지지해요.</t>
  </si>
  <si>
    <t xml:space="preserve">기쁨이 가려진 만큼, 먼저 쉬며 즐거움을 되찾은 뒤 정하는 쪽을 지지해요.</t>
  </si>
  <si>
    <t xml:space="preserve">최근에 마음껏 웃거나 즐겼던 때가 언제였나요?</t>
  </si>
  <si>
    <t xml:space="preserve">지친 마음 탓에 어느 선택도 시들하게 보이기 쉬워요</t>
  </si>
  <si>
    <t xml:space="preserve">20_up</t>
  </si>
  <si>
    <t xml:space="preserve">부름에 답하다</t>
  </si>
  <si>
    <t xml:space="preserve">혹등고래</t>
  </si>
  <si>
    <t xml:space="preserve">심판(Judgement)</t>
  </si>
  <si>
    <t xml:space="preserve">심판 정방향은 부름에 응답하는 예라서, 결단하고 새 단계로 나아가는 쪽을 지지해요.</t>
  </si>
  <si>
    <t xml:space="preserve">마음 깊은 곳에서 들리는 바람에 응답하는 쪽을 지지해요.</t>
  </si>
  <si>
    <t xml:space="preserve">오래전부터 마음에 남아 계속 떠오르는 바람이 있나요?</t>
  </si>
  <si>
    <t xml:space="preserve">깨달음이 커서 지금까지 쌓은 것을 가볍게 보기 쉬워요</t>
  </si>
  <si>
    <t xml:space="preserve">20_rev</t>
  </si>
  <si>
    <t xml:space="preserve">역방향 심판은 자기 의심으로 결단이 막힌 상태라서, 다시 정리하고 머무는 쪽을 지지해요.</t>
  </si>
  <si>
    <t xml:space="preserve">높은 기준 때문에 망설이고 있다면, 기준을 낮춰 작게 시도하는 쪽을 지지해요.</t>
  </si>
  <si>
    <t xml:space="preserve">지금 내 기준이 스스로를 막고 있지는 않나요?</t>
  </si>
  <si>
    <t xml:space="preserve">자신을 엄격히 평가하느라 좋은 기회도 지나치기 쉬워요</t>
  </si>
  <si>
    <t xml:space="preserve">21_up</t>
  </si>
  <si>
    <t xml:space="preserve">한 바퀴의 바다</t>
  </si>
  <si>
    <t xml:space="preserve">쏠 바다 친구들 모두</t>
  </si>
  <si>
    <t xml:space="preserve">세계(The World)</t>
  </si>
  <si>
    <t xml:space="preserve">세계 정방향은 완성의 예라서, 한 단계를 마무리하고 다음으로 넘어가는 쪽을 지지해요.</t>
  </si>
  <si>
    <t xml:space="preserve">한 단계를 잘 마무리하고, 다음 단계로 넘어가는 쪽을 지지해요.</t>
  </si>
  <si>
    <t xml:space="preserve">지금 하는 일에서 얻을 것은 충분히 얻었나요?</t>
  </si>
  <si>
    <t xml:space="preserve">다 이루었다는 기분에 안주해 다음 걸음을 미루기 쉬워요</t>
  </si>
  <si>
    <t xml:space="preserve">21_rev</t>
  </si>
  <si>
    <t xml:space="preserve">역방향 세계는 마무리가 덜 된 신호라서, 하던 것을 끝맺으며 머무는 쪽을 지지해요.</t>
  </si>
  <si>
    <t xml:space="preserve">끝내기 전에, 남은 마무리를 먼저 채우는 쪽을 지지해요.</t>
  </si>
  <si>
    <t xml:space="preserve">떠나기 전에 꼭 마무리하고 싶은 일이 남아 있나요?</t>
  </si>
  <si>
    <t xml:space="preserve">완벽하게 끝내려다 마지막 걸음을 계속 미루기 쉬워요</t>
  </si>
  <si>
    <t xml:space="preserve">요약</t>
  </si>
  <si>
    <t xml:space="preserve">기준값(4×평균)</t>
  </si>
  <si>
    <t xml:space="preserve">움직이는 쪽 카드 수</t>
  </si>
  <si>
    <t xml:space="preserve">머무는 쪽 카드 수</t>
  </si>
  <si>
    <t xml:space="preserve">전통과 다른 카드 수</t>
  </si>
  <si>
    <t xml:space="preserve">결론 계산 예시 — 점수표의 확정 점수를 바꾸면 아래 결론이 바로 다시 계산됩니다 (v2: 합 ≥ 0 → 움직이는 쪽)</t>
  </si>
  <si>
    <t xml:space="preserve">설정</t>
  </si>
  <si>
    <t xml:space="preserve">지나온 길 가중치</t>
  </si>
  <si>
    <t xml:space="preserve">지금의 흐름 가중치</t>
  </si>
  <si>
    <t xml:space="preserve">앞으로의 열쇠 가중치</t>
  </si>
  <si>
    <r>
      <rPr>
        <sz val="11"/>
        <rFont val="Arial"/>
        <family val="0"/>
        <charset val="1"/>
      </rPr>
      <t xml:space="preserve">'</t>
    </r>
    <r>
      <rPr>
        <sz val="11"/>
        <rFont val="Noto Sans CJK SC"/>
        <family val="2"/>
      </rPr>
      <t xml:space="preserve">뚜렷해요</t>
    </r>
    <r>
      <rPr>
        <sz val="11"/>
        <rFont val="Arial"/>
        <family val="0"/>
        <charset val="1"/>
      </rPr>
      <t xml:space="preserve">' </t>
    </r>
    <r>
      <rPr>
        <sz val="11"/>
        <rFont val="Noto Sans CJK SC"/>
        <family val="2"/>
      </rPr>
      <t xml:space="preserve">기준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이상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</si>
  <si>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'</t>
    </r>
    <r>
      <rPr>
        <sz val="11"/>
        <rFont val="Noto Sans CJK SC"/>
        <family val="2"/>
      </rPr>
      <t xml:space="preserve">분명해요</t>
    </r>
    <r>
      <rPr>
        <sz val="11"/>
        <rFont val="Arial"/>
        <family val="0"/>
        <charset val="1"/>
      </rPr>
      <t xml:space="preserve">' </t>
    </r>
    <r>
      <rPr>
        <sz val="11"/>
        <rFont val="Noto Sans CJK SC"/>
        <family val="2"/>
      </rPr>
      <t xml:space="preserve">기준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이상</t>
    </r>
    <r>
      <rPr>
        <sz val="11"/>
        <rFont val="Arial"/>
        <family val="0"/>
        <charset val="1"/>
      </rPr>
      <t xml:space="preserve">)</t>
    </r>
  </si>
  <si>
    <t xml:space="preserve">도현 · 이직 제안 → 이직·퇴사 표</t>
  </si>
  <si>
    <t xml:space="preserve">자리</t>
  </si>
  <si>
    <t xml:space="preserve">카드</t>
  </si>
  <si>
    <t xml:space="preserve">가중치</t>
  </si>
  <si>
    <t xml:space="preserve">점수×가중치</t>
  </si>
  <si>
    <t xml:space="preserve">지나온 길</t>
  </si>
  <si>
    <t xml:space="preserve">지금의 흐름</t>
  </si>
  <si>
    <t xml:space="preserve">앞으로의 열쇠</t>
  </si>
  <si>
    <t xml:space="preserve">합계</t>
  </si>
  <si>
    <t xml:space="preserve">결론</t>
  </si>
  <si>
    <t xml:space="preserve">지윤 · 썸 상대 읽씹 → 다가가기 표</t>
  </si>
  <si>
    <t xml:space="preserve">민준 · 주말에도 쉬지 못함(가상 선택: 팀장 역할 내려놓기 / 지금 역할 유지) → 이직·퇴사 표</t>
  </si>
  <si>
    <t xml:space="preserve">키는 노란 칸에서 바꿔 볼 수 있어요(번호_up 또는 번호_rev).</t>
  </si>
  <si>
    <t xml:space="preserve">공통 점수(기울기점수 시트)</t>
  </si>
  <si>
    <t xml:space="preserve">재회 점수 초안</t>
  </si>
  <si>
    <t xml:space="preserve">확정 재회 점수</t>
  </si>
  <si>
    <t xml:space="preserve">적용 재회 점수</t>
  </si>
  <si>
    <t xml:space="preserve">두 점수 방향이 반대</t>
  </si>
  <si>
    <t xml:space="preserve">재회 질문에서의 뜻(초안)</t>
  </si>
  <si>
    <t xml:space="preserve">새로 시작하는 마음으로 지난 인연과 다시 만나 볼 수 있는 카드</t>
  </si>
  <si>
    <t xml:space="preserve">시작이 늦어지는 상태라 아직 움직일 때가 아님</t>
  </si>
  <si>
    <t xml:space="preserve">내가 먼저 움직이면 길을 만들 수 있다는 카드</t>
  </si>
  <si>
    <t xml:space="preserve">엇갈린 말과 행동을 바로잡으면 다시 이어질 수 있는 상태</t>
  </si>
  <si>
    <t xml:space="preserve">속마음을 숨기고 지켜보는 카드라 아직 드러낼 때가 아님</t>
  </si>
  <si>
    <t xml:space="preserve">숨겨 둔 마음이 드러나는 때라 연락의 문이 열림</t>
  </si>
  <si>
    <t xml:space="preserve">정과 돌봄이 남아 있다는 카드</t>
  </si>
  <si>
    <t xml:space="preserve">돌볼 힘이 바닥난 상태라 관계를 다시 품기 어려움</t>
  </si>
  <si>
    <t xml:space="preserve">마음을 굳게 닫고 지키는 카드</t>
  </si>
  <si>
    <t xml:space="preserve">통제가 풀리며 굳었던 마음이 조금씩 열리는 상태</t>
  </si>
  <si>
    <t xml:space="preserve">약속과 관계의 형식을 다시 세우는 카드</t>
  </si>
  <si>
    <t xml:space="preserve">낡은 틀을 깨면 예전 관계도 새롭게 시작할 수 있는 상태</t>
  </si>
  <si>
    <t xml:space="preserve">서로를 다시 고르는 카드</t>
  </si>
  <si>
    <t xml:space="preserve">마음이 어긋나 있는 카드</t>
  </si>
  <si>
    <t xml:space="preserve">내가 먼저 적극적으로 움직이면 닿을 수 있다는 카드</t>
  </si>
  <si>
    <t xml:space="preserve">방향을 잃은 상태라 지금 연락은 엇나가기 쉬움</t>
  </si>
  <si>
    <t xml:space="preserve">인내와 부드러움으로 다시 이어질 수 있다는 카드</t>
  </si>
  <si>
    <t xml:space="preserve">감정이 앞서도 마음을 추스르면 다시 다가가 볼 만한 상태</t>
  </si>
  <si>
    <t xml:space="preserve">각자의 시간이 필요하다는 카드</t>
  </si>
  <si>
    <t xml:space="preserve">혼자 갇혀 있는 상태라 다가갈 힘이 부족함</t>
  </si>
  <si>
    <t xml:space="preserve">인연이 다시 도는 때라는 카드</t>
  </si>
  <si>
    <t xml:space="preserve">흐름이 엇갈리는 때라 시기가 맞지 않음</t>
  </si>
  <si>
    <t xml:space="preserve">지난 관계를 공정하게 정리하라는 카드</t>
  </si>
  <si>
    <t xml:space="preserve">지난 잘잘못이 아직 풀리지 않은 상태</t>
  </si>
  <si>
    <t xml:space="preserve">멈춰서 기다리라는 카드</t>
  </si>
  <si>
    <t xml:space="preserve">멈춰 있던 것이 풀리기 시작하는 때</t>
  </si>
  <si>
    <t xml:space="preserve">관계가 끝났음을 받아들이라는 카드</t>
  </si>
  <si>
    <t xml:space="preserve">아직 끝나지 않은 마음이 남아 있다는 카드</t>
  </si>
  <si>
    <t xml:space="preserve">화해와 회복의 카드</t>
  </si>
  <si>
    <t xml:space="preserve">어긋난 조율을 다시 맞추면 이어 볼 수 있는 상태</t>
  </si>
  <si>
    <t xml:space="preserve">강한 끌림과 미련이 남아 있다는 카드(집착 주의)</t>
  </si>
  <si>
    <t xml:space="preserve">미련에서 풀려나는 때라 정리 쪽</t>
  </si>
  <si>
    <t xml:space="preserve">관계의 바탕이 무너졌다는 카드</t>
  </si>
  <si>
    <t xml:space="preserve">무너진 뒤 혼란이 가라앉으며 다시 세워 갈 수 있는 상태</t>
  </si>
  <si>
    <t xml:space="preserve">상처가 아물고 희망이 보이는 카드</t>
  </si>
  <si>
    <t xml:space="preserve">희망을 붙잡기 어려운 상태</t>
  </si>
  <si>
    <t xml:space="preserve">오해와 불확실함이 큰 카드</t>
  </si>
  <si>
    <t xml:space="preserve">오해가 걷히는 때라는 카드</t>
  </si>
  <si>
    <t xml:space="preserve">밝게 다시 만나는 카드</t>
  </si>
  <si>
    <t xml:space="preserve">약하지만 여전히 밝은 쪽</t>
  </si>
  <si>
    <t xml:space="preserve">다시 부름에 답하는 재회의 대표 카드</t>
  </si>
  <si>
    <t xml:space="preserve">같은 문제를 되풀이할 수 있다는 카드</t>
  </si>
  <si>
    <t xml:space="preserve">한 사이클을 마치고 다음 단계에서 다시 만날 수 있는 카드</t>
  </si>
  <si>
    <t xml:space="preserve">끝맺지 못한 관계가 남아 있다는 카드</t>
  </si>
  <si>
    <r>
      <rPr>
        <b val="true"/>
        <sz val="11"/>
        <rFont val="Arial"/>
        <family val="0"/>
        <charset val="1"/>
      </rPr>
      <t xml:space="preserve">+ </t>
    </r>
    <r>
      <rPr>
        <b val="true"/>
        <sz val="11"/>
        <rFont val="Noto Sans CJK SC"/>
        <family val="2"/>
      </rPr>
      <t xml:space="preserve">카드 수 </t>
    </r>
    <r>
      <rPr>
        <b val="true"/>
        <sz val="11"/>
        <rFont val="Arial"/>
        <family val="0"/>
        <charset val="1"/>
      </rPr>
      <t xml:space="preserve">/ − </t>
    </r>
    <r>
      <rPr>
        <b val="true"/>
        <sz val="11"/>
        <rFont val="Noto Sans CJK SC"/>
        <family val="2"/>
      </rPr>
      <t xml:space="preserve">카드 수</t>
    </r>
  </si>
  <si>
    <t xml:space="preserve">두 점수가 반대인 카드 수</t>
  </si>
  <si>
    <t xml:space="preserve">연두색 칸 = v2에서 −1 → +1로 바꾼 카드</t>
  </si>
  <si>
    <t xml:space="preserve">재회 사례 — '헤어진 지 오래됐는데, 다시 연락하면 가능성이 있을까?'</t>
  </si>
  <si>
    <t xml:space="preserve">가상 고민(서연): 헤어진 지 1년 반 됐어요. 제가 먼저 헤어지자고 했는데 아직도 가끔 생각나요. 연락 안 한 지 1년이 넘었는데, 지금 연락하면 다시 만날 가능성이 있을까요?</t>
  </si>
  <si>
    <t xml:space="preserve">선택지: 움직이는 쪽 = 다시 연락해 보기 / 머무는 쪽 = 연락하지 않고 마음 정리하기</t>
  </si>
  <si>
    <t xml:space="preserve">가중치(노란 칸을 바꿔 보세요)</t>
  </si>
  <si>
    <r>
      <rPr>
        <b val="true"/>
        <sz val="11"/>
        <rFont val="Arial"/>
        <family val="0"/>
        <charset val="1"/>
      </rPr>
      <t xml:space="preserve">v2 </t>
    </r>
    <r>
      <rPr>
        <b val="true"/>
        <sz val="11"/>
        <rFont val="Noto Sans CJK SC"/>
        <family val="2"/>
      </rPr>
      <t xml:space="preserve">계산</t>
    </r>
    <r>
      <rPr>
        <b val="true"/>
        <sz val="11"/>
        <rFont val="Arial"/>
        <family val="0"/>
        <charset val="1"/>
      </rPr>
      <t xml:space="preserve">: </t>
    </r>
    <r>
      <rPr>
        <b val="true"/>
        <sz val="11"/>
        <rFont val="Noto Sans CJK SC"/>
        <family val="2"/>
      </rPr>
      <t xml:space="preserve">합 ≥ </t>
    </r>
    <r>
      <rPr>
        <b val="true"/>
        <sz val="11"/>
        <rFont val="Arial"/>
        <family val="0"/>
        <charset val="1"/>
      </rPr>
      <t xml:space="preserve">0 → </t>
    </r>
    <r>
      <rPr>
        <b val="true"/>
        <sz val="11"/>
        <rFont val="Noto Sans CJK SC"/>
        <family val="2"/>
      </rPr>
      <t xml:space="preserve">연락 쪽 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기준값 없음</t>
    </r>
    <r>
      <rPr>
        <b val="true"/>
        <sz val="11"/>
        <rFont val="Arial"/>
        <family val="0"/>
        <charset val="1"/>
      </rPr>
      <t xml:space="preserve">)</t>
    </r>
  </si>
  <si>
    <t xml:space="preserve">공통 점수 기준값</t>
  </si>
  <si>
    <t xml:space="preserve">재회 점수 기준값</t>
  </si>
  <si>
    <r>
      <rPr>
        <sz val="11"/>
        <color theme="1"/>
        <rFont val="Arial"/>
        <family val="0"/>
        <charset val="1"/>
      </rPr>
      <t xml:space="preserve">'</t>
    </r>
    <r>
      <rPr>
        <sz val="11"/>
        <color theme="1"/>
        <rFont val="Noto Sans CJK SC"/>
        <family val="2"/>
      </rPr>
      <t xml:space="preserve">뚜렷해요</t>
    </r>
    <r>
      <rPr>
        <sz val="11"/>
        <color theme="1"/>
        <rFont val="Arial"/>
        <family val="0"/>
        <charset val="1"/>
      </rPr>
      <t xml:space="preserve">' </t>
    </r>
    <r>
      <rPr>
        <sz val="11"/>
        <color theme="1"/>
        <rFont val="Noto Sans CJK SC"/>
        <family val="2"/>
      </rPr>
      <t xml:space="preserve">기준</t>
    </r>
  </si>
  <si>
    <r>
      <rPr>
        <sz val="11"/>
        <color theme="1"/>
        <rFont val="Arial"/>
        <family val="0"/>
        <charset val="1"/>
      </rPr>
      <t xml:space="preserve">'</t>
    </r>
    <r>
      <rPr>
        <sz val="11"/>
        <color theme="1"/>
        <rFont val="Noto Sans CJK SC"/>
        <family val="2"/>
      </rPr>
      <t xml:space="preserve">분명해요</t>
    </r>
    <r>
      <rPr>
        <sz val="11"/>
        <color theme="1"/>
        <rFont val="Arial"/>
        <family val="0"/>
        <charset val="1"/>
      </rPr>
      <t xml:space="preserve">' </t>
    </r>
    <r>
      <rPr>
        <sz val="11"/>
        <color theme="1"/>
        <rFont val="Noto Sans CJK SC"/>
        <family val="2"/>
      </rPr>
      <t xml:space="preserve">기준</t>
    </r>
  </si>
  <si>
    <t xml:space="preserve">뽑기 예시 1 — 탑 · 죽음 · 바보 (공통 점수와 재회 점수가 정반대로 나오는 예)</t>
  </si>
  <si>
    <t xml:space="preserve">공통 점수</t>
  </si>
  <si>
    <t xml:space="preserve">재회 점수</t>
  </si>
  <si>
    <t xml:space="preserve">뽑기 예시 2 — 연인 역 · 매달린 사람 · 심판 (두 점수가 같은 쪽으로 나오는 예)</t>
  </si>
  <si>
    <t xml:space="preserve">뽑기 예시 3 — 직접 넣어 보기(키를 바꿔 보세요: 번호_up 또는 번호_rev)</t>
  </si>
  <si>
    <t xml:space="preserve">모든 뽑기(73,920가지)로 계산한 재회 결론 — Python 계산값(가중치 1·1·2)</t>
  </si>
  <si>
    <r>
      <rPr>
        <b val="true"/>
        <sz val="11"/>
        <color rgb="FFFFFFFF"/>
        <rFont val="Arial"/>
        <family val="0"/>
        <charset val="1"/>
      </rPr>
      <t xml:space="preserve">'</t>
    </r>
    <r>
      <rPr>
        <b val="true"/>
        <sz val="11"/>
        <color rgb="FFFFFFFF"/>
        <rFont val="Noto Sans CJK SC"/>
        <family val="2"/>
      </rPr>
      <t xml:space="preserve">연락</t>
    </r>
    <r>
      <rPr>
        <b val="true"/>
        <sz val="11"/>
        <color rgb="FFFFFFFF"/>
        <rFont val="Arial"/>
        <family val="0"/>
        <charset val="1"/>
      </rPr>
      <t xml:space="preserve">' </t>
    </r>
    <r>
      <rPr>
        <b val="true"/>
        <sz val="11"/>
        <color rgb="FFFFFFFF"/>
        <rFont val="Noto Sans CJK SC"/>
        <family val="2"/>
      </rPr>
      <t xml:space="preserve">결론 비율</t>
    </r>
  </si>
  <si>
    <r>
      <rPr>
        <b val="true"/>
        <sz val="11"/>
        <color rgb="FFFFFFFF"/>
        <rFont val="Arial"/>
        <family val="0"/>
        <charset val="1"/>
      </rPr>
      <t xml:space="preserve">'</t>
    </r>
    <r>
      <rPr>
        <b val="true"/>
        <sz val="11"/>
        <color rgb="FFFFFFFF"/>
        <rFont val="Noto Sans CJK SC"/>
        <family val="2"/>
      </rPr>
      <t xml:space="preserve">뚜렷</t>
    </r>
    <r>
      <rPr>
        <b val="true"/>
        <sz val="11"/>
        <color rgb="FFFFFFFF"/>
        <rFont val="Arial"/>
        <family val="0"/>
        <charset val="1"/>
      </rPr>
      <t xml:space="preserve">' </t>
    </r>
    <r>
      <rPr>
        <b val="true"/>
        <sz val="11"/>
        <color rgb="FFFFFFFF"/>
        <rFont val="Noto Sans CJK SC"/>
        <family val="2"/>
      </rPr>
      <t xml:space="preserve">비율</t>
    </r>
  </si>
  <si>
    <r>
      <rPr>
        <sz val="11"/>
        <rFont val="Arial"/>
        <family val="0"/>
        <charset val="1"/>
      </rPr>
      <t xml:space="preserve">v1 (+ </t>
    </r>
    <r>
      <rPr>
        <sz val="11"/>
        <rFont val="Noto Sans CJK SC"/>
        <family val="2"/>
      </rPr>
      <t xml:space="preserve">카드 </t>
    </r>
    <r>
      <rPr>
        <sz val="11"/>
        <rFont val="Arial"/>
        <family val="0"/>
        <charset val="1"/>
      </rPr>
      <t xml:space="preserve">18</t>
    </r>
    <r>
      <rPr>
        <sz val="11"/>
        <rFont val="Noto Sans CJK SC"/>
        <family val="2"/>
      </rPr>
      <t xml:space="preserve">개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합 ≥ </t>
    </r>
    <r>
      <rPr>
        <sz val="11"/>
        <rFont val="Arial"/>
        <family val="0"/>
        <charset val="1"/>
      </rPr>
      <t xml:space="preserve">0)</t>
    </r>
  </si>
  <si>
    <r>
      <rPr>
        <sz val="11"/>
        <rFont val="Arial"/>
        <family val="0"/>
        <charset val="1"/>
      </rPr>
      <t xml:space="preserve">v2 (+ </t>
    </r>
    <r>
      <rPr>
        <sz val="11"/>
        <rFont val="Noto Sans CJK SC"/>
        <family val="2"/>
      </rPr>
      <t xml:space="preserve">카드 </t>
    </r>
    <r>
      <rPr>
        <sz val="11"/>
        <rFont val="Arial"/>
        <family val="0"/>
        <charset val="1"/>
      </rPr>
      <t xml:space="preserve">26</t>
    </r>
    <r>
      <rPr>
        <sz val="11"/>
        <rFont val="Noto Sans CJK SC"/>
        <family val="2"/>
      </rPr>
      <t xml:space="preserve">개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합 ≥ </t>
    </r>
    <r>
      <rPr>
        <sz val="11"/>
        <rFont val="Arial"/>
        <family val="0"/>
        <charset val="1"/>
      </rPr>
      <t xml:space="preserve">0)</t>
    </r>
  </si>
  <si>
    <t xml:space="preserve">다가가기 초안</t>
  </si>
  <si>
    <t xml:space="preserve">다가가기 확정</t>
  </si>
  <si>
    <t xml:space="preserve">다가가기 적용</t>
  </si>
  <si>
    <t xml:space="preserve">다가가기 — 질문에서의 뜻</t>
  </si>
  <si>
    <t xml:space="preserve">진전 초안</t>
  </si>
  <si>
    <t xml:space="preserve">진전 확정</t>
  </si>
  <si>
    <t xml:space="preserve">진전 적용</t>
  </si>
  <si>
    <t xml:space="preserve">진전 — 질문에서의 뜻</t>
  </si>
  <si>
    <t xml:space="preserve">지속 초안</t>
  </si>
  <si>
    <t xml:space="preserve">지속 확정</t>
  </si>
  <si>
    <t xml:space="preserve">지속 적용</t>
  </si>
  <si>
    <t xml:space="preserve">지속 — 질문에서의 뜻</t>
  </si>
  <si>
    <t xml:space="preserve">새 인연 초안</t>
  </si>
  <si>
    <t xml:space="preserve">새 인연 확정</t>
  </si>
  <si>
    <t xml:space="preserve">새 인연 적용</t>
  </si>
  <si>
    <t xml:space="preserve">새 인연 — 질문에서의 뜻</t>
  </si>
  <si>
    <t xml:space="preserve">가벼운 마음으로 먼저 말을 건네 보라는 카드</t>
  </si>
  <si>
    <t xml:space="preserve">새로운 단계로 가볍게 첫발을 내딛는 카드</t>
  </si>
  <si>
    <t xml:space="preserve">새로운 마음으로 다시 시작해 볼 수 있는 카드</t>
  </si>
  <si>
    <t xml:space="preserve">설레는 마음으로 새 만남에 첫발을 내딛는 카드</t>
  </si>
  <si>
    <t xml:space="preserve">부담을 덜고 가볍게 한마디 건네면 풀리는 상태</t>
  </si>
  <si>
    <t xml:space="preserve">조금만 준비하면 한 걸음 내디뎌 볼 만한 상태</t>
  </si>
  <si>
    <t xml:space="preserve">익숙함이 답답해 마음이 떠나려는 상태</t>
  </si>
  <si>
    <t xml:space="preserve">두려움을 조금 내려놓으면 새 만남을 시작할 수 있는 상태</t>
  </si>
  <si>
    <t xml:space="preserve">하고 싶은 말을 솜씨 있게 꺼내 전할 수 있다는 카드</t>
  </si>
  <si>
    <t xml:space="preserve">의지와 말솜씨로 관계의 다음 단계를 열 수 있는 카드</t>
  </si>
  <si>
    <t xml:space="preserve">서로의 노력으로 관계를 바로잡을 수 있는 카드</t>
  </si>
  <si>
    <t xml:space="preserve">스스로 자리를 만들어 새 인연을 만날 수 있는 카드</t>
  </si>
  <si>
    <t xml:space="preserve">말을 고르다 늦었어도 지금 짧게 표현해 볼 수 있는 상태</t>
  </si>
  <si>
    <t xml:space="preserve">말만 앞서고 실제 준비가 부족한 상태</t>
  </si>
  <si>
    <t xml:space="preserve">말과 행동이 달라 신뢰가 깎여 가는 상태</t>
  </si>
  <si>
    <t xml:space="preserve">겉모습만 좋은 만남에 휘둘리기 쉬운 상태</t>
  </si>
  <si>
    <t xml:space="preserve">속마음을 아끼며 상대의 신호를 더 지켜보라는 카드</t>
  </si>
  <si>
    <t xml:space="preserve">속도를 늦추고 서로의 마음을 더 알아가라는 카드</t>
  </si>
  <si>
    <t xml:space="preserve">서로 속마음을 숨겨 거리가 생겨 있는 카드</t>
  </si>
  <si>
    <t xml:space="preserve">직감을 믿고 마음을 조금 더 지켜보라는 카드</t>
  </si>
  <si>
    <t xml:space="preserve">숨겨 둔 마음을 이제 꺼내도 좋다는 카드</t>
  </si>
  <si>
    <t xml:space="preserve">숨겨진 마음이 드러나 확신을 얻을 수 있는 카드</t>
  </si>
  <si>
    <t xml:space="preserve">숨겨 온 마음을 나누며 거리를 좁힐 수 있는 카드</t>
  </si>
  <si>
    <t xml:space="preserve">마음을 닫아 두었다가 서서히 열 수 있는 카드</t>
  </si>
  <si>
    <t xml:space="preserve">따뜻한 관심과 다정한 표현이 잘 닿는 카드</t>
  </si>
  <si>
    <t xml:space="preserve">애정이 풍성하게 자라 관계를 키워 갈 수 있는 카드</t>
  </si>
  <si>
    <t xml:space="preserve">애정과 돌봄이 충분해 관계를 키워 갈 수 있는 카드</t>
  </si>
  <si>
    <t xml:space="preserve">따뜻함이 넘쳐 좋은 만남을 끌어당기는 카드</t>
  </si>
  <si>
    <t xml:space="preserve">챙기려는 마음이 과해 부담을 줄 수 있는 상태</t>
  </si>
  <si>
    <t xml:space="preserve">한쪽이 과하게 맞추느라 관계가 지친 상태</t>
  </si>
  <si>
    <t xml:space="preserve">지친 서로를 돌보기 시작하면 관계가 살아날 수 있는 상태</t>
  </si>
  <si>
    <t xml:space="preserve">나를 돌보지 않고 상대에게 먼저 쏟는 상태</t>
  </si>
  <si>
    <t xml:space="preserve">분명한 태도로 주도권을 잡고 다가가도 좋은 카드</t>
  </si>
  <si>
    <t xml:space="preserve">책임감 있는 약속으로 관계를 단단히 세우는 카드</t>
  </si>
  <si>
    <t xml:space="preserve">안정과 책임이 있어 관계를 지탱할 수 있는 카드</t>
  </si>
  <si>
    <t xml:space="preserve">기준이 높고 단단해 선뜻 마음 열기 어려운 카드</t>
  </si>
  <si>
    <t xml:space="preserve">고집과 경직된 태도로 다가가기 어려운 상태</t>
  </si>
  <si>
    <t xml:space="preserve">통제와 고집이 앞서 관계 정의가 어려운 상태</t>
  </si>
  <si>
    <t xml:space="preserve">통제와 고집을 내려놓으면 숨통이 트이는 상태</t>
  </si>
  <si>
    <t xml:space="preserve">경계가 지나치게 굳어 새 사람을 막는 상태</t>
  </si>
  <si>
    <t xml:space="preserve">예의를 지키며 먼저 안부를 건네기 좋은 카드</t>
  </si>
  <si>
    <t xml:space="preserve">관계를 공식적으로 약속하고 인정받는 카드</t>
  </si>
  <si>
    <t xml:space="preserve">함께한 약속과 신뢰가 관계를 받쳐 주는 카드</t>
  </si>
  <si>
    <t xml:space="preserve">소개나 모임처럼 믿을 만한 만남이 열리는 카드</t>
  </si>
  <si>
    <t xml:space="preserve">형식을 내려놓고 편하게 다가가도 되는 카드</t>
  </si>
  <si>
    <t xml:space="preserve">형식과 기대에 얽매여 마음이 따라가지 못하는 상태</t>
  </si>
  <si>
    <t xml:space="preserve">낡은 틀을 바꾸면 관계를 새롭게 이어 갈 수 있는 상태</t>
  </si>
  <si>
    <t xml:space="preserve">관습과 기대에 갇혀 마음이 닫힌 상태</t>
  </si>
  <si>
    <t xml:space="preserve">서로 끌리는 마음을 솔직히 표현해도 좋은 카드</t>
  </si>
  <si>
    <t xml:space="preserve">서로를 선택하고 마음을 확정하는 카드</t>
  </si>
  <si>
    <t xml:space="preserve">서로를 다시 선택하며 마음이 이어지는 카드</t>
  </si>
  <si>
    <t xml:space="preserve">끌리는 사람을 만나 마음을 열어도 좋은 카드</t>
  </si>
  <si>
    <t xml:space="preserve">엇갈린 마음을 솔직히 표현하면 풀릴 수 있는 상태</t>
  </si>
  <si>
    <t xml:space="preserve">선택을 두고 흔들려 확신이 서지 않는 상태</t>
  </si>
  <si>
    <t xml:space="preserve">마음이 갈라져 서로 다른 길을 보는 상태</t>
  </si>
  <si>
    <t xml:space="preserve">고민 끝에 마음 가는 쪽을 골라 볼 수 있는 상태</t>
  </si>
  <si>
    <t xml:space="preserve">자신감을 갖고 한 걸음 먼저 나아가라는 카드</t>
  </si>
  <si>
    <t xml:space="preserve">확신을 갖고 힘차게 앞으로 나아가라는 카드</t>
  </si>
  <si>
    <t xml:space="preserve">함께 어려움을 넘으며 힘을 모을 수 있는 카드</t>
  </si>
  <si>
    <t xml:space="preserve">적극적으로 나서면 인연이 빨리 닿는 카드</t>
  </si>
  <si>
    <t xml:space="preserve">서두르다 방향이 어긋나 연락이 엇나가기 쉬운 상태</t>
  </si>
  <si>
    <t xml:space="preserve">방향이 맞지 않아 서두르면 어긋나는 상태</t>
  </si>
  <si>
    <t xml:space="preserve">흩어진 힘을 모아 같은 방향을 찾으면 회복되는 상태</t>
  </si>
  <si>
    <t xml:space="preserve">서두르다 맞지 않는 사람에게 끌리는 상태</t>
  </si>
  <si>
    <t xml:space="preserve">부드러운 용기로 조심스럽게 다가가는 카드</t>
  </si>
  <si>
    <t xml:space="preserve">인내와 부드러운 용기로 한 걸음 나아가는 카드</t>
  </si>
  <si>
    <t xml:space="preserve">인내와 부드러움으로 갈등을 이겨 낼 수 있는 카드</t>
  </si>
  <si>
    <t xml:space="preserve">부드러운 용기로 새 만남에 열린 마음을 갖는 카드</t>
  </si>
  <si>
    <t xml:space="preserve">자신감이 약해도 작은 용기로 한 발 내딛어 볼 만한 상태</t>
  </si>
  <si>
    <t xml:space="preserve">주저하던 용기를 내면 고백이 풀리기 시작하는 상태</t>
  </si>
  <si>
    <t xml:space="preserve">지친 마음을 쉬게 하면 다시 버틸 힘이 돌아오는 상태</t>
  </si>
  <si>
    <t xml:space="preserve">자신감을 조금 채우면 가볍게 만나 볼 만한 상태</t>
  </si>
  <si>
    <t xml:space="preserve">혼자 마음을 정리하며 때를 기다리라는 카드</t>
  </si>
  <si>
    <t xml:space="preserve">혼자 생각할 시간이 필요해 아직 정하기 이른 카드</t>
  </si>
  <si>
    <t xml:space="preserve">혼자 깊이 돌아보며 관계를 다시 생각할 때인 카드</t>
  </si>
  <si>
    <t xml:space="preserve">지금은 나를 돌아보는 시간이 더 필요한 카드</t>
  </si>
  <si>
    <t xml:space="preserve">혼자만의 틀에서 나와 손을 내밀 수 있는 카드</t>
  </si>
  <si>
    <t xml:space="preserve">고립된 채 마음을 열지 못해 진전이 막힌 상태</t>
  </si>
  <si>
    <t xml:space="preserve">마음을 닫고 고립되어 대화가 끊긴 상태</t>
  </si>
  <si>
    <t xml:space="preserve">혼자 있던 시간을 마치고 밖으로 나서는 카드</t>
  </si>
  <si>
    <t xml:space="preserve">흐름이 바뀌는 때라 작은 연락이 기회가 되는 카드</t>
  </si>
  <si>
    <t xml:space="preserve">관계의 흐름이 바뀌는 때라 기회를 잡을 수 있는 카드</t>
  </si>
  <si>
    <t xml:space="preserve">나쁜 흐름이 바뀌어 회복의 기회가 오는 카드</t>
  </si>
  <si>
    <t xml:space="preserve">인연의 흐름이 바뀌어 새 만남이 찾아오는 카드</t>
  </si>
  <si>
    <t xml:space="preserve">시기가 어긋나 연락이 겉돌기 쉬운 상태</t>
  </si>
  <si>
    <t xml:space="preserve">엇갈리던 타이밍이 풀려 가며 나아갈 길이 열리는 상태</t>
  </si>
  <si>
    <t xml:space="preserve">되풀이되던 불운이 끝나고 흐름이 바뀌는 중인 상태</t>
  </si>
  <si>
    <t xml:space="preserve">엇갈리던 타이밍이 풀리며 만남이 가까워지는 상태</t>
  </si>
  <si>
    <t xml:space="preserve">서두르지 않고 상대의 태도를 차분히 가늠하라는 카드</t>
  </si>
  <si>
    <t xml:space="preserve">서로 책임을 인정하고 관계를 분명히 정하는 카드</t>
  </si>
  <si>
    <t xml:space="preserve">관계를 냉정하게 따져 보고 판단할 때인 카드</t>
  </si>
  <si>
    <t xml:space="preserve">서두르지 않고 나와 맞는 사람인지 따져 보는 카드</t>
  </si>
  <si>
    <t xml:space="preserve">판단이 흐트러져 표현이 한쪽으로 기울기 쉬운 상태</t>
  </si>
  <si>
    <t xml:space="preserve">불공평한 부분이 남아 정리하기 어려운 상태</t>
  </si>
  <si>
    <t xml:space="preserve">불공평과 외면 속에 책임이 가려진 상태</t>
  </si>
  <si>
    <t xml:space="preserve">판단이 흐려져 사람을 잘못 보기 쉬운 상태</t>
  </si>
  <si>
    <t xml:space="preserve">움직이기보다 멈춰서 상황을 지켜보라는 카드</t>
  </si>
  <si>
    <t xml:space="preserve">결정을 보류하고 상황을 더 지켜보라는 카드</t>
  </si>
  <si>
    <t xml:space="preserve">정체된 관계를 한 걸음 물러나 바라보는 카드</t>
  </si>
  <si>
    <t xml:space="preserve">마음이 멈춘 때라 새 만남보다 쉼이 필요한 카드</t>
  </si>
  <si>
    <t xml:space="preserve">오래 멈춰 있던 마음이 이제 움직일 수 있는 카드</t>
  </si>
  <si>
    <t xml:space="preserve">오래 멈춘 상황이 풀려 결정할 수 있는 카드</t>
  </si>
  <si>
    <t xml:space="preserve">오래 막힌 관계가 풀리기 시작하는 카드</t>
  </si>
  <si>
    <t xml:space="preserve">멈춤이 끝나고 새로운 시각으로 나아가는 카드</t>
  </si>
  <si>
    <t xml:space="preserve">예전 방식은 끝났으니 접근 방식을 바꿔야 하는 카드</t>
  </si>
  <si>
    <t xml:space="preserve">지금의 관계 형태를 끝내고 한 단계 나아가는 변화의 카드</t>
  </si>
  <si>
    <t xml:space="preserve">이 관계가 끝을 맞았음을 받아들이라는 카드</t>
  </si>
  <si>
    <t xml:space="preserve">지난 인연을 끝내고 새 사람에게 열리는 카드</t>
  </si>
  <si>
    <t xml:space="preserve">바뀌어야 할 것을 붙잡고 같은 방식만 되풀이하는 상태</t>
  </si>
  <si>
    <t xml:space="preserve">변화를 두려워해 같은 자리에 머무는 상태</t>
  </si>
  <si>
    <t xml:space="preserve">끝낼 것을 끝내지 못해 관계가 정체된 상태</t>
  </si>
  <si>
    <t xml:space="preserve">지난 인연을 놓지 못해 새 만남이 막힌 상태</t>
  </si>
  <si>
    <t xml:space="preserve">속도를 조절하며 균형 있게 다가가라는 카드</t>
  </si>
  <si>
    <t xml:space="preserve">서로의 속도를 맞춰 차분히 나아가는 카드</t>
  </si>
  <si>
    <t xml:space="preserve">서로 조율하며 균형을 되찾을 수 있는 카드</t>
  </si>
  <si>
    <t xml:space="preserve">무리 없이 자연스럽게 새 인연을 맞는 카드</t>
  </si>
  <si>
    <t xml:space="preserve">표현의 정도를 조금 조절하면 다가가 볼 만한 상태</t>
  </si>
  <si>
    <t xml:space="preserve">속도를 서로 맞추면 진전이 부드러워지는 상태</t>
  </si>
  <si>
    <t xml:space="preserve">어긋난 조율을 다시 맞추며 갈등을 풀어 가는 상태</t>
  </si>
  <si>
    <t xml:space="preserve">어색함을 풀며 균형을 맞춰 가면 이어질 수 있는 상태</t>
  </si>
  <si>
    <t xml:space="preserve">강하게 끌리는 마음이 있어 표현이 이어지는 카드</t>
  </si>
  <si>
    <t xml:space="preserve">집착과 얽매임이 있어 진전이 건강하지 않은 카드</t>
  </si>
  <si>
    <t xml:space="preserve">집착과 의존으로 건강하지 않은 관계인 카드</t>
  </si>
  <si>
    <t xml:space="preserve">끌림에 휩쓸려 사람을 잘못 고르기 쉬운 카드</t>
  </si>
  <si>
    <t xml:space="preserve">끌림에 휘둘려 매달리듯 연락하게 되는 상태</t>
  </si>
  <si>
    <t xml:space="preserve">얽매임에서 풀려나 새롭게 정할 수 있는 카드</t>
  </si>
  <si>
    <t xml:space="preserve">얽매임을 알아채도 벗어나지 못하는 상태</t>
  </si>
  <si>
    <t xml:space="preserve">끌림의 덫에서 벗어나 정신을 차리는 카드</t>
  </si>
  <si>
    <t xml:space="preserve">충동적인 표현이 부딪힘이 될 수 있어 멈춰야 하는 카드</t>
  </si>
  <si>
    <t xml:space="preserve">갑작스러운 충돌 위험이 커 결정을 미뤄야 하는 카드</t>
  </si>
  <si>
    <t xml:space="preserve">관계의 바탕이 흔들려 무너져 내리는 카드</t>
  </si>
  <si>
    <t xml:space="preserve">상처가 아직 남아 새 만남이 두려운 카드</t>
  </si>
  <si>
    <t xml:space="preserve">갈등을 피하려 말을 삼키고 있는 상태</t>
  </si>
  <si>
    <t xml:space="preserve">무너짐을 피하려다 문제를 키우는 상태</t>
  </si>
  <si>
    <t xml:space="preserve">충격 뒤에 천천히 회복해 가며 관계를 다시 세우는 상태</t>
  </si>
  <si>
    <t xml:space="preserve">충격을 외면한 채 서둘러 마음을 닫는 상태</t>
  </si>
  <si>
    <t xml:space="preserve">진심 어린 희망을 담아 먼저 다가가도 좋은 카드</t>
  </si>
  <si>
    <t xml:space="preserve">희망과 믿음이 커 관계를 이어 갈 확신이 생기는 카드</t>
  </si>
  <si>
    <t xml:space="preserve">상처가 아물고 희망이 다시 보이는 카드</t>
  </si>
  <si>
    <t xml:space="preserve">새로운 사랑에 대한 희망이 환하게 켜지는 카드</t>
  </si>
  <si>
    <t xml:space="preserve">확신이 부족해 마음을 전하지 못하는 상태</t>
  </si>
  <si>
    <t xml:space="preserve">확신이 흐려져 앞날이 불투명하게 느껴지는 상태</t>
  </si>
  <si>
    <t xml:space="preserve">희망이 옅어져 회복을 믿기 어려운 상태</t>
  </si>
  <si>
    <t xml:space="preserve">희망을 잃어 새 사람을 믿기 어려운 상태</t>
  </si>
  <si>
    <t xml:space="preserve">상대의 마음이 불확실해 섣불리 움직이기 어려운 카드</t>
  </si>
  <si>
    <t xml:space="preserve">불확실함과 오해가 커서 확인이 먼저 필요한 카드</t>
  </si>
  <si>
    <t xml:space="preserve">오해와 불안이 커서 서로 마음이 안 보이는 카드</t>
  </si>
  <si>
    <t xml:space="preserve">감정이 흔들려 사람을 제대로 보기 어려운 카드</t>
  </si>
  <si>
    <t xml:space="preserve">불안이 걷히고 상대의 마음이 보이기 시작하는 카드</t>
  </si>
  <si>
    <t xml:space="preserve">오해가 걷혀 서로의 마음이 분명해지는 카드</t>
  </si>
  <si>
    <t xml:space="preserve">오해가 풀리며 서로를 다시 보게 되는 카드</t>
  </si>
  <si>
    <t xml:space="preserve">불안이 걷혀 새 사람이 또렷이 보이는 카드</t>
  </si>
  <si>
    <t xml:space="preserve">밝고 솔직하게 마음을 표현할수록 좋은 카드</t>
  </si>
  <si>
    <t xml:space="preserve">기쁨이 크고 관계를 드러내도 좋은 카드</t>
  </si>
  <si>
    <t xml:space="preserve">기쁨과 신뢰가 살아나 관계가 환해지는 카드</t>
  </si>
  <si>
    <t xml:space="preserve">기쁨 속에 좋은 사람을 만날 수 있는 카드</t>
  </si>
  <si>
    <t xml:space="preserve">조금 서툴러도 먼저 다가가면 괜찮은 카드</t>
  </si>
  <si>
    <t xml:space="preserve">다소 서툴러도 한 걸음 내디뎌도 괜찮은 카드</t>
  </si>
  <si>
    <t xml:space="preserve">조금 늦어도 관계에 밝은 기운이 남아 있는 카드</t>
  </si>
  <si>
    <t xml:space="preserve">조금 서툴러도 만남에 열려 있는 카드</t>
  </si>
  <si>
    <t xml:space="preserve">미룬 마음을 이제 용기 내어 전할 때라는 카드</t>
  </si>
  <si>
    <t xml:space="preserve">결단을 내리고 새 단계로 나아가라는 카드</t>
  </si>
  <si>
    <t xml:space="preserve">지난 일을 돌아보고 새로 이어 갈 수 있는 카드</t>
  </si>
  <si>
    <t xml:space="preserve">마음이 다시 깨어나 새 사랑을 부르는 카드</t>
  </si>
  <si>
    <t xml:space="preserve">자기 의심에 걸려 부르는 소리에 답하지 못하는 상태</t>
  </si>
  <si>
    <t xml:space="preserve">결단을 미루며 스스로를 의심하는 상태</t>
  </si>
  <si>
    <t xml:space="preserve">과거를 돌아보지 않아 같은 일이 반복되는 상태</t>
  </si>
  <si>
    <t xml:space="preserve">자기 의심이 커서 새 만남에 답하지 못하는 상태</t>
  </si>
  <si>
    <t xml:space="preserve">관계가 무르익어 자연스럽게 표현할 수 있는 카드</t>
  </si>
  <si>
    <t xml:space="preserve">관계가 완성에 이르러 결실을 맺게 되는 카드</t>
  </si>
  <si>
    <t xml:space="preserve">관계가 안정되어 함께 완성해 가는 카드</t>
  </si>
  <si>
    <t xml:space="preserve">한 단계를 마치고 새 인연을 맞을 준비가 된 카드</t>
  </si>
  <si>
    <t xml:space="preserve">마무리가 덜 되어 표현을 더 미루게 되는 상태</t>
  </si>
  <si>
    <t xml:space="preserve">마무리를 조금만 더하면 다음 단계로 갈 수 있는 상태</t>
  </si>
  <si>
    <t xml:space="preserve">마무리가 덜 되어 만족하지 못하는 상태</t>
  </si>
  <si>
    <t xml:space="preserve">마무리를 조금 정리하면 새 사람에게 열 수 있는 상태</t>
  </si>
  <si>
    <t xml:space="preserve">이직·퇴사 초안</t>
  </si>
  <si>
    <t xml:space="preserve">이직·퇴사 확정</t>
  </si>
  <si>
    <t xml:space="preserve">이직·퇴사 적용</t>
  </si>
  <si>
    <t xml:space="preserve">이직·퇴사 — 질문에서의 뜻</t>
  </si>
  <si>
    <t xml:space="preserve">시작·도전 초안</t>
  </si>
  <si>
    <t xml:space="preserve">시작·도전 확정</t>
  </si>
  <si>
    <t xml:space="preserve">시작·도전 적용</t>
  </si>
  <si>
    <t xml:space="preserve">시작·도전 — 질문에서의 뜻</t>
  </si>
  <si>
    <t xml:space="preserve">이사·독립 초안</t>
  </si>
  <si>
    <t xml:space="preserve">이사·독립 확정</t>
  </si>
  <si>
    <t xml:space="preserve">이사·독립 적용</t>
  </si>
  <si>
    <t xml:space="preserve">이사·독립 — 질문에서의 뜻</t>
  </si>
  <si>
    <t xml:space="preserve">새 자리로 가볍게 첫발을 내딛어도 좋다는 카드</t>
  </si>
  <si>
    <t xml:space="preserve">완벽하지 않아도 가볍게 첫발을 떼라는 카드</t>
  </si>
  <si>
    <t xml:space="preserve">새로운 곳으로 가볍게 떠나 보라는 카드</t>
  </si>
  <si>
    <t xml:space="preserve">두려움만 내려놓으면 옮겨 볼 만한 상태</t>
  </si>
  <si>
    <t xml:space="preserve">부담을 덜고 작게 시작하면 되는 상태</t>
  </si>
  <si>
    <t xml:space="preserve">낯선 곳에 대한 두려움이 풀리면 떠나 볼 수 있는 상태</t>
  </si>
  <si>
    <t xml:space="preserve">가진 역량을 밑천 삼아 새 자리를 직접 열어 갈 카드</t>
  </si>
  <si>
    <t xml:space="preserve">필요한 자원이 갖춰져 바로 실행에 옮길 수 있는 카드</t>
  </si>
  <si>
    <t xml:space="preserve">필요한 것을 모아 이사를 실행에 옮길 수 있는 카드</t>
  </si>
  <si>
    <t xml:space="preserve">이것저것 벌여 놓아 지금 자리에 집중이 필요한 상태</t>
  </si>
  <si>
    <t xml:space="preserve">이것저것 벌여 집중이 흩어져 정리가 먼저인 상태</t>
  </si>
  <si>
    <t xml:space="preserve">챙길 일이 분산되어 준비가 엉킨 상태</t>
  </si>
  <si>
    <t xml:space="preserve">속마음이 정리될 때까지 조용히 지켜보며 머무는 카드</t>
  </si>
  <si>
    <t xml:space="preserve">직관을 따라 조용히 관찰하며 준비하라는 카드</t>
  </si>
  <si>
    <t xml:space="preserve">속마음을 더 들여다보며 조용히 머무르는 카드</t>
  </si>
  <si>
    <t xml:space="preserve">정보에 휘둘려 결정이 흐려져 서두르지 않는 편이 나은 상태</t>
  </si>
  <si>
    <t xml:space="preserve">정보만 쌓다 결정이 흐려져 정리가 필요한 상태</t>
  </si>
  <si>
    <t xml:space="preserve">정보에 휘둘려 어디로 갈지 흐려진 상태</t>
  </si>
  <si>
    <t xml:space="preserve">지금 자리에서 받는 보살핌과 안정을 누리는 카드</t>
  </si>
  <si>
    <t xml:space="preserve">충분히 채워진 토대 위에서 키워 가기 좋은 카드</t>
  </si>
  <si>
    <t xml:space="preserve">지금 사는 곳의 포근함과 안정을 누리는 카드</t>
  </si>
  <si>
    <t xml:space="preserve">지금 자리에서 소진되어 새로 채울 곳이 필요한 상태</t>
  </si>
  <si>
    <t xml:space="preserve">여유를 조금 채우며 작게 시작해 볼 만한 상태</t>
  </si>
  <si>
    <t xml:space="preserve">지금 사는 곳에서 소진되어 환경을 바꿔야 하는 상태</t>
  </si>
  <si>
    <t xml:space="preserve">지금 조직 안에서 책임과 질서를 지키며 자리를 굳히는 카드</t>
  </si>
  <si>
    <t xml:space="preserve">구조와 계획을 세워 책임지고 밀어붙일 카드</t>
  </si>
  <si>
    <t xml:space="preserve">내 공간을 책임지고 꾸려 갈 독립의 카드</t>
  </si>
  <si>
    <t xml:space="preserve">통제와 경직에 지쳐 숨 쉴 새 자리가 필요한 상태</t>
  </si>
  <si>
    <t xml:space="preserve">긴장을 풀고 구조를 잡으면 시작할 수 있는 상태</t>
  </si>
  <si>
    <t xml:space="preserve">부담을 나눠 정리하면 옮겨 갈 수 있는 상태</t>
  </si>
  <si>
    <t xml:space="preserve">지금 조직의 선배와 제도에서 배우고 기댈 수 있는 카드</t>
  </si>
  <si>
    <t xml:space="preserve">배우고 조언을 구하며 기초를 다지라는 카드</t>
  </si>
  <si>
    <t xml:space="preserve">가족과 익숙한 곳의 조언에 기댈 수 있는 카드</t>
  </si>
  <si>
    <t xml:space="preserve">지금 조직의 틀이 맞지 않아 겉도는 상태</t>
  </si>
  <si>
    <t xml:space="preserve">혼자 해결하려다 길이 막혀 점검이 먼저인 상태</t>
  </si>
  <si>
    <t xml:space="preserve">맞지 않는 틀에서 벗어나 독립하고 싶은 상태</t>
  </si>
  <si>
    <t xml:space="preserve">내 가치에 맞는 쪽을 골라 마음 가는 곳으로 향하는 카드</t>
  </si>
  <si>
    <t xml:space="preserve">마음이 끌리는 쪽을 선택해 시작해도 좋은 카드</t>
  </si>
  <si>
    <t xml:space="preserve">가치에 맞는 곳을 선택해 옮기기 좋은 카드</t>
  </si>
  <si>
    <t xml:space="preserve">두 갈래 사이에서 진심을 확인하지 못해 머뭇거리는 상태</t>
  </si>
  <si>
    <t xml:space="preserve">확신이 없어도 하나를 골라 해 볼 만한 상태</t>
  </si>
  <si>
    <t xml:space="preserve">엇갈린 마음 끝에 갈 곳을 고를 수 있는 상태</t>
  </si>
  <si>
    <t xml:space="preserve">방향이 분명해 새 자리로 힘차게 나아가는 카드</t>
  </si>
  <si>
    <t xml:space="preserve">방향이 서서 힘차게 밀고 나갈 수 있는 카드</t>
  </si>
  <si>
    <t xml:space="preserve">방향이 서서 이동을 힘차게 추진하는 카드</t>
  </si>
  <si>
    <t xml:space="preserve">조급하게 달리다 방향을 잃어 일단 멈춰야 하는 상태</t>
  </si>
  <si>
    <t xml:space="preserve">방향 없이 조급해 헛바퀴를 돌아 재정비가 필요한 상태</t>
  </si>
  <si>
    <t xml:space="preserve">방향 없이 서둘러 옮기다 지치기 쉬운 상태</t>
  </si>
  <si>
    <t xml:space="preserve">어려움을 참고 견디며 지금 자리에서 힘을 키우는 카드</t>
  </si>
  <si>
    <t xml:space="preserve">꾸준한 인내로 시작한 일을 끝까지 이끌 수 있는 카드</t>
  </si>
  <si>
    <t xml:space="preserve">지금 사는 곳에서 인내로 버티며 힘을 기르는 카드</t>
  </si>
  <si>
    <t xml:space="preserve">혼자 참다 버거워져 환경을 바꿔야 하는 상태</t>
  </si>
  <si>
    <t xml:space="preserve">도움을 받으면 힘이 붙어 시작해 볼 만한 상태</t>
  </si>
  <si>
    <t xml:space="preserve">혼자 버티기 버거워 환경을 바꾸고 싶은 상태</t>
  </si>
  <si>
    <t xml:space="preserve">서두르지 않고 홀로 생각을 정리하며 머무르는 카드</t>
  </si>
  <si>
    <t xml:space="preserve">서두르지 않고 혼자 더 준비하며 때를 기다리는 카드</t>
  </si>
  <si>
    <t xml:space="preserve">혼자 머물며 조용히 내면을 돌보는 카드</t>
  </si>
  <si>
    <t xml:space="preserve">홀로 고립된 채 무거워져 자리를 옮기고 싶은 상태</t>
  </si>
  <si>
    <t xml:space="preserve">외로움에 마음이 닫혀 움직이기 무거운 상태</t>
  </si>
  <si>
    <t xml:space="preserve">닫힌 환경의 외로움에서 벗어나고 싶은 상태</t>
  </si>
  <si>
    <t xml:space="preserve">흐름이 바뀌는 전환점이라 움직일 때가 온 카드</t>
  </si>
  <si>
    <t xml:space="preserve">좋은 흐름이 도는 시점이라 기회를 타라는 카드</t>
  </si>
  <si>
    <t xml:space="preserve">삶의 판이 돌아가 옮길 때가 온 카드</t>
  </si>
  <si>
    <t xml:space="preserve">변화에 저항하며 예전 자리에 버티고 있는 상태</t>
  </si>
  <si>
    <t xml:space="preserve">흐름이 어긋나 예전 방식에 머물며 흔들리는 상태</t>
  </si>
  <si>
    <t xml:space="preserve">변화에 저항하며 예전 곳에 머물러 있는 상태</t>
  </si>
  <si>
    <t xml:space="preserve">조건을 공정하게 따져 본 뒤 신중히 판단하라는 카드</t>
  </si>
  <si>
    <t xml:space="preserve">비용과 득실을 정직하게 따져 본 뒤 정하라는 카드</t>
  </si>
  <si>
    <t xml:space="preserve">조건을 공정하게 비교해 신중히 정하라는 카드</t>
  </si>
  <si>
    <t xml:space="preserve">결론을 서두르거나 자신을 몰아세워 판단이 치우친 상태</t>
  </si>
  <si>
    <t xml:space="preserve">결론을 서두르거나 자책해 판단이 치우친 상태</t>
  </si>
  <si>
    <t xml:space="preserve">서둘러 결론을 내려 판단이 치우친 상태</t>
  </si>
  <si>
    <t xml:space="preserve">지금은 움직이지 말고 멈춰 서서 기다리라는 카드</t>
  </si>
  <si>
    <t xml:space="preserve">지금은 멈추고 관점을 바꾸며 기다리라는 카드</t>
  </si>
  <si>
    <t xml:space="preserve">지금은 움직이지 말고 기다리라는 카드</t>
  </si>
  <si>
    <t xml:space="preserve">답답하게 낀 자리에서 벗어날 결심이 서 가는 상태</t>
  </si>
  <si>
    <t xml:space="preserve">정체가 풀리며 움직일 계기가 생기는 상태</t>
  </si>
  <si>
    <t xml:space="preserve">답답함에서 벗어나 결정을 내리기 시작하는 상태</t>
  </si>
  <si>
    <t xml:space="preserve">한 시기를 끝내고 새 출발로 넘어가는 카드</t>
  </si>
  <si>
    <t xml:space="preserve">낡은 방식을 내려놓고 새로 출발하라는 카드</t>
  </si>
  <si>
    <t xml:space="preserve">지금 곳의 시기를 끝내고 새로 떠나는 카드</t>
  </si>
  <si>
    <t xml:space="preserve">익숙함을 붙잡고 변화를 계속 미루는 상태</t>
  </si>
  <si>
    <t xml:space="preserve">익숙함을 조금 놓으면 시작할 수 있는 상태</t>
  </si>
  <si>
    <t xml:space="preserve">익숙한 곳을 놓지 못해 이동을 미루는 상태</t>
  </si>
  <si>
    <t xml:space="preserve">일과 삶의 균형을 맞추며 지금 자리를 조율하는 카드</t>
  </si>
  <si>
    <t xml:space="preserve">작게 나눠 알맞은 속도로 시작을 조율하는 카드</t>
  </si>
  <si>
    <t xml:space="preserve">지금 곳과 새 곳 사이 균형을 맞추며 천천히 조율하는 카드</t>
  </si>
  <si>
    <t xml:space="preserve">균형이 무너지고 한쪽으로 쏠려 바꿔야 하는 상태</t>
  </si>
  <si>
    <t xml:space="preserve">한쪽으로 쏠려 무리하기 쉬워 속도를 늦춰야 하는 상태</t>
  </si>
  <si>
    <t xml:space="preserve">한쪽으로 쏠려 무리한 이동이 부담스러운 상태</t>
  </si>
  <si>
    <t xml:space="preserve">익숙한 조건에 묶인 자리를 벗어나 풀려날 수 있는 카드</t>
  </si>
  <si>
    <t xml:space="preserve">습관과 두려움에 묶여 무리한 시작이 위험한 카드</t>
  </si>
  <si>
    <t xml:space="preserve">익숙한 환경과 습관에 묶여 머물러 있는 카드</t>
  </si>
  <si>
    <t xml:space="preserve">묶여 있던 자리에서 풀려나 벗어날 수 있는 상태</t>
  </si>
  <si>
    <t xml:space="preserve">묶였던 습관에서 풀려 새로 시작할 힘이 생긴 상태</t>
  </si>
  <si>
    <t xml:space="preserve">묶였던 곳에서 풀려나 벗어날 수 있는 상태</t>
  </si>
  <si>
    <t xml:space="preserve">어차피 흔들리는 자리를 떠나 새로 세울 때인 카드</t>
  </si>
  <si>
    <t xml:space="preserve">준비 없이 시작하면 무너질 위험이 큰 카드</t>
  </si>
  <si>
    <t xml:space="preserve">흔들린 터전을 떠나 새로 세울 수 있는 카드</t>
  </si>
  <si>
    <t xml:space="preserve">무너질 걱정이 가라앉으면 자리를 옮겨 볼 수 있는 상태</t>
  </si>
  <si>
    <t xml:space="preserve">다시 무너질까 걱정되어 손대기 어려운 상태</t>
  </si>
  <si>
    <t xml:space="preserve">흔들림이 가라앉으면 옮겨 볼 만한 상태</t>
  </si>
  <si>
    <t xml:space="preserve">희망이 보여 새 길을 향해 나아가도 되는 카드</t>
  </si>
  <si>
    <t xml:space="preserve">희망이 보여 지금 시작해 볼 만한 카드</t>
  </si>
  <si>
    <t xml:space="preserve">희망이 보이는 곳으로 옮겨도 좋은 카드</t>
  </si>
  <si>
    <t xml:space="preserve">희미하던 빛이 조금씩 보여 준비하며 옮길 만한 상태</t>
  </si>
  <si>
    <t xml:space="preserve">희미한 빛이 보여 조금 준비하면 해 볼 만한 상태</t>
  </si>
  <si>
    <t xml:space="preserve">희미한 확신이 커져 가며 준비해 옮길 만한 상태</t>
  </si>
  <si>
    <t xml:space="preserve">불확실하고 모호해 지금 결정하기엔 이른 카드</t>
  </si>
  <si>
    <t xml:space="preserve">불확실하고 모호해 확인이 더 필요한 카드</t>
  </si>
  <si>
    <t xml:space="preserve">불확실하고 모호해 확인이 먼저 필요한 카드</t>
  </si>
  <si>
    <t xml:space="preserve">안개가 걷혀 지금 자리에 대한 판단이 선명해지는 상태</t>
  </si>
  <si>
    <t xml:space="preserve">안개가 걷혀 시작할 길이 보이는 상태</t>
  </si>
  <si>
    <t xml:space="preserve">안개가 걷혀 옮겨 갈 곳이 선명해진 상태</t>
  </si>
  <si>
    <t xml:space="preserve">활력과 기쁨이 가득한 새 환경으로 향할 수 있는 카드</t>
  </si>
  <si>
    <t xml:space="preserve">활력과 기쁨이 가득해 바로 시작하기 좋은 카드</t>
  </si>
  <si>
    <t xml:space="preserve">밝고 활기찬 새 보금자리가 기다리는 카드</t>
  </si>
  <si>
    <t xml:space="preserve">지금 자리에서 기쁨이 가려져 활력을 잃은 상태</t>
  </si>
  <si>
    <t xml:space="preserve">지친 의욕이 돌아오는 중이라 가볍게 해 볼 만한 상태</t>
  </si>
  <si>
    <t xml:space="preserve">머무는 곳에서 기쁨을 잃어 변화가 필요한 상태</t>
  </si>
  <si>
    <t xml:space="preserve">마음속 부름에 응답해 움직이라는 카드</t>
  </si>
  <si>
    <t xml:space="preserve">마음속 부름에 응답해 시작하라는 카드</t>
  </si>
  <si>
    <t xml:space="preserve">마음속 부름에 응답해 새 터전으로 향하는 카드</t>
  </si>
  <si>
    <t xml:space="preserve">기준이 높고 방향이 흐려 결정을 못 내리는 상태</t>
  </si>
  <si>
    <t xml:space="preserve">기준이 높고 방향이 흐려 시작하지 못하는 상태</t>
  </si>
  <si>
    <t xml:space="preserve">한 바퀴를 마쳐 다음 단계로 넘어갈 때인 카드</t>
  </si>
  <si>
    <t xml:space="preserve">충분히 갖춰져 끝까지 이어 갈 토대가 된 카드</t>
  </si>
  <si>
    <t xml:space="preserve">한 시기를 마무리하고 멀리 새 터전으로 넘어가는 카드</t>
  </si>
  <si>
    <t xml:space="preserve">지금 자리를 조금만 매듭지으면 옮겨 갈 수 있는 상태</t>
  </si>
  <si>
    <t xml:space="preserve">마지막 점검만 하면 시작할 수 있는 상태</t>
  </si>
  <si>
    <t xml:space="preserve">정리할 일을 마치면 떠날 수 있는 상태</t>
  </si>
  <si>
    <t xml:space="preserve">표현 초안</t>
  </si>
  <si>
    <t xml:space="preserve">표현 확정</t>
  </si>
  <si>
    <t xml:space="preserve">표현 적용</t>
  </si>
  <si>
    <t xml:space="preserve">표현 — 질문에서의 뜻</t>
  </si>
  <si>
    <t xml:space="preserve">경계 초안</t>
  </si>
  <si>
    <t xml:space="preserve">경계 확정</t>
  </si>
  <si>
    <t xml:space="preserve">경계 적용</t>
  </si>
  <si>
    <t xml:space="preserve">경계 — 질문에서의 뜻</t>
  </si>
  <si>
    <r>
      <rPr>
        <sz val="11"/>
        <rFont val="Noto Sans CJK SC"/>
        <family val="2"/>
      </rPr>
      <t xml:space="preserve">바보</t>
    </r>
    <r>
      <rPr>
        <sz val="11"/>
        <rFont val="Arial"/>
        <family val="0"/>
        <charset val="1"/>
      </rPr>
      <t xml:space="preserve">(The Fool)</t>
    </r>
  </si>
  <si>
    <t xml:space="preserve">가볍게 열린 마음으로 일단 받아들이며 따라가 보는 카드</t>
  </si>
  <si>
    <t xml:space="preserve">준비가 덜 됐으니 선뜻 맡지 말고 한 걸음 물러서는 상태</t>
  </si>
  <si>
    <r>
      <rPr>
        <sz val="11"/>
        <rFont val="Noto Sans CJK SC"/>
        <family val="2"/>
      </rPr>
      <t xml:space="preserve">마법사</t>
    </r>
    <r>
      <rPr>
        <sz val="11"/>
        <rFont val="Arial"/>
        <family val="0"/>
        <charset val="1"/>
      </rPr>
      <t xml:space="preserve">(The Magician)</t>
    </r>
  </si>
  <si>
    <t xml:space="preserve">할 수 있는 힘이 충분해 맡은 일을 계속 해내는 카드</t>
  </si>
  <si>
    <t xml:space="preserve">여기저기 힘이 흩어져 맡은 일을 덜어 내야 하는 상태</t>
  </si>
  <si>
    <r>
      <rPr>
        <sz val="11"/>
        <rFont val="Noto Sans CJK SC"/>
        <family val="2"/>
      </rPr>
      <t xml:space="preserve">여사제</t>
    </r>
    <r>
      <rPr>
        <sz val="11"/>
        <rFont val="Arial"/>
        <family val="0"/>
        <charset val="1"/>
      </rPr>
      <t xml:space="preserve">(The High Priestess)</t>
    </r>
  </si>
  <si>
    <t xml:space="preserve">소란에서 한발 떨어져 조용히 거리를 두는 편이 맞는 카드</t>
  </si>
  <si>
    <t xml:space="preserve">주변 소리에 묻혀 내 뜻 없이 남에게 맞추고 있는 상태</t>
  </si>
  <si>
    <r>
      <rPr>
        <sz val="11"/>
        <rFont val="Noto Sans CJK SC"/>
        <family val="2"/>
      </rPr>
      <t xml:space="preserve">여황제</t>
    </r>
    <r>
      <rPr>
        <sz val="11"/>
        <rFont val="Arial"/>
        <family val="0"/>
        <charset val="1"/>
      </rPr>
      <t xml:space="preserve">(The Empress)</t>
    </r>
  </si>
  <si>
    <t xml:space="preserve">따뜻한 관심과 다정한 한마디가 잘 닿는 카드</t>
  </si>
  <si>
    <t xml:space="preserve">넉넉히 품고 베풀며 곁의 사람을 계속 챙기게 되는 카드</t>
  </si>
  <si>
    <t xml:space="preserve">챙기려는 마음이 과해 오히려 부담을 줄 수 있는 상태</t>
  </si>
  <si>
    <t xml:space="preserve">남을 챙기느라 바닥난 나를 위해 이제 멈추고 쉬어야 하는 상태</t>
  </si>
  <si>
    <r>
      <rPr>
        <sz val="11"/>
        <rFont val="Noto Sans CJK SC"/>
        <family val="2"/>
      </rPr>
      <t xml:space="preserve">황제</t>
    </r>
    <r>
      <rPr>
        <sz val="11"/>
        <rFont val="Arial"/>
        <family val="0"/>
        <charset val="1"/>
      </rPr>
      <t xml:space="preserve">(The Emperor)</t>
    </r>
  </si>
  <si>
    <t xml:space="preserve">내가 지킬 선과 원칙을 분명하고 단단하게 세우는 카드</t>
  </si>
  <si>
    <t xml:space="preserve">혼자 다 짊어진 짐을 느슨히 풀고 나눠 맡겨야 하는 상태</t>
  </si>
  <si>
    <r>
      <rPr>
        <sz val="11"/>
        <rFont val="Noto Sans CJK SC"/>
        <family val="2"/>
      </rPr>
      <t xml:space="preserve">교황</t>
    </r>
    <r>
      <rPr>
        <sz val="11"/>
        <rFont val="Arial"/>
        <family val="0"/>
        <charset val="1"/>
      </rPr>
      <t xml:space="preserve">(The Hierophant)</t>
    </r>
  </si>
  <si>
    <t xml:space="preserve">오래된 관례와 주변 기대에 맞춰 따라가게 되는 카드</t>
  </si>
  <si>
    <t xml:space="preserve">낡은 틀과 기대가 나와 맞지 않아 벗어나도 좋은 카드</t>
  </si>
  <si>
    <r>
      <rPr>
        <sz val="11"/>
        <rFont val="Noto Sans CJK SC"/>
        <family val="2"/>
      </rPr>
      <t xml:space="preserve">연인</t>
    </r>
    <r>
      <rPr>
        <sz val="11"/>
        <rFont val="Arial"/>
        <family val="0"/>
        <charset val="1"/>
      </rPr>
      <t xml:space="preserve">(The Lovers)</t>
    </r>
  </si>
  <si>
    <t xml:space="preserve">솔직한 마음을 나누며 먼저 다가가도 좋은 카드</t>
  </si>
  <si>
    <t xml:space="preserve">서로의 관계를 소중히 여겨 상대를 배려하며 맞추는 카드</t>
  </si>
  <si>
    <t xml:space="preserve">엇갈린 마음도 솔직히 말해 보면 풀릴 수 있는 상태</t>
  </si>
  <si>
    <t xml:space="preserve">마음이 엇갈려 거절하지 못하고 흐지부지 끌려가는 상태</t>
  </si>
  <si>
    <r>
      <rPr>
        <sz val="11"/>
        <rFont val="Noto Sans CJK SC"/>
        <family val="2"/>
      </rPr>
      <t xml:space="preserve">전차</t>
    </r>
    <r>
      <rPr>
        <sz val="11"/>
        <rFont val="Arial"/>
        <family val="0"/>
        <charset val="1"/>
      </rPr>
      <t xml:space="preserve">(The Chariot)</t>
    </r>
  </si>
  <si>
    <t xml:space="preserve">추진력으로 내 방향을 분명히 정하고 단호하게 나서는 카드</t>
  </si>
  <si>
    <t xml:space="preserve">방향 없이 맴돌던 일에서 한발 빠져나와도 좋은 상태</t>
  </si>
  <si>
    <r>
      <rPr>
        <sz val="11"/>
        <rFont val="Noto Sans CJK SC"/>
        <family val="2"/>
      </rPr>
      <t xml:space="preserve">힘</t>
    </r>
    <r>
      <rPr>
        <sz val="11"/>
        <rFont val="Arial"/>
        <family val="0"/>
        <charset val="1"/>
      </rPr>
      <t xml:space="preserve">(Strength)</t>
    </r>
  </si>
  <si>
    <t xml:space="preserve">불편함을 품고 부드럽게 견디며 끝까지 버티게 되는 카드</t>
  </si>
  <si>
    <t xml:space="preserve">너무 오래 혼자 참아 왔으니 이제 그만 참고 멈춰야 하는 상태</t>
  </si>
  <si>
    <r>
      <rPr>
        <sz val="11"/>
        <rFont val="Noto Sans CJK SC"/>
        <family val="2"/>
      </rPr>
      <t xml:space="preserve">은둔자</t>
    </r>
    <r>
      <rPr>
        <sz val="11"/>
        <rFont val="Arial"/>
        <family val="0"/>
        <charset val="1"/>
      </rPr>
      <t xml:space="preserve">(The Hermit)</t>
    </r>
  </si>
  <si>
    <t xml:space="preserve">사람들에게서 물러나 혼자만의 시간으로 선을 긋는 카드</t>
  </si>
  <si>
    <t xml:space="preserve">혼자 있는 것이 고립이 되기 전에 거리를 다시 조절하는 상태</t>
  </si>
  <si>
    <r>
      <rPr>
        <sz val="11"/>
        <rFont val="Noto Sans CJK SC"/>
        <family val="2"/>
      </rPr>
      <t xml:space="preserve">운명의 수레바퀴</t>
    </r>
    <r>
      <rPr>
        <sz val="11"/>
        <rFont val="Arial"/>
        <family val="0"/>
        <charset val="1"/>
      </rPr>
      <t xml:space="preserve">(Wheel of Fortune)</t>
    </r>
  </si>
  <si>
    <t xml:space="preserve">흐름이 바뀌는 때라 돌아가는 상황에 맞춰 따라가는 카드</t>
  </si>
  <si>
    <t xml:space="preserve">흐름에 떠밀리지 말고 맞서서 내 뜻을 지켜야 하는 상태</t>
  </si>
  <si>
    <r>
      <rPr>
        <sz val="11"/>
        <rFont val="Noto Sans CJK SC"/>
        <family val="2"/>
      </rPr>
      <t xml:space="preserve">정의</t>
    </r>
    <r>
      <rPr>
        <sz val="11"/>
        <rFont val="Arial"/>
        <family val="0"/>
        <charset val="1"/>
      </rPr>
      <t xml:space="preserve">(Justice)</t>
    </r>
  </si>
  <si>
    <t xml:space="preserve">솔직하고 공정하게 내 의견을 분명히 말해도 좋은 카드</t>
  </si>
  <si>
    <t xml:space="preserve">나와 상대에게 공정한 선을 그어 분명히 정리하는 카드</t>
  </si>
  <si>
    <t xml:space="preserve">저울이 상대 쪽으로 기울어 나만 양보하고 있는 상태</t>
  </si>
  <si>
    <r>
      <rPr>
        <sz val="11"/>
        <rFont val="Noto Sans CJK SC"/>
        <family val="2"/>
      </rPr>
      <t xml:space="preserve">매달린 사람</t>
    </r>
    <r>
      <rPr>
        <sz val="11"/>
        <rFont val="Arial"/>
        <family val="0"/>
        <charset val="1"/>
      </rPr>
      <t xml:space="preserve">(The Hanged Man)</t>
    </r>
  </si>
  <si>
    <t xml:space="preserve">움직임을 멈추고 맡은 걸 잠시 놓은 채 쉬어 가는 카드</t>
  </si>
  <si>
    <t xml:space="preserve">멈춘 채 눈치만 보며 결정을 미루고 계속 끌려가는 상태</t>
  </si>
  <si>
    <r>
      <rPr>
        <sz val="11"/>
        <rFont val="Noto Sans CJK SC"/>
        <family val="2"/>
      </rPr>
      <t xml:space="preserve">죽음</t>
    </r>
    <r>
      <rPr>
        <sz val="11"/>
        <rFont val="Arial"/>
        <family val="0"/>
        <charset val="1"/>
      </rPr>
      <t xml:space="preserve">(Death)</t>
    </r>
  </si>
  <si>
    <t xml:space="preserve">맞지 않게 된 관계와 역할을 끝내고 내려놓을 때라는 카드</t>
  </si>
  <si>
    <t xml:space="preserve">이미 끝난 것을 놓지 못하고 계속 붙들고 있는 상태</t>
  </si>
  <si>
    <r>
      <rPr>
        <sz val="11"/>
        <rFont val="Noto Sans CJK SC"/>
        <family val="2"/>
      </rPr>
      <t xml:space="preserve">절제</t>
    </r>
    <r>
      <rPr>
        <sz val="11"/>
        <rFont val="Arial"/>
        <family val="0"/>
        <charset val="1"/>
      </rPr>
      <t xml:space="preserve">(Temperance)</t>
    </r>
  </si>
  <si>
    <t xml:space="preserve">양쪽 사정을 조율하며 서로 맞춰 가는 카드</t>
  </si>
  <si>
    <t xml:space="preserve">표현이 한쪽으로 쏠려 균형부터 다시 맞춰야 하는 상태</t>
  </si>
  <si>
    <t xml:space="preserve">한쪽으로 쏠린 부담을 덜어 내 몫을 줄여야 하는 상태</t>
  </si>
  <si>
    <r>
      <rPr>
        <sz val="11"/>
        <rFont val="Noto Sans CJK SC"/>
        <family val="2"/>
      </rPr>
      <t xml:space="preserve">악마</t>
    </r>
    <r>
      <rPr>
        <sz val="11"/>
        <rFont val="Arial"/>
        <family val="0"/>
        <charset val="1"/>
      </rPr>
      <t xml:space="preserve">(The Devil)</t>
    </r>
  </si>
  <si>
    <t xml:space="preserve">오래된 습관과 방어에 묶여 먼저 말 꺼내기 어려운 상태</t>
  </si>
  <si>
    <t xml:space="preserve">오랜 습관과 의무감에 묶여 빠져나오지 못하는 카드</t>
  </si>
  <si>
    <t xml:space="preserve">굳어 있던 방어가 풀려 속마음을 꺼내 볼 수 있는 카드</t>
  </si>
  <si>
    <t xml:space="preserve">나를 묶던 사슬이 풀려 얽매인 관계에서 벗어나는 카드</t>
  </si>
  <si>
    <r>
      <rPr>
        <sz val="11"/>
        <rFont val="Noto Sans CJK SC"/>
        <family val="2"/>
      </rPr>
      <t xml:space="preserve">탑</t>
    </r>
    <r>
      <rPr>
        <sz val="11"/>
        <rFont val="Arial"/>
        <family val="0"/>
        <charset val="1"/>
      </rPr>
      <t xml:space="preserve">(The Tower)</t>
    </r>
  </si>
  <si>
    <t xml:space="preserve">무너진 자리에서 억지로 잇지 않고 끊어 내도 좋은 카드</t>
  </si>
  <si>
    <t xml:space="preserve">무너지지 않으려 버티느라 지쳤으니 내려놓아도 되는 상태</t>
  </si>
  <si>
    <r>
      <rPr>
        <sz val="11"/>
        <rFont val="Noto Sans CJK SC"/>
        <family val="2"/>
      </rPr>
      <t xml:space="preserve">별</t>
    </r>
    <r>
      <rPr>
        <sz val="11"/>
        <rFont val="Arial"/>
        <family val="0"/>
        <charset val="1"/>
      </rPr>
      <t xml:space="preserve">(The Star)</t>
    </r>
  </si>
  <si>
    <t xml:space="preserve">천천히 회복하도록 나를 먼저 쉬게 해 주는 카드</t>
  </si>
  <si>
    <t xml:space="preserve">아직 기운이 약하니 무리하지 말고 쉬어야 하는 상태</t>
  </si>
  <si>
    <r>
      <rPr>
        <sz val="11"/>
        <rFont val="Noto Sans CJK SC"/>
        <family val="2"/>
      </rPr>
      <t xml:space="preserve">달</t>
    </r>
    <r>
      <rPr>
        <sz val="11"/>
        <rFont val="Arial"/>
        <family val="0"/>
        <charset val="1"/>
      </rPr>
      <t xml:space="preserve">(The Moon)</t>
    </r>
  </si>
  <si>
    <t xml:space="preserve">확신이 서지 않아 분위기에 이끌려 따라가게 되는 카드</t>
  </si>
  <si>
    <t xml:space="preserve">안개가 걷혀 내가 원하는 바가 보이기 시작하는 상태</t>
  </si>
  <si>
    <r>
      <rPr>
        <sz val="11"/>
        <rFont val="Noto Sans CJK SC"/>
        <family val="2"/>
      </rPr>
      <t xml:space="preserve">태양</t>
    </r>
    <r>
      <rPr>
        <sz val="11"/>
        <rFont val="Arial"/>
        <family val="0"/>
        <charset val="1"/>
      </rPr>
      <t xml:space="preserve">(The Sun)</t>
    </r>
  </si>
  <si>
    <t xml:space="preserve">함께하는 즐거움이 커서 기꺼이 곁에서 어울리는 카드</t>
  </si>
  <si>
    <t xml:space="preserve">기쁨이 가려질 만큼 지쳤으니 잠시 쉬어도 되는 상태</t>
  </si>
  <si>
    <r>
      <rPr>
        <sz val="11"/>
        <rFont val="Noto Sans CJK SC"/>
        <family val="2"/>
      </rPr>
      <t xml:space="preserve">심판</t>
    </r>
    <r>
      <rPr>
        <sz val="11"/>
        <rFont val="Arial"/>
        <family val="0"/>
        <charset val="1"/>
      </rPr>
      <t xml:space="preserve">(Judgement)</t>
    </r>
  </si>
  <si>
    <t xml:space="preserve">내 마음의 부름에 따라 선택하고 단호히 답하는 카드</t>
  </si>
  <si>
    <t xml:space="preserve">자기 의심에 걸려 분명히 말하지 못하고 맞추는 상태</t>
  </si>
  <si>
    <r>
      <rPr>
        <sz val="11"/>
        <rFont val="Noto Sans CJK SC"/>
        <family val="2"/>
      </rPr>
      <t xml:space="preserve">세계</t>
    </r>
    <r>
      <rPr>
        <sz val="11"/>
        <rFont val="Arial"/>
        <family val="0"/>
        <charset val="1"/>
      </rPr>
      <t xml:space="preserve">(The World)</t>
    </r>
  </si>
  <si>
    <t xml:space="preserve">관계가 무르익어 하고 싶은 말을 자연스럽게 꺼낼 수 있는 카드</t>
  </si>
  <si>
    <t xml:space="preserve">한 단계를 잘 마무리하고 다음으로 넘어가도 좋은 카드</t>
  </si>
  <si>
    <t xml:space="preserve">마무리가 덜 되어 맡은 일을 더 이어 가야 하는 상태</t>
  </si>
  <si>
    <r>
      <rPr>
        <i val="true"/>
        <sz val="11"/>
        <color rgb="FF666666"/>
        <rFont val="Arial"/>
        <family val="0"/>
        <charset val="1"/>
      </rPr>
      <t xml:space="preserve">2026-10-22: '</t>
    </r>
    <r>
      <rPr>
        <i val="true"/>
        <sz val="11"/>
        <color rgb="FF666666"/>
        <rFont val="Noto Sans CJK SC"/>
        <family val="2"/>
      </rPr>
      <t xml:space="preserve">일반 행동</t>
    </r>
    <r>
      <rPr>
        <i val="true"/>
        <sz val="11"/>
        <color rgb="FF666666"/>
        <rFont val="Arial"/>
        <family val="0"/>
        <charset val="1"/>
      </rPr>
      <t xml:space="preserve">' </t>
    </r>
    <r>
      <rPr>
        <i val="true"/>
        <sz val="11"/>
        <color rgb="FF666666"/>
        <rFont val="Noto Sans CJK SC"/>
        <family val="2"/>
      </rPr>
      <t xml:space="preserve">표를 둘로 나눔 — 같은 카드가 두 표에서 반대로 읽힘</t>
    </r>
    <r>
      <rPr>
        <i val="true"/>
        <sz val="11"/>
        <color rgb="FF666666"/>
        <rFont val="Arial"/>
        <family val="0"/>
        <charset val="1"/>
      </rPr>
      <t xml:space="preserve">(</t>
    </r>
    <r>
      <rPr>
        <i val="true"/>
        <sz val="11"/>
        <color rgb="FF666666"/>
        <rFont val="Noto Sans CJK SC"/>
        <family val="2"/>
      </rPr>
      <t xml:space="preserve">예</t>
    </r>
    <r>
      <rPr>
        <i val="true"/>
        <sz val="11"/>
        <color rgb="FF666666"/>
        <rFont val="Arial"/>
        <family val="0"/>
        <charset val="1"/>
      </rPr>
      <t xml:space="preserve">: 9 </t>
    </r>
    <r>
      <rPr>
        <i val="true"/>
        <sz val="11"/>
        <color rgb="FF666666"/>
        <rFont val="Noto Sans CJK SC"/>
        <family val="2"/>
      </rPr>
      <t xml:space="preserve">정방향 표현 −</t>
    </r>
    <r>
      <rPr>
        <i val="true"/>
        <sz val="11"/>
        <color rgb="FF666666"/>
        <rFont val="Arial"/>
        <family val="0"/>
        <charset val="1"/>
      </rPr>
      <t xml:space="preserve">2 / </t>
    </r>
    <r>
      <rPr>
        <i val="true"/>
        <sz val="11"/>
        <color rgb="FF666666"/>
        <rFont val="Noto Sans CJK SC"/>
        <family val="2"/>
      </rPr>
      <t xml:space="preserve">경계 </t>
    </r>
    <r>
      <rPr>
        <i val="true"/>
        <sz val="11"/>
        <color rgb="FF666666"/>
        <rFont val="Arial"/>
        <family val="0"/>
        <charset val="1"/>
      </rPr>
      <t xml:space="preserve">+2). </t>
    </r>
    <r>
      <rPr>
        <i val="true"/>
        <sz val="11"/>
        <color rgb="FF666666"/>
        <rFont val="Noto Sans CJK SC"/>
        <family val="2"/>
      </rPr>
      <t xml:space="preserve">표현</t>
    </r>
    <r>
      <rPr>
        <i val="true"/>
        <sz val="11"/>
        <color rgb="FF666666"/>
        <rFont val="Arial"/>
        <family val="0"/>
        <charset val="1"/>
      </rPr>
      <t xml:space="preserve">: </t>
    </r>
    <r>
      <rPr>
        <i val="true"/>
        <sz val="11"/>
        <color rgb="FF666666"/>
        <rFont val="Noto Sans CJK SC"/>
        <family val="2"/>
      </rPr>
      <t xml:space="preserve">친구</t>
    </r>
    <r>
      <rPr>
        <i val="true"/>
        <sz val="11"/>
        <color rgb="FF666666"/>
        <rFont val="Arial"/>
        <family val="0"/>
        <charset val="1"/>
      </rPr>
      <t xml:space="preserve">·</t>
    </r>
    <r>
      <rPr>
        <i val="true"/>
        <sz val="11"/>
        <color rgb="FF666666"/>
        <rFont val="Noto Sans CJK SC"/>
        <family val="2"/>
      </rPr>
      <t xml:space="preserve">가족</t>
    </r>
    <r>
      <rPr>
        <i val="true"/>
        <sz val="11"/>
        <color rgb="FF666666"/>
        <rFont val="Arial"/>
        <family val="0"/>
        <charset val="1"/>
      </rPr>
      <t xml:space="preserve">·</t>
    </r>
    <r>
      <rPr>
        <i val="true"/>
        <sz val="11"/>
        <color rgb="FF666666"/>
        <rFont val="Noto Sans CJK SC"/>
        <family val="2"/>
      </rPr>
      <t xml:space="preserve">직장 사람에게 먼저 말하기</t>
    </r>
    <r>
      <rPr>
        <i val="true"/>
        <sz val="11"/>
        <color rgb="FF666666"/>
        <rFont val="Arial"/>
        <family val="0"/>
        <charset val="1"/>
      </rPr>
      <t xml:space="preserve">·</t>
    </r>
    <r>
      <rPr>
        <i val="true"/>
        <sz val="11"/>
        <color rgb="FF666666"/>
        <rFont val="Noto Sans CJK SC"/>
        <family val="2"/>
      </rPr>
      <t xml:space="preserve">연락</t>
    </r>
    <r>
      <rPr>
        <i val="true"/>
        <sz val="11"/>
        <color rgb="FF666666"/>
        <rFont val="Arial"/>
        <family val="0"/>
        <charset val="1"/>
      </rPr>
      <t xml:space="preserve">·</t>
    </r>
    <r>
      <rPr>
        <i val="true"/>
        <sz val="11"/>
        <color rgb="FF666666"/>
        <rFont val="Noto Sans CJK SC"/>
        <family val="2"/>
      </rPr>
      <t xml:space="preserve">다가가기</t>
    </r>
    <r>
      <rPr>
        <i val="true"/>
        <sz val="11"/>
        <color rgb="FF666666"/>
        <rFont val="Arial"/>
        <family val="0"/>
        <charset val="1"/>
      </rPr>
      <t xml:space="preserve">(+) / </t>
    </r>
    <r>
      <rPr>
        <i val="true"/>
        <sz val="11"/>
        <color rgb="FF666666"/>
        <rFont val="Noto Sans CJK SC"/>
        <family val="2"/>
      </rPr>
      <t xml:space="preserve">말 아끼고 지켜보기</t>
    </r>
    <r>
      <rPr>
        <i val="true"/>
        <sz val="11"/>
        <color rgb="FF666666"/>
        <rFont val="Arial"/>
        <family val="0"/>
        <charset val="1"/>
      </rPr>
      <t xml:space="preserve">(−). </t>
    </r>
    <r>
      <rPr>
        <i val="true"/>
        <sz val="11"/>
        <color rgb="FF666666"/>
        <rFont val="Noto Sans CJK SC"/>
        <family val="2"/>
      </rPr>
      <t xml:space="preserve">경계</t>
    </r>
    <r>
      <rPr>
        <i val="true"/>
        <sz val="11"/>
        <color rgb="FF666666"/>
        <rFont val="Arial"/>
        <family val="0"/>
        <charset val="1"/>
      </rPr>
      <t xml:space="preserve">: </t>
    </r>
    <r>
      <rPr>
        <i val="true"/>
        <sz val="11"/>
        <color rgb="FF666666"/>
        <rFont val="Noto Sans CJK SC"/>
        <family val="2"/>
      </rPr>
      <t xml:space="preserve">거절</t>
    </r>
    <r>
      <rPr>
        <i val="true"/>
        <sz val="11"/>
        <color rgb="FF666666"/>
        <rFont val="Arial"/>
        <family val="0"/>
        <charset val="1"/>
      </rPr>
      <t xml:space="preserve">·</t>
    </r>
    <r>
      <rPr>
        <i val="true"/>
        <sz val="11"/>
        <color rgb="FF666666"/>
        <rFont val="Noto Sans CJK SC"/>
        <family val="2"/>
      </rPr>
      <t xml:space="preserve">선 긋기</t>
    </r>
    <r>
      <rPr>
        <i val="true"/>
        <sz val="11"/>
        <color rgb="FF666666"/>
        <rFont val="Arial"/>
        <family val="0"/>
        <charset val="1"/>
      </rPr>
      <t xml:space="preserve">·</t>
    </r>
    <r>
      <rPr>
        <i val="true"/>
        <sz val="11"/>
        <color rgb="FF666666"/>
        <rFont val="Noto Sans CJK SC"/>
        <family val="2"/>
      </rPr>
      <t xml:space="preserve">빠지기</t>
    </r>
    <r>
      <rPr>
        <i val="true"/>
        <sz val="11"/>
        <color rgb="FF666666"/>
        <rFont val="Arial"/>
        <family val="0"/>
        <charset val="1"/>
      </rPr>
      <t xml:space="preserve">·</t>
    </r>
    <r>
      <rPr>
        <i val="true"/>
        <sz val="11"/>
        <color rgb="FF666666"/>
        <rFont val="Noto Sans CJK SC"/>
        <family val="2"/>
      </rPr>
      <t xml:space="preserve">내려놓기</t>
    </r>
    <r>
      <rPr>
        <i val="true"/>
        <sz val="11"/>
        <color rgb="FF666666"/>
        <rFont val="Arial"/>
        <family val="0"/>
        <charset val="1"/>
      </rPr>
      <t xml:space="preserve">(+) / </t>
    </r>
    <r>
      <rPr>
        <i val="true"/>
        <sz val="11"/>
        <color rgb="FF666666"/>
        <rFont val="Noto Sans CJK SC"/>
        <family val="2"/>
      </rPr>
      <t xml:space="preserve">맞춰 주기</t>
    </r>
    <r>
      <rPr>
        <i val="true"/>
        <sz val="11"/>
        <color rgb="FF666666"/>
        <rFont val="Arial"/>
        <family val="0"/>
        <charset val="1"/>
      </rPr>
      <t xml:space="preserve">·</t>
    </r>
    <r>
      <rPr>
        <i val="true"/>
        <sz val="11"/>
        <color rgb="FF666666"/>
        <rFont val="Noto Sans CJK SC"/>
        <family val="2"/>
      </rPr>
      <t xml:space="preserve">계속 맡기</t>
    </r>
    <r>
      <rPr>
        <i val="true"/>
        <sz val="11"/>
        <color rgb="FF666666"/>
        <rFont val="Arial"/>
        <family val="0"/>
        <charset val="1"/>
      </rPr>
      <t xml:space="preserve">(−).</t>
    </r>
  </si>
  <si>
    <r>
      <rPr>
        <b val="true"/>
        <sz val="12"/>
        <color rgb="FF204870"/>
        <rFont val="Arial"/>
        <family val="0"/>
        <charset val="1"/>
      </rPr>
      <t xml:space="preserve">v2</t>
    </r>
    <r>
      <rPr>
        <b val="true"/>
        <sz val="12"/>
        <color rgb="FF204870"/>
        <rFont val="Noto Sans CJK SC"/>
        <family val="2"/>
      </rPr>
      <t xml:space="preserve">에서 −</t>
    </r>
    <r>
      <rPr>
        <b val="true"/>
        <sz val="12"/>
        <color rgb="FF204870"/>
        <rFont val="Arial"/>
        <family val="0"/>
        <charset val="1"/>
      </rPr>
      <t xml:space="preserve">1 → +1</t>
    </r>
    <r>
      <rPr>
        <b val="true"/>
        <sz val="12"/>
        <color rgb="FF204870"/>
        <rFont val="Noto Sans CJK SC"/>
        <family val="2"/>
      </rPr>
      <t xml:space="preserve">로 바꾼 카드 — 유형마다 </t>
    </r>
    <r>
      <rPr>
        <b val="true"/>
        <sz val="12"/>
        <color rgb="FF204870"/>
        <rFont val="Arial"/>
        <family val="0"/>
        <charset val="1"/>
      </rPr>
      <t xml:space="preserve">+ </t>
    </r>
    <r>
      <rPr>
        <b val="true"/>
        <sz val="12"/>
        <color rgb="FF204870"/>
        <rFont val="Noto Sans CJK SC"/>
        <family val="2"/>
      </rPr>
      <t xml:space="preserve">카드 </t>
    </r>
    <r>
      <rPr>
        <b val="true"/>
        <sz val="12"/>
        <color rgb="FF204870"/>
        <rFont val="Arial"/>
        <family val="0"/>
        <charset val="1"/>
      </rPr>
      <t xml:space="preserve">26</t>
    </r>
    <r>
      <rPr>
        <b val="true"/>
        <sz val="12"/>
        <color rgb="FF204870"/>
        <rFont val="Noto Sans CJK SC"/>
        <family val="2"/>
      </rPr>
      <t xml:space="preserve">개가 되도록 </t>
    </r>
    <r>
      <rPr>
        <b val="true"/>
        <sz val="12"/>
        <color rgb="FF204870"/>
        <rFont val="Arial"/>
        <family val="0"/>
        <charset val="1"/>
      </rPr>
      <t xml:space="preserve">(−2 </t>
    </r>
    <r>
      <rPr>
        <b val="true"/>
        <sz val="12"/>
        <color rgb="FF204870"/>
        <rFont val="Noto Sans CJK SC"/>
        <family val="2"/>
      </rPr>
      <t xml:space="preserve">카드는 그대로</t>
    </r>
    <r>
      <rPr>
        <b val="true"/>
        <sz val="12"/>
        <color rgb="FF204870"/>
        <rFont val="Arial"/>
        <family val="0"/>
        <charset val="1"/>
      </rPr>
      <t xml:space="preserve">)</t>
    </r>
  </si>
  <si>
    <t xml:space="preserve">전</t>
  </si>
  <si>
    <t xml:space="preserve">전 — 질문에서의 뜻</t>
  </si>
  <si>
    <t xml:space="preserve">후</t>
  </si>
  <si>
    <t xml:space="preserve">후 — 질문에서의 뜻</t>
  </si>
  <si>
    <t xml:space="preserve">바꾼 이유</t>
  </si>
  <si>
    <t xml:space="preserve">검수(OK / 되돌리기)</t>
  </si>
  <si>
    <t xml:space="preserve">재회</t>
  </si>
  <si>
    <t xml:space="preserve">첫 물장구 정방향</t>
  </si>
  <si>
    <t xml:space="preserve">새 출발의 카드라 지난 인연보다 새 인연 쪽</t>
  </si>
  <si>
    <t xml:space="preserve">새 출발의 기운이 재회에도 열려 있어 예(+)로 읽힘.</t>
  </si>
  <si>
    <t xml:space="preserve">여덟 갈래의 손 역방향</t>
  </si>
  <si>
    <t xml:space="preserve">말과 행동이 엇갈리는 상태라 연락이 꼬이기 쉬움</t>
  </si>
  <si>
    <t xml:space="preserve">꼬인 소통이 풀리는 중이라 다시 연락해 볼 만함.</t>
  </si>
  <si>
    <t xml:space="preserve">지키는 자리 역방향</t>
  </si>
  <si>
    <t xml:space="preserve">통제가 흔들려 다시 시작해도 같은 갈등이 되풀이되기 쉬움</t>
  </si>
  <si>
    <t xml:space="preserve">경직이 풀리는 방향이라 재접촉 여지가 생김.</t>
  </si>
  <si>
    <t xml:space="preserve">오래된 지혜 역방향</t>
  </si>
  <si>
    <t xml:space="preserve">틀을 깨려는 때라 예전 관계로 돌아가기 어려움</t>
  </si>
  <si>
    <t xml:space="preserve">틀이 깨지는 것을 새 관계 방식의 기회로 읽을 수 있음.</t>
  </si>
  <si>
    <t xml:space="preserve">진주를 품는 힘 역방향</t>
  </si>
  <si>
    <t xml:space="preserve">감정이 앞서 다시 다치기 쉬운 상태</t>
  </si>
  <si>
    <t xml:space="preserve">추스르면 해 볼 만하다는 조건부 긍정.</t>
  </si>
  <si>
    <t xml:space="preserve">물과 뭍 사이 역방향</t>
  </si>
  <si>
    <t xml:space="preserve">조율이 어긋나 다시 맞추기 어려운 상태</t>
  </si>
  <si>
    <t xml:space="preserve">재조율하면 되는 문제라 회복 쪽으로 읽힘.</t>
  </si>
  <si>
    <t xml:space="preserve">다시 쌓는 둑 역방향</t>
  </si>
  <si>
    <t xml:space="preserve">무너진 뒤의 혼란이 아직 남은 상태</t>
  </si>
  <si>
    <t xml:space="preserve">역방향은 충격이 지나가는 중이라 재건 쪽으로 읽힘.</t>
  </si>
  <si>
    <t xml:space="preserve">한 바퀴의 바다 정방향</t>
  </si>
  <si>
    <t xml:space="preserve">한 사이클이 끝나고 다음 단계로 가는 카드</t>
  </si>
  <si>
    <t xml:space="preserve">한 번 끝난 뒤 새 단계로 이어진다는 예 쪽 해석.</t>
  </si>
  <si>
    <t xml:space="preserve">다가가기</t>
  </si>
  <si>
    <t xml:space="preserve">첫 물장구 역방향</t>
  </si>
  <si>
    <t xml:space="preserve">잘해야 한다는 부담에 연락 버튼 앞에서 머뭇거리는 상태</t>
  </si>
  <si>
    <t xml:space="preserve">머뭇거림이 풀리는 중이라 작게 먼저 연락할 만함.</t>
  </si>
  <si>
    <t xml:space="preserve">말을 고르다 타이밍을 놓치거나 표현이 꼬이기 쉬운 상태</t>
  </si>
  <si>
    <t xml:space="preserve">타이밍을 놓친 것이 아니라 짧게 만회 가능.</t>
  </si>
  <si>
    <t xml:space="preserve">오래된 지혜 정방향</t>
  </si>
  <si>
    <t xml:space="preserve">예의와 순서를 지키며 천천히 거리를 좁히라는 카드</t>
  </si>
  <si>
    <t xml:space="preserve">예의 있는 접근은 먼저 다가가는 방식으로도 자연스러움.</t>
  </si>
  <si>
    <t xml:space="preserve">나란히 헤엄 역방향</t>
  </si>
  <si>
    <t xml:space="preserve">마음이 엇갈려 표현이 제대로 전해지지 않는 상태</t>
  </si>
  <si>
    <t xml:space="preserve">솔직한 표현이 오히려 오해를 푸는 열쇠.</t>
  </si>
  <si>
    <t xml:space="preserve">자신감이 떨어져 한 발 내딛기 힘든 상태</t>
  </si>
  <si>
    <t xml:space="preserve">작은 용기만 내면 되는 조건부 긍정.</t>
  </si>
  <si>
    <t xml:space="preserve">표현의 정도가 맞지 않아 어색해지기 쉬운 상태</t>
  </si>
  <si>
    <t xml:space="preserve">수위만 조절하면 되는 문제라 접근 가능.</t>
  </si>
  <si>
    <t xml:space="preserve">진전</t>
  </si>
  <si>
    <t xml:space="preserve">준비가 덜 된 채 뛰어들기엔 이른 상태</t>
  </si>
  <si>
    <t xml:space="preserve">조금 준비하면 해 볼 만하다는 읽기.</t>
  </si>
  <si>
    <t xml:space="preserve">용기가 부족해 고백 앞에서 주저하는 상태</t>
  </si>
  <si>
    <t xml:space="preserve">용기만 내면 막힌 것이 풀리는 방향.</t>
  </si>
  <si>
    <t xml:space="preserve">물살의 순환 역방향</t>
  </si>
  <si>
    <t xml:space="preserve">타이밍이 맞지 않아 진전이 뒤로 밀리는 상태</t>
  </si>
  <si>
    <t xml:space="preserve">역방향이 막힌 흐름이 풀리는 중으로 읽힘.</t>
  </si>
  <si>
    <t xml:space="preserve">새 집으로 이사 정방향</t>
  </si>
  <si>
    <t xml:space="preserve">지금의 관계 형태가 끝나고 변화가 필요한 카드</t>
  </si>
  <si>
    <t xml:space="preserve">관계 형태의 전환은 곧 진전으로 읽힘.</t>
  </si>
  <si>
    <t xml:space="preserve">서로 속도가 어긋나 진전이 삐걱대는 상태</t>
  </si>
  <si>
    <t xml:space="preserve">속도 조율만 하면 진행 가능.</t>
  </si>
  <si>
    <t xml:space="preserve">한 바퀴의 바다 역방향</t>
  </si>
  <si>
    <t xml:space="preserve">마무리가 덜 되어 한 단계가 늦어지는 상태</t>
  </si>
  <si>
    <t xml:space="preserve">거의 다 온 상태라 조금만 채우면 진전 가능.</t>
  </si>
  <si>
    <t xml:space="preserve">지속</t>
  </si>
  <si>
    <t xml:space="preserve">품어 주는 품 역방향</t>
  </si>
  <si>
    <t xml:space="preserve">서로 돌볼 힘이 바닥나 관계가 시든 상태</t>
  </si>
  <si>
    <t xml:space="preserve">돌봄을 되찾는 것이 회복의 출발점.</t>
  </si>
  <si>
    <t xml:space="preserve">통제와 고집이 관계를 숨 막히게 하는 상태</t>
  </si>
  <si>
    <t xml:space="preserve">경직을 풀면 이어 갈 수 있다는 읽기.</t>
  </si>
  <si>
    <t xml:space="preserve">낡은 틀과 기대가 맞지 않아 답답한 상태</t>
  </si>
  <si>
    <t xml:space="preserve">틀을 바꾸는 것이 관계 회복의 방법.</t>
  </si>
  <si>
    <t xml:space="preserve">파도를 타는 힘 역방향</t>
  </si>
  <si>
    <t xml:space="preserve">서로 다른 방향으로 달려 힘이 흩어진 상태</t>
  </si>
  <si>
    <t xml:space="preserve">방향만 맞추면 되는 문제라 이어 갈 만함.</t>
  </si>
  <si>
    <t xml:space="preserve">지쳐서 관계를 버틸 힘이 떨어져 가는 상태</t>
  </si>
  <si>
    <t xml:space="preserve">쉼으로 회복 가능하다는 읽기.</t>
  </si>
  <si>
    <t xml:space="preserve">같은 문제가 되풀이되는 불운한 흐름의 상태</t>
  </si>
  <si>
    <t xml:space="preserve">역방향이 악순환이 끊기는 중으로 읽힘.</t>
  </si>
  <si>
    <t xml:space="preserve">조율이 어긋나 같은 갈등이 반복되는 상태</t>
  </si>
  <si>
    <t xml:space="preserve">재조율이 곧 회복 작업.</t>
  </si>
  <si>
    <t xml:space="preserve">무너진 뒤의 충격이 남아 회복이 더딘 상태</t>
  </si>
  <si>
    <t xml:space="preserve">무너진 뒤 재건 중으로 읽힘.</t>
  </si>
  <si>
    <t xml:space="preserve">새 인연</t>
  </si>
  <si>
    <t xml:space="preserve">두려움 때문에 새 만남을 자꾸 미루는 상태</t>
  </si>
  <si>
    <t xml:space="preserve">두려움만 풀면 되는 조건부 긍정.</t>
  </si>
  <si>
    <t xml:space="preserve">자신감이 약해져 만남을 피하게 되는 상태</t>
  </si>
  <si>
    <t xml:space="preserve">조금 준비하면 해 볼 만한 읽기.</t>
  </si>
  <si>
    <t xml:space="preserve">타이밍이 맞지 않아 만남이 비껴가는 상태</t>
  </si>
  <si>
    <t xml:space="preserve">막힌 시기가 풀리는 중.</t>
  </si>
  <si>
    <t xml:space="preserve">확신이 서지 않아 사람을 고르지 못하는 상태</t>
  </si>
  <si>
    <t xml:space="preserve">망설임 뒤 선택으로 이어지는 읽기.</t>
  </si>
  <si>
    <t xml:space="preserve">마무리가 덜 되어 새로 열기 이른 상태</t>
  </si>
  <si>
    <t xml:space="preserve">정리만 하면 열 수 있다는 조건부 긍정.</t>
  </si>
  <si>
    <t xml:space="preserve">균형이 깨져 만남이 어색하게 흘러가는 상태</t>
  </si>
  <si>
    <t xml:space="preserve">어색함은 조율로 풀리는 문제.</t>
  </si>
  <si>
    <t xml:space="preserve">옮기고 싶어도 두려움에 선뜻 나서지 못하는 상태</t>
  </si>
  <si>
    <t xml:space="preserve">두려움이 걸림돌일 뿐 옮길 마음은 있음.</t>
  </si>
  <si>
    <t xml:space="preserve">바위 위의 쉼 역방향</t>
  </si>
  <si>
    <t xml:space="preserve">답답하게 끼어 있어도 결정을 내리지 못하는 상태</t>
  </si>
  <si>
    <t xml:space="preserve">끼어 있던 상태가 풀리는 방향으로 읽힘.</t>
  </si>
  <si>
    <t xml:space="preserve">부풀어 오른 마음 정방향</t>
  </si>
  <si>
    <t xml:space="preserve">익숙한 습관과 조건에 묶여 벗어나기 어려운 카드</t>
  </si>
  <si>
    <t xml:space="preserve">묶임을 자각하면 벗어나는 쪽이 자연스러움.</t>
  </si>
  <si>
    <t xml:space="preserve">충격이 지나가는 중이라 움직일 여지.</t>
  </si>
  <si>
    <t xml:space="preserve">다시 빛나는 별 역방향</t>
  </si>
  <si>
    <t xml:space="preserve">아직 빛이 희미해 서두르면 실망하기 쉬운 상태</t>
  </si>
  <si>
    <t xml:space="preserve">마무리가 남아 지금 자리를 먼저 매듭지어야 하는 상태</t>
  </si>
  <si>
    <t xml:space="preserve">마무리만 하면 이동 가능.</t>
  </si>
  <si>
    <t xml:space="preserve">시작·도전</t>
  </si>
  <si>
    <t xml:space="preserve">부담 때문에 시작을 계속 다음으로 미루는 상태</t>
  </si>
  <si>
    <t xml:space="preserve">작게 시작하면 되는 조건부 긍정.</t>
  </si>
  <si>
    <t xml:space="preserve">체력과 여유가 바닥나 먼저 채워야 하는 상태</t>
  </si>
  <si>
    <t xml:space="preserve">충전하며 병행 가능.</t>
  </si>
  <si>
    <t xml:space="preserve">지나친 통제와 긴장으로 시작이 경직된 상태</t>
  </si>
  <si>
    <t xml:space="preserve">경직만 풀면 추진 가능.</t>
  </si>
  <si>
    <t xml:space="preserve">확신이 없어 선택을 미루며 머뭇거리는 상태</t>
  </si>
  <si>
    <t xml:space="preserve">하나만 고르면 시작 가능.</t>
  </si>
  <si>
    <t xml:space="preserve">혼자 버거워 도움을 받고 힘을 되찾아야 할 상태</t>
  </si>
  <si>
    <t xml:space="preserve">도움을 받으면 해 볼 만함.</t>
  </si>
  <si>
    <t xml:space="preserve">정체된 느낌에 죄책감만 커져 움직이지 못하는 상태</t>
  </si>
  <si>
    <t xml:space="preserve">막힌 것이 풀리는 중.</t>
  </si>
  <si>
    <t xml:space="preserve">새 집으로 이사 역방향</t>
  </si>
  <si>
    <t xml:space="preserve">익숙함을 놓지 못해 시작을 미루는 상태</t>
  </si>
  <si>
    <t xml:space="preserve">놓기만 하면 되는 조건부 긍정.</t>
  </si>
  <si>
    <t xml:space="preserve">햇살 바위 역방향</t>
  </si>
  <si>
    <t xml:space="preserve">의욕이 가려지고 지쳐 있어 회복이 먼저인 상태</t>
  </si>
  <si>
    <t xml:space="preserve">의욕이 가려졌을 뿐 회복 중.</t>
  </si>
  <si>
    <t xml:space="preserve">마무리할 준비가 덜 되어 마지막 점검이 남은 상태</t>
  </si>
  <si>
    <t xml:space="preserve">거의 준비된 상태.</t>
  </si>
  <si>
    <t xml:space="preserve">이사·독립</t>
  </si>
  <si>
    <t xml:space="preserve">낯선 곳이 두려워 떠나기를 망설이는 상태</t>
  </si>
  <si>
    <t xml:space="preserve">통제와 부담이 커 큰 이동이 무겁게 느껴지는 상태</t>
  </si>
  <si>
    <t xml:space="preserve">부담 분산으로 이동 가능.</t>
  </si>
  <si>
    <t xml:space="preserve">어디로 갈지 마음이 엇갈려 머뭇거리는 상태</t>
  </si>
  <si>
    <t xml:space="preserve">고민 후 선택 가능.</t>
  </si>
  <si>
    <t xml:space="preserve">답답해도 결정을 내리지 못해 끼어 있는 상태</t>
  </si>
  <si>
    <t xml:space="preserve">끼어 있던 상태가 풀리는 중.</t>
  </si>
  <si>
    <t xml:space="preserve">다시 흔들릴까 걱정되어 손대기 어려운 상태</t>
  </si>
  <si>
    <t xml:space="preserve">충격이 지나가는 중.</t>
  </si>
  <si>
    <t xml:space="preserve">아직 확신이 희미해 서두르면 실망하기 쉬운 상태</t>
  </si>
  <si>
    <t xml:space="preserve">정리할 일이 남아 떠나기 전 마무리가 필요한 상태</t>
  </si>
  <si>
    <t xml:space="preserve">합계 57장. '되돌리기'로 표시한 카드는 해당 점수표의 노란 '확정' 칸에 −1을 넣으면 바로 반영됩니다.</t>
  </si>
  <si>
    <t xml:space="preserve">점수표끼리 결론이 얼마나 다른가(v2) — 모든 뽑기 73,920가지 중 '움직이는 쪽/머무는 쪽' 결론이 서로 다른 비율(가중치 1·1·2, 합 ≥ 0 → 움직이는 쪽, Python 계산값)</t>
  </si>
  <si>
    <t xml:space="preserve">가장 가까운 짝: 이직·퇴사↔이사·독립 12%, 진전↔새 인연 15%, 다가가기↔새 인연 18% / 가장 먼 짝: 재회↔이사·독립 39%, 지속↔이사·독립 40%, 지속↔이직·퇴사 40%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</si>
</sst>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0.00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04870"/>
      <name val="Noto Sans CJK SC"/>
      <family val="2"/>
      <charset val="1"/>
    </font>
    <font>
      <sz val="11"/>
      <name val="Noto Sans CJK SC"/>
      <family val="2"/>
      <charset val="1"/>
    </font>
    <font>
      <sz val="11"/>
      <name val="Arial"/>
      <family val="0"/>
      <charset val="1"/>
    </font>
    <font>
      <sz val="11"/>
      <name val="Noto Sans CJK SC"/>
      <family val="2"/>
    </font>
    <font>
      <b val="true"/>
      <sz val="11"/>
      <name val="Noto Sans CJK SC"/>
      <family val="2"/>
      <charset val="1"/>
    </font>
    <font>
      <i val="true"/>
      <sz val="11"/>
      <color rgb="FF666666"/>
      <name val="Noto Sans CJK SC"/>
      <family val="2"/>
      <charset val="1"/>
    </font>
    <font>
      <i val="true"/>
      <sz val="11"/>
      <color rgb="FF666666"/>
      <name val="Arial"/>
      <family val="0"/>
      <charset val="1"/>
    </font>
    <font>
      <i val="true"/>
      <sz val="11"/>
      <color rgb="FF666666"/>
      <name val="Noto Sans CJK SC"/>
      <family val="2"/>
    </font>
    <font>
      <b val="true"/>
      <sz val="13"/>
      <color rgb="FF204870"/>
      <name val="Noto Sans CJK SC"/>
      <family val="2"/>
      <charset val="1"/>
    </font>
    <font>
      <b val="true"/>
      <sz val="11"/>
      <color rgb="FFFFFFFF"/>
      <name val="Noto Sans CJK SC"/>
      <family val="2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FFFFFF"/>
      <name val="Noto Sans CJK SC"/>
      <family val="2"/>
    </font>
    <font>
      <sz val="11"/>
      <color rgb="FF0000FF"/>
      <name val="Arial"/>
      <family val="0"/>
      <charset val="1"/>
    </font>
    <font>
      <b val="true"/>
      <sz val="12"/>
      <color rgb="FF204870"/>
      <name val="Noto Sans CJK SC"/>
      <family val="2"/>
      <charset val="1"/>
    </font>
    <font>
      <sz val="11"/>
      <color theme="1"/>
      <name val="Noto Sans CJK SC"/>
      <family val="2"/>
      <charset val="1"/>
    </font>
    <font>
      <b val="true"/>
      <sz val="11"/>
      <color rgb="FF204870"/>
      <name val="Noto Sans CJK SC"/>
      <family val="2"/>
      <charset val="1"/>
    </font>
    <font>
      <b val="true"/>
      <sz val="11"/>
      <name val="Arial"/>
      <family val="0"/>
      <charset val="1"/>
    </font>
    <font>
      <b val="true"/>
      <sz val="11"/>
      <name val="Noto Sans CJK SC"/>
      <family val="2"/>
    </font>
    <font>
      <sz val="11"/>
      <color theme="1"/>
      <name val="Arial"/>
      <family val="0"/>
      <charset val="1"/>
    </font>
    <font>
      <sz val="11"/>
      <color theme="1"/>
      <name val="Noto Sans CJK SC"/>
      <family val="2"/>
    </font>
    <font>
      <b val="true"/>
      <sz val="12"/>
      <color rgb="FF204870"/>
      <name val="Arial"/>
      <family val="0"/>
      <charset val="1"/>
    </font>
    <font>
      <b val="true"/>
      <sz val="12"/>
      <color rgb="FF204870"/>
      <name val="Noto Sans CJK SC"/>
      <family val="2"/>
    </font>
  </fonts>
  <fills count="5">
    <fill>
      <patternFill patternType="none"/>
    </fill>
    <fill>
      <patternFill patternType="gray125"/>
    </fill>
    <fill>
      <patternFill patternType="solid">
        <fgColor rgb="FF204870"/>
        <bgColor rgb="FF003366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CE4D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204870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0"/>
  </cols>
  <sheetData>
    <row r="1" customFormat="false" ht="21" hidden="false" customHeight="true" outlineLevel="0" collapsed="false">
      <c r="A1" s="2" t="s">
        <v>0</v>
      </c>
    </row>
    <row r="2" customFormat="false" ht="32.25" hidden="false" customHeight="true" outlineLevel="0" collapsed="false">
      <c r="A2" s="3" t="s">
        <v>1</v>
      </c>
    </row>
    <row r="3" customFormat="false" ht="16.5" hidden="false" customHeight="true" outlineLevel="0" collapsed="false">
      <c r="A3" s="3" t="s">
        <v>2</v>
      </c>
    </row>
    <row r="4" customFormat="false" ht="32.25" hidden="false" customHeight="true" outlineLevel="0" collapsed="false">
      <c r="A4" s="3" t="s">
        <v>3</v>
      </c>
    </row>
    <row r="5" customFormat="false" ht="32.25" hidden="false" customHeight="true" outlineLevel="0" collapsed="false">
      <c r="A5" s="4" t="s">
        <v>4</v>
      </c>
    </row>
    <row r="6" customFormat="false" ht="16.5" hidden="false" customHeight="true" outlineLevel="0" collapsed="false">
      <c r="A6" s="3" t="s">
        <v>5</v>
      </c>
    </row>
    <row r="7" customFormat="false" ht="15" hidden="false" customHeight="true" outlineLevel="0" collapsed="false">
      <c r="A7" s="3"/>
    </row>
    <row r="8" customFormat="false" ht="16.5" hidden="false" customHeight="true" outlineLevel="0" collapsed="false">
      <c r="A8" s="5" t="s">
        <v>6</v>
      </c>
    </row>
    <row r="9" customFormat="false" ht="16.5" hidden="false" customHeight="true" outlineLevel="0" collapsed="false">
      <c r="A9" s="4" t="s">
        <v>7</v>
      </c>
    </row>
    <row r="10" customFormat="false" ht="16.5" hidden="false" customHeight="true" outlineLevel="0" collapsed="false">
      <c r="A10" s="4" t="s">
        <v>8</v>
      </c>
    </row>
    <row r="11" customFormat="false" ht="16.5" hidden="false" customHeight="true" outlineLevel="0" collapsed="false">
      <c r="A11" s="4" t="s">
        <v>9</v>
      </c>
    </row>
    <row r="12" customFormat="false" ht="32.25" hidden="false" customHeight="true" outlineLevel="0" collapsed="false">
      <c r="A12" s="4" t="s">
        <v>10</v>
      </c>
    </row>
    <row r="13" customFormat="false" ht="15" hidden="false" customHeight="true" outlineLevel="0" collapsed="false">
      <c r="A13" s="3"/>
    </row>
    <row r="14" customFormat="false" ht="32.25" hidden="false" customHeight="true" outlineLevel="0" collapsed="false">
      <c r="A14" s="6" t="s">
        <v>11</v>
      </c>
    </row>
    <row r="15" customFormat="false" ht="32.25" hidden="false" customHeight="true" outlineLevel="0" collapsed="false">
      <c r="A15" s="3" t="s">
        <v>12</v>
      </c>
    </row>
    <row r="16" customFormat="false" ht="16.5" hidden="false" customHeight="true" outlineLevel="0" collapsed="false">
      <c r="A16" s="7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30"/>
    <col collapsed="false" customWidth="true" hidden="false" outlineLevel="0" max="3" min="3" style="1" width="36"/>
    <col collapsed="false" customWidth="true" hidden="false" outlineLevel="0" max="4" min="4" style="1" width="24"/>
    <col collapsed="false" customWidth="true" hidden="false" outlineLevel="0" max="5" min="5" style="1" width="26"/>
    <col collapsed="false" customWidth="true" hidden="false" outlineLevel="0" max="7" min="6" style="1" width="14"/>
    <col collapsed="false" customWidth="true" hidden="false" outlineLevel="0" max="8" min="8" style="1" width="10"/>
  </cols>
  <sheetData>
    <row r="1" customFormat="false" ht="15.75" hidden="false" customHeight="true" outlineLevel="0" collapsed="false">
      <c r="A1" s="8" t="s">
        <v>14</v>
      </c>
    </row>
    <row r="3" customFormat="false" ht="45" hidden="false" customHeight="true" outlineLevel="0" collapsed="false">
      <c r="A3" s="9" t="s">
        <v>15</v>
      </c>
      <c r="B3" s="9" t="s">
        <v>16</v>
      </c>
      <c r="C3" s="9" t="s">
        <v>17</v>
      </c>
      <c r="D3" s="10" t="s">
        <v>18</v>
      </c>
      <c r="E3" s="9" t="s">
        <v>19</v>
      </c>
      <c r="F3" s="9" t="s">
        <v>20</v>
      </c>
      <c r="G3" s="10" t="s">
        <v>21</v>
      </c>
      <c r="H3" s="10" t="s">
        <v>22</v>
      </c>
    </row>
    <row r="4" customFormat="false" ht="32.25" hidden="false" customHeight="true" outlineLevel="0" collapsed="false">
      <c r="A4" s="11" t="s">
        <v>23</v>
      </c>
      <c r="B4" s="12" t="s">
        <v>24</v>
      </c>
      <c r="C4" s="11" t="s">
        <v>25</v>
      </c>
      <c r="D4" s="11" t="s">
        <v>26</v>
      </c>
      <c r="E4" s="11" t="s">
        <v>27</v>
      </c>
      <c r="F4" s="11" t="s">
        <v>28</v>
      </c>
      <c r="G4" s="13" t="s">
        <v>29</v>
      </c>
      <c r="H4" s="13" t="n">
        <v>0.485</v>
      </c>
    </row>
    <row r="5" customFormat="false" ht="32.25" hidden="false" customHeight="true" outlineLevel="0" collapsed="false">
      <c r="A5" s="11" t="s">
        <v>30</v>
      </c>
      <c r="B5" s="12" t="s">
        <v>31</v>
      </c>
      <c r="C5" s="11" t="s">
        <v>32</v>
      </c>
      <c r="D5" s="11" t="s">
        <v>33</v>
      </c>
      <c r="E5" s="11" t="s">
        <v>34</v>
      </c>
      <c r="F5" s="11" t="s">
        <v>28</v>
      </c>
      <c r="G5" s="13" t="s">
        <v>35</v>
      </c>
      <c r="H5" s="13" t="n">
        <v>0.485</v>
      </c>
    </row>
    <row r="6" customFormat="false" ht="32.25" hidden="false" customHeight="true" outlineLevel="0" collapsed="false">
      <c r="A6" s="11" t="s">
        <v>36</v>
      </c>
      <c r="B6" s="12" t="s">
        <v>37</v>
      </c>
      <c r="C6" s="11" t="s">
        <v>38</v>
      </c>
      <c r="D6" s="11" t="s">
        <v>39</v>
      </c>
      <c r="E6" s="11" t="s">
        <v>40</v>
      </c>
      <c r="F6" s="11" t="s">
        <v>28</v>
      </c>
      <c r="G6" s="13" t="s">
        <v>41</v>
      </c>
      <c r="H6" s="13" t="n">
        <v>0.494</v>
      </c>
    </row>
    <row r="7" customFormat="false" ht="32.25" hidden="false" customHeight="true" outlineLevel="0" collapsed="false">
      <c r="A7" s="11" t="s">
        <v>42</v>
      </c>
      <c r="B7" s="12" t="s">
        <v>43</v>
      </c>
      <c r="C7" s="11" t="s">
        <v>44</v>
      </c>
      <c r="D7" s="11" t="s">
        <v>45</v>
      </c>
      <c r="E7" s="11" t="s">
        <v>46</v>
      </c>
      <c r="F7" s="11" t="s">
        <v>47</v>
      </c>
      <c r="G7" s="13" t="s">
        <v>48</v>
      </c>
      <c r="H7" s="13" t="n">
        <v>0.468</v>
      </c>
    </row>
    <row r="8" customFormat="false" ht="32.25" hidden="false" customHeight="true" outlineLevel="0" collapsed="false">
      <c r="A8" s="11" t="s">
        <v>49</v>
      </c>
      <c r="B8" s="12" t="s">
        <v>50</v>
      </c>
      <c r="C8" s="11" t="s">
        <v>51</v>
      </c>
      <c r="D8" s="11" t="s">
        <v>52</v>
      </c>
      <c r="E8" s="11" t="s">
        <v>53</v>
      </c>
      <c r="F8" s="11" t="s">
        <v>54</v>
      </c>
      <c r="G8" s="13" t="s">
        <v>55</v>
      </c>
      <c r="H8" s="13" t="n">
        <v>0.442</v>
      </c>
    </row>
    <row r="9" customFormat="false" ht="32.25" hidden="false" customHeight="true" outlineLevel="0" collapsed="false">
      <c r="A9" s="11" t="s">
        <v>56</v>
      </c>
      <c r="B9" s="12" t="s">
        <v>57</v>
      </c>
      <c r="C9" s="11" t="s">
        <v>58</v>
      </c>
      <c r="D9" s="11" t="s">
        <v>59</v>
      </c>
      <c r="E9" s="11" t="s">
        <v>60</v>
      </c>
      <c r="F9" s="11" t="s">
        <v>47</v>
      </c>
      <c r="G9" s="13" t="s">
        <v>61</v>
      </c>
      <c r="H9" s="13" t="n">
        <v>0.524</v>
      </c>
    </row>
    <row r="10" customFormat="false" ht="16.5" hidden="false" customHeight="true" outlineLevel="0" collapsed="false">
      <c r="A10" s="11" t="s">
        <v>62</v>
      </c>
      <c r="B10" s="12" t="s">
        <v>63</v>
      </c>
      <c r="C10" s="11" t="s">
        <v>64</v>
      </c>
      <c r="D10" s="11" t="s">
        <v>65</v>
      </c>
      <c r="E10" s="11" t="s">
        <v>66</v>
      </c>
      <c r="F10" s="11" t="s">
        <v>47</v>
      </c>
      <c r="G10" s="13" t="s">
        <v>67</v>
      </c>
      <c r="H10" s="13" t="n">
        <v>0.487</v>
      </c>
    </row>
    <row r="11" customFormat="false" ht="16.5" hidden="false" customHeight="true" outlineLevel="0" collapsed="false">
      <c r="A11" s="11" t="s">
        <v>68</v>
      </c>
      <c r="B11" s="12" t="s">
        <v>69</v>
      </c>
      <c r="C11" s="11" t="s">
        <v>70</v>
      </c>
      <c r="D11" s="11" t="s">
        <v>71</v>
      </c>
      <c r="E11" s="11" t="s">
        <v>72</v>
      </c>
      <c r="F11" s="11" t="s">
        <v>47</v>
      </c>
      <c r="G11" s="13" t="s">
        <v>48</v>
      </c>
      <c r="H11" s="13" t="n">
        <v>0.468</v>
      </c>
    </row>
    <row r="12" customFormat="false" ht="32.8" hidden="false" customHeight="false" outlineLevel="0" collapsed="false">
      <c r="A12" s="14" t="s">
        <v>73</v>
      </c>
      <c r="B12" s="12" t="s">
        <v>74</v>
      </c>
      <c r="C12" s="14" t="s">
        <v>75</v>
      </c>
      <c r="D12" s="14" t="s">
        <v>76</v>
      </c>
      <c r="E12" s="14" t="s">
        <v>77</v>
      </c>
      <c r="F12" s="14" t="s">
        <v>78</v>
      </c>
    </row>
    <row r="13" customFormat="false" ht="16.5" hidden="false" customHeight="true" outlineLevel="0" collapsed="false">
      <c r="A13" s="14" t="s">
        <v>79</v>
      </c>
      <c r="B13" s="12" t="s">
        <v>80</v>
      </c>
      <c r="C13" s="14" t="s">
        <v>81</v>
      </c>
      <c r="D13" s="14" t="s">
        <v>82</v>
      </c>
      <c r="E13" s="14" t="s">
        <v>83</v>
      </c>
      <c r="F13" s="14" t="s">
        <v>78</v>
      </c>
    </row>
    <row r="14" customFormat="false" ht="16.5" hidden="false" customHeight="true" outlineLevel="0" collapsed="false"/>
    <row r="15" customFormat="false" ht="16.5" hidden="false" customHeight="true" outlineLevel="0" collapsed="false">
      <c r="A15" s="15" t="s">
        <v>84</v>
      </c>
    </row>
    <row r="16" customFormat="false" ht="16.5" hidden="false" customHeight="true" outlineLevel="0" collapsed="false">
      <c r="A16" s="10" t="s">
        <v>85</v>
      </c>
      <c r="B16" s="9" t="s">
        <v>86</v>
      </c>
      <c r="C16" s="9" t="s">
        <v>87</v>
      </c>
      <c r="D16" s="9" t="s">
        <v>88</v>
      </c>
    </row>
    <row r="17" customFormat="false" ht="16.5" hidden="false" customHeight="true" outlineLevel="0" collapsed="false">
      <c r="A17" s="16" t="s">
        <v>89</v>
      </c>
      <c r="B17" s="17" t="s">
        <v>90</v>
      </c>
      <c r="C17" s="17" t="s">
        <v>42</v>
      </c>
      <c r="D17" s="18"/>
    </row>
    <row r="18" customFormat="false" ht="16.5" hidden="false" customHeight="true" outlineLevel="0" collapsed="false">
      <c r="A18" s="16" t="s">
        <v>91</v>
      </c>
      <c r="B18" s="17" t="s">
        <v>92</v>
      </c>
      <c r="C18" s="17" t="s">
        <v>42</v>
      </c>
      <c r="D18" s="18"/>
    </row>
    <row r="19" customFormat="false" ht="16.5" hidden="false" customHeight="true" outlineLevel="0" collapsed="false">
      <c r="A19" s="16" t="s">
        <v>93</v>
      </c>
      <c r="B19" s="17" t="s">
        <v>94</v>
      </c>
      <c r="C19" s="17" t="s">
        <v>42</v>
      </c>
      <c r="D19" s="18"/>
    </row>
    <row r="20" customFormat="false" ht="16.5" hidden="false" customHeight="true" outlineLevel="0" collapsed="false">
      <c r="A20" s="16" t="s">
        <v>95</v>
      </c>
      <c r="B20" s="17" t="s">
        <v>96</v>
      </c>
      <c r="C20" s="17" t="s">
        <v>42</v>
      </c>
      <c r="D20" s="18"/>
    </row>
    <row r="21" customFormat="false" ht="16.5" hidden="false" customHeight="true" outlineLevel="0" collapsed="false">
      <c r="A21" s="16" t="s">
        <v>97</v>
      </c>
      <c r="B21" s="17" t="s">
        <v>98</v>
      </c>
      <c r="C21" s="17" t="s">
        <v>42</v>
      </c>
      <c r="D21" s="18"/>
    </row>
    <row r="22" customFormat="false" ht="16.5" hidden="false" customHeight="true" outlineLevel="0" collapsed="false">
      <c r="A22" s="16" t="s">
        <v>99</v>
      </c>
      <c r="B22" s="17" t="s">
        <v>100</v>
      </c>
      <c r="C22" s="17" t="s">
        <v>42</v>
      </c>
      <c r="D22" s="18"/>
    </row>
    <row r="23" customFormat="false" ht="16.5" hidden="false" customHeight="true" outlineLevel="0" collapsed="false">
      <c r="A23" s="16" t="s">
        <v>101</v>
      </c>
      <c r="B23" s="17" t="s">
        <v>102</v>
      </c>
      <c r="C23" s="17" t="s">
        <v>42</v>
      </c>
      <c r="D23" s="18"/>
    </row>
    <row r="24" customFormat="false" ht="16.5" hidden="false" customHeight="true" outlineLevel="0" collapsed="false">
      <c r="A24" s="16" t="s">
        <v>103</v>
      </c>
      <c r="B24" s="17" t="s">
        <v>104</v>
      </c>
      <c r="C24" s="17" t="s">
        <v>42</v>
      </c>
      <c r="D24" s="18"/>
    </row>
    <row r="25" customFormat="false" ht="16.5" hidden="false" customHeight="true" outlineLevel="0" collapsed="false">
      <c r="A25" s="16" t="s">
        <v>105</v>
      </c>
      <c r="B25" s="17" t="s">
        <v>106</v>
      </c>
      <c r="C25" s="17" t="s">
        <v>49</v>
      </c>
      <c r="D25" s="18"/>
    </row>
    <row r="26" customFormat="false" ht="16.5" hidden="false" customHeight="true" outlineLevel="0" collapsed="false">
      <c r="A26" s="16" t="s">
        <v>107</v>
      </c>
      <c r="B26" s="17" t="s">
        <v>108</v>
      </c>
      <c r="C26" s="17" t="s">
        <v>49</v>
      </c>
      <c r="D26" s="18"/>
    </row>
    <row r="27" customFormat="false" ht="16.5" hidden="false" customHeight="true" outlineLevel="0" collapsed="false">
      <c r="A27" s="16" t="s">
        <v>109</v>
      </c>
      <c r="B27" s="17" t="s">
        <v>110</v>
      </c>
      <c r="C27" s="17" t="s">
        <v>49</v>
      </c>
      <c r="D27" s="18"/>
    </row>
    <row r="28" customFormat="false" ht="16.5" hidden="false" customHeight="true" outlineLevel="0" collapsed="false">
      <c r="A28" s="16" t="s">
        <v>111</v>
      </c>
      <c r="B28" s="17" t="s">
        <v>112</v>
      </c>
      <c r="C28" s="17" t="s">
        <v>49</v>
      </c>
      <c r="D28" s="18"/>
    </row>
    <row r="29" customFormat="false" ht="16.5" hidden="false" customHeight="true" outlineLevel="0" collapsed="false">
      <c r="A29" s="16" t="s">
        <v>113</v>
      </c>
      <c r="B29" s="17" t="s">
        <v>114</v>
      </c>
      <c r="C29" s="17" t="s">
        <v>49</v>
      </c>
      <c r="D29" s="18"/>
    </row>
    <row r="30" customFormat="false" ht="16.5" hidden="false" customHeight="true" outlineLevel="0" collapsed="false">
      <c r="A30" s="16" t="s">
        <v>115</v>
      </c>
      <c r="B30" s="17" t="s">
        <v>116</v>
      </c>
      <c r="C30" s="17" t="s">
        <v>49</v>
      </c>
      <c r="D30" s="18"/>
    </row>
    <row r="31" customFormat="false" ht="16.5" hidden="false" customHeight="true" outlineLevel="0" collapsed="false">
      <c r="A31" s="16" t="s">
        <v>117</v>
      </c>
      <c r="B31" s="17" t="s">
        <v>118</v>
      </c>
      <c r="C31" s="17" t="s">
        <v>49</v>
      </c>
      <c r="D31" s="18"/>
    </row>
    <row r="32" customFormat="false" ht="16.5" hidden="false" customHeight="true" outlineLevel="0" collapsed="false">
      <c r="A32" s="16" t="s">
        <v>119</v>
      </c>
      <c r="B32" s="17" t="s">
        <v>120</v>
      </c>
      <c r="C32" s="17" t="s">
        <v>56</v>
      </c>
      <c r="D32" s="18"/>
    </row>
    <row r="33" customFormat="false" ht="16.5" hidden="false" customHeight="true" outlineLevel="0" collapsed="false">
      <c r="A33" s="16" t="s">
        <v>121</v>
      </c>
      <c r="B33" s="17" t="s">
        <v>122</v>
      </c>
      <c r="C33" s="17" t="s">
        <v>56</v>
      </c>
      <c r="D33" s="18"/>
    </row>
    <row r="34" customFormat="false" ht="16.5" hidden="false" customHeight="true" outlineLevel="0" collapsed="false">
      <c r="A34" s="16" t="s">
        <v>123</v>
      </c>
      <c r="B34" s="17" t="s">
        <v>124</v>
      </c>
      <c r="C34" s="17" t="s">
        <v>56</v>
      </c>
      <c r="D34" s="18"/>
    </row>
    <row r="35" customFormat="false" ht="16.5" hidden="false" customHeight="true" outlineLevel="0" collapsed="false">
      <c r="A35" s="16" t="s">
        <v>125</v>
      </c>
      <c r="B35" s="17" t="s">
        <v>126</v>
      </c>
      <c r="C35" s="17" t="s">
        <v>56</v>
      </c>
      <c r="D35" s="18"/>
    </row>
    <row r="36" customFormat="false" ht="16.5" hidden="false" customHeight="true" outlineLevel="0" collapsed="false">
      <c r="A36" s="16" t="s">
        <v>127</v>
      </c>
      <c r="B36" s="17" t="s">
        <v>128</v>
      </c>
      <c r="C36" s="17" t="s">
        <v>56</v>
      </c>
      <c r="D36" s="18"/>
    </row>
    <row r="37" customFormat="false" ht="16.5" hidden="false" customHeight="true" outlineLevel="0" collapsed="false">
      <c r="A37" s="16" t="s">
        <v>129</v>
      </c>
      <c r="B37" s="17" t="s">
        <v>130</v>
      </c>
      <c r="C37" s="17" t="s">
        <v>56</v>
      </c>
      <c r="D37" s="18"/>
    </row>
    <row r="38" customFormat="false" ht="16.5" hidden="false" customHeight="true" outlineLevel="0" collapsed="false">
      <c r="A38" s="16" t="s">
        <v>131</v>
      </c>
      <c r="B38" s="17" t="s">
        <v>132</v>
      </c>
      <c r="C38" s="17" t="s">
        <v>56</v>
      </c>
      <c r="D38" s="18"/>
    </row>
    <row r="39" customFormat="false" ht="16.5" hidden="false" customHeight="true" outlineLevel="0" collapsed="false">
      <c r="A39" s="16" t="s">
        <v>133</v>
      </c>
      <c r="B39" s="17" t="s">
        <v>134</v>
      </c>
      <c r="C39" s="17" t="s">
        <v>56</v>
      </c>
      <c r="D39" s="18"/>
    </row>
    <row r="40" customFormat="false" ht="16.5" hidden="false" customHeight="true" outlineLevel="0" collapsed="false">
      <c r="A40" s="16" t="s">
        <v>135</v>
      </c>
      <c r="B40" s="17" t="s">
        <v>136</v>
      </c>
      <c r="C40" s="17" t="s">
        <v>62</v>
      </c>
      <c r="D40" s="18"/>
    </row>
    <row r="41" customFormat="false" ht="16.5" hidden="false" customHeight="true" outlineLevel="0" collapsed="false">
      <c r="A41" s="16" t="s">
        <v>137</v>
      </c>
      <c r="B41" s="17" t="s">
        <v>138</v>
      </c>
      <c r="C41" s="17" t="s">
        <v>62</v>
      </c>
      <c r="D41" s="18"/>
    </row>
    <row r="42" customFormat="false" ht="16.5" hidden="false" customHeight="true" outlineLevel="0" collapsed="false">
      <c r="A42" s="16" t="s">
        <v>139</v>
      </c>
      <c r="B42" s="17" t="s">
        <v>140</v>
      </c>
      <c r="C42" s="17" t="s">
        <v>62</v>
      </c>
      <c r="D42" s="18"/>
    </row>
    <row r="43" customFormat="false" ht="16.5" hidden="false" customHeight="true" outlineLevel="0" collapsed="false">
      <c r="A43" s="16" t="s">
        <v>141</v>
      </c>
      <c r="B43" s="17" t="s">
        <v>142</v>
      </c>
      <c r="C43" s="17" t="s">
        <v>62</v>
      </c>
      <c r="D43" s="18"/>
    </row>
    <row r="44" customFormat="false" ht="16.5" hidden="false" customHeight="true" outlineLevel="0" collapsed="false">
      <c r="A44" s="16" t="s">
        <v>143</v>
      </c>
      <c r="B44" s="17" t="s">
        <v>144</v>
      </c>
      <c r="C44" s="17" t="s">
        <v>62</v>
      </c>
      <c r="D44" s="18"/>
    </row>
    <row r="45" customFormat="false" ht="16.5" hidden="false" customHeight="true" outlineLevel="0" collapsed="false">
      <c r="A45" s="16" t="s">
        <v>145</v>
      </c>
      <c r="B45" s="17" t="s">
        <v>146</v>
      </c>
      <c r="C45" s="17" t="s">
        <v>62</v>
      </c>
      <c r="D45" s="18"/>
    </row>
    <row r="46" customFormat="false" ht="16.5" hidden="false" customHeight="true" outlineLevel="0" collapsed="false">
      <c r="A46" s="16" t="s">
        <v>147</v>
      </c>
      <c r="B46" s="17" t="s">
        <v>148</v>
      </c>
      <c r="C46" s="17" t="s">
        <v>68</v>
      </c>
      <c r="D46" s="18"/>
    </row>
    <row r="47" customFormat="false" ht="16.5" hidden="false" customHeight="true" outlineLevel="0" collapsed="false">
      <c r="A47" s="16" t="s">
        <v>149</v>
      </c>
      <c r="B47" s="17" t="s">
        <v>150</v>
      </c>
      <c r="C47" s="17" t="s">
        <v>68</v>
      </c>
      <c r="D47" s="18"/>
    </row>
    <row r="48" customFormat="false" ht="16.5" hidden="false" customHeight="true" outlineLevel="0" collapsed="false">
      <c r="A48" s="16" t="s">
        <v>151</v>
      </c>
      <c r="B48" s="17" t="s">
        <v>152</v>
      </c>
      <c r="C48" s="17" t="s">
        <v>68</v>
      </c>
      <c r="D48" s="18"/>
    </row>
    <row r="49" customFormat="false" ht="16.5" hidden="false" customHeight="true" outlineLevel="0" collapsed="false">
      <c r="A49" s="16" t="s">
        <v>153</v>
      </c>
      <c r="B49" s="17" t="s">
        <v>154</v>
      </c>
      <c r="C49" s="17" t="s">
        <v>68</v>
      </c>
      <c r="D49" s="18"/>
    </row>
    <row r="50" customFormat="false" ht="16.5" hidden="false" customHeight="true" outlineLevel="0" collapsed="false">
      <c r="A50" s="16" t="s">
        <v>155</v>
      </c>
      <c r="B50" s="17" t="s">
        <v>156</v>
      </c>
      <c r="C50" s="17" t="s">
        <v>68</v>
      </c>
      <c r="D50" s="18"/>
    </row>
    <row r="51" customFormat="false" ht="16.5" hidden="false" customHeight="true" outlineLevel="0" collapsed="false">
      <c r="A51" s="16" t="s">
        <v>157</v>
      </c>
      <c r="B51" s="17" t="s">
        <v>158</v>
      </c>
      <c r="C51" s="17" t="s">
        <v>68</v>
      </c>
      <c r="D51" s="18"/>
    </row>
    <row r="52" customFormat="false" ht="16.5" hidden="false" customHeight="true" outlineLevel="0" collapsed="false">
      <c r="A52" s="16" t="s">
        <v>159</v>
      </c>
      <c r="B52" s="17" t="s">
        <v>160</v>
      </c>
      <c r="C52" s="17" t="s">
        <v>161</v>
      </c>
      <c r="D52" s="18"/>
    </row>
    <row r="53" customFormat="false" ht="17.15" hidden="false" customHeight="false" outlineLevel="0" collapsed="false">
      <c r="A53" s="16" t="s">
        <v>162</v>
      </c>
      <c r="B53" s="17" t="s">
        <v>163</v>
      </c>
      <c r="C53" s="17" t="s">
        <v>161</v>
      </c>
      <c r="D53" s="18"/>
    </row>
    <row r="54" customFormat="false" ht="17.15" hidden="false" customHeight="false" outlineLevel="0" collapsed="false">
      <c r="A54" s="16" t="s">
        <v>164</v>
      </c>
      <c r="B54" s="17" t="s">
        <v>165</v>
      </c>
      <c r="C54" s="17" t="s">
        <v>161</v>
      </c>
      <c r="D54" s="18"/>
    </row>
    <row r="55" customFormat="false" ht="16.5" hidden="false" customHeight="true" outlineLevel="0" collapsed="false"/>
    <row r="56" customFormat="false" ht="16.5" hidden="false" customHeight="true" outlineLevel="0" collapsed="false"/>
    <row r="57" customFormat="false" ht="16.5" hidden="false" customHeight="true" outlineLevel="0" collapsed="false">
      <c r="A57" s="15" t="s">
        <v>166</v>
      </c>
    </row>
    <row r="58" customFormat="false" ht="16.5" hidden="false" customHeight="true" outlineLevel="0" collapsed="false">
      <c r="A58" s="9" t="s">
        <v>167</v>
      </c>
      <c r="B58" s="9" t="s">
        <v>87</v>
      </c>
      <c r="C58" s="9"/>
      <c r="D58" s="9" t="s">
        <v>88</v>
      </c>
    </row>
    <row r="59" customFormat="false" ht="16.5" hidden="false" customHeight="true" outlineLevel="0" collapsed="false">
      <c r="A59" s="17" t="s">
        <v>168</v>
      </c>
      <c r="B59" s="17" t="s">
        <v>23</v>
      </c>
      <c r="D59" s="18"/>
    </row>
    <row r="60" customFormat="false" ht="16.5" hidden="false" customHeight="true" outlineLevel="0" collapsed="false">
      <c r="A60" s="17" t="s">
        <v>169</v>
      </c>
      <c r="B60" s="17" t="s">
        <v>170</v>
      </c>
      <c r="D60" s="18"/>
    </row>
    <row r="61" customFormat="false" ht="16.5" hidden="false" customHeight="true" outlineLevel="0" collapsed="false">
      <c r="A61" s="17" t="s">
        <v>171</v>
      </c>
      <c r="B61" s="17" t="s">
        <v>172</v>
      </c>
      <c r="D61" s="18"/>
    </row>
    <row r="62" customFormat="false" ht="16.5" hidden="false" customHeight="true" outlineLevel="0" collapsed="false">
      <c r="A62" s="17" t="s">
        <v>173</v>
      </c>
      <c r="B62" s="17" t="s">
        <v>174</v>
      </c>
      <c r="D62" s="18"/>
    </row>
    <row r="63" customFormat="false" ht="16.5" hidden="false" customHeight="true" outlineLevel="0" collapsed="false">
      <c r="A63" s="17" t="s">
        <v>175</v>
      </c>
      <c r="B63" s="17" t="s">
        <v>176</v>
      </c>
      <c r="D63" s="18"/>
    </row>
    <row r="64" customFormat="false" ht="16.5" hidden="false" customHeight="true" outlineLevel="0" collapsed="false">
      <c r="A64" s="17" t="s">
        <v>177</v>
      </c>
      <c r="B64" s="17" t="s">
        <v>176</v>
      </c>
      <c r="D64" s="18"/>
    </row>
    <row r="65" customFormat="false" ht="16.5" hidden="false" customHeight="true" outlineLevel="0" collapsed="false">
      <c r="A65" s="17" t="s">
        <v>178</v>
      </c>
      <c r="B65" s="17" t="s">
        <v>179</v>
      </c>
      <c r="D65" s="18"/>
    </row>
    <row r="66" customFormat="false" ht="17.15" hidden="false" customHeight="false" outlineLevel="0" collapsed="false">
      <c r="A66" s="17" t="s">
        <v>180</v>
      </c>
      <c r="B66" s="17" t="s">
        <v>36</v>
      </c>
      <c r="D66" s="18"/>
    </row>
    <row r="67" customFormat="false" ht="16.5" hidden="false" customHeight="true" outlineLevel="0" collapsed="false">
      <c r="A67" s="17" t="s">
        <v>181</v>
      </c>
      <c r="B67" s="17" t="s">
        <v>182</v>
      </c>
      <c r="D67" s="19" t="s">
        <v>183</v>
      </c>
    </row>
    <row r="68" customFormat="false" ht="31.5" hidden="false" customHeight="true" outlineLevel="0" collapsed="false">
      <c r="A68" s="20"/>
      <c r="B68" s="20"/>
      <c r="C68" s="20"/>
      <c r="D68" s="20"/>
      <c r="E68" s="20"/>
      <c r="F68" s="20"/>
    </row>
    <row r="69" customFormat="false" ht="17.15" hidden="false" customHeight="false" outlineLevel="0" collapsed="false">
      <c r="A69" s="15" t="s">
        <v>184</v>
      </c>
    </row>
    <row r="70" customFormat="false" ht="173.85" hidden="false" customHeight="false" outlineLevel="0" collapsed="false">
      <c r="A70" s="3" t="s">
        <v>185</v>
      </c>
    </row>
  </sheetData>
  <mergeCells count="1">
    <mergeCell ref="A68:F6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6"/>
    <col collapsed="false" customWidth="true" hidden="false" outlineLevel="0" max="3" min="3" style="1" width="14"/>
    <col collapsed="false" customWidth="true" hidden="false" outlineLevel="0" max="4" min="4" style="1" width="9"/>
    <col collapsed="false" customWidth="true" hidden="false" outlineLevel="0" max="5" min="5" style="1" width="22"/>
    <col collapsed="false" customWidth="true" hidden="false" outlineLevel="0" max="6" min="6" style="1" width="8"/>
    <col collapsed="false" customWidth="true" hidden="false" outlineLevel="0" max="7" min="7" style="1" width="12"/>
    <col collapsed="false" customWidth="true" hidden="false" outlineLevel="0" max="8" min="8" style="1" width="8"/>
    <col collapsed="false" customWidth="true" hidden="false" outlineLevel="0" max="9" min="9" style="1" width="11"/>
    <col collapsed="false" customWidth="true" hidden="false" outlineLevel="0" max="10" min="10" style="1" width="8"/>
    <col collapsed="false" customWidth="true" hidden="false" outlineLevel="0" max="12" min="11" style="1" width="9"/>
    <col collapsed="false" customWidth="true" hidden="false" outlineLevel="0" max="13" min="13" style="1" width="46"/>
    <col collapsed="false" customWidth="true" hidden="false" outlineLevel="0" max="14" min="14" style="1" width="40"/>
    <col collapsed="false" customWidth="true" hidden="false" outlineLevel="0" max="16" min="15" style="1" width="34"/>
    <col collapsed="false" customWidth="true" hidden="false" outlineLevel="0" max="17" min="17" style="1" width="24"/>
  </cols>
  <sheetData>
    <row r="1" customFormat="false" ht="45" hidden="false" customHeight="true" outlineLevel="0" collapsed="false">
      <c r="A1" s="9" t="s">
        <v>186</v>
      </c>
      <c r="B1" s="9" t="s">
        <v>187</v>
      </c>
      <c r="C1" s="9" t="s">
        <v>188</v>
      </c>
      <c r="D1" s="9" t="s">
        <v>189</v>
      </c>
      <c r="E1" s="9" t="s">
        <v>190</v>
      </c>
      <c r="F1" s="9" t="s">
        <v>191</v>
      </c>
      <c r="G1" s="9" t="s">
        <v>192</v>
      </c>
      <c r="H1" s="9" t="s">
        <v>193</v>
      </c>
      <c r="I1" s="9" t="s">
        <v>194</v>
      </c>
      <c r="J1" s="9" t="s">
        <v>195</v>
      </c>
      <c r="K1" s="9" t="s">
        <v>196</v>
      </c>
      <c r="L1" s="9" t="s">
        <v>197</v>
      </c>
      <c r="M1" s="9" t="s">
        <v>198</v>
      </c>
      <c r="N1" s="9" t="s">
        <v>199</v>
      </c>
      <c r="O1" s="9" t="s">
        <v>200</v>
      </c>
      <c r="P1" s="9" t="s">
        <v>201</v>
      </c>
      <c r="Q1" s="9" t="s">
        <v>202</v>
      </c>
    </row>
    <row r="2" customFormat="false" ht="32.25" hidden="false" customHeight="true" outlineLevel="0" collapsed="false">
      <c r="A2" s="12" t="s">
        <v>203</v>
      </c>
      <c r="B2" s="12" t="n">
        <v>0</v>
      </c>
      <c r="C2" s="11" t="s">
        <v>204</v>
      </c>
      <c r="D2" s="11" t="s">
        <v>205</v>
      </c>
      <c r="E2" s="11" t="s">
        <v>206</v>
      </c>
      <c r="F2" s="11" t="s">
        <v>207</v>
      </c>
      <c r="G2" s="11" t="s">
        <v>208</v>
      </c>
      <c r="H2" s="21" t="n">
        <v>2</v>
      </c>
      <c r="I2" s="11" t="s">
        <v>209</v>
      </c>
      <c r="J2" s="11" t="str">
        <f aca="false">IF(OR(AND(I2="예",L2&lt;0),AND(I2="아니오",L2&gt;0)),"●","")</f>
        <v/>
      </c>
      <c r="K2" s="22"/>
      <c r="L2" s="11" t="n">
        <f aca="false">IF(K2="",H2,K2)</f>
        <v>2</v>
      </c>
      <c r="M2" s="11" t="s">
        <v>210</v>
      </c>
      <c r="N2" s="11" t="s">
        <v>211</v>
      </c>
      <c r="O2" s="11" t="s">
        <v>212</v>
      </c>
      <c r="P2" s="11" t="s">
        <v>213</v>
      </c>
      <c r="Q2" s="23"/>
    </row>
    <row r="3" customFormat="false" ht="32.25" hidden="false" customHeight="true" outlineLevel="0" collapsed="false">
      <c r="A3" s="12" t="s">
        <v>214</v>
      </c>
      <c r="B3" s="11" t="n">
        <v>0</v>
      </c>
      <c r="C3" s="11" t="s">
        <v>204</v>
      </c>
      <c r="D3" s="11" t="s">
        <v>205</v>
      </c>
      <c r="E3" s="11" t="s">
        <v>206</v>
      </c>
      <c r="F3" s="11" t="s">
        <v>215</v>
      </c>
      <c r="G3" s="11" t="s">
        <v>216</v>
      </c>
      <c r="H3" s="21" t="n">
        <v>-1</v>
      </c>
      <c r="I3" s="11" t="s">
        <v>217</v>
      </c>
      <c r="J3" s="11" t="str">
        <f aca="false">IF(OR(AND(I3="예",L3&lt;0),AND(I3="아니오",L3&gt;0)),"●","")</f>
        <v/>
      </c>
      <c r="K3" s="22"/>
      <c r="L3" s="11" t="n">
        <f aca="false">IF(K3="",H3,K3)</f>
        <v>-1</v>
      </c>
      <c r="M3" s="11" t="s">
        <v>218</v>
      </c>
      <c r="N3" s="11" t="s">
        <v>219</v>
      </c>
      <c r="O3" s="11" t="s">
        <v>220</v>
      </c>
      <c r="P3" s="11" t="s">
        <v>221</v>
      </c>
      <c r="Q3" s="23"/>
    </row>
    <row r="4" customFormat="false" ht="32.25" hidden="false" customHeight="true" outlineLevel="0" collapsed="false">
      <c r="A4" s="12" t="s">
        <v>222</v>
      </c>
      <c r="B4" s="11" t="n">
        <v>1</v>
      </c>
      <c r="C4" s="11" t="s">
        <v>223</v>
      </c>
      <c r="D4" s="11" t="s">
        <v>224</v>
      </c>
      <c r="E4" s="11" t="s">
        <v>225</v>
      </c>
      <c r="F4" s="11" t="s">
        <v>207</v>
      </c>
      <c r="G4" s="11" t="s">
        <v>208</v>
      </c>
      <c r="H4" s="21" t="n">
        <v>2</v>
      </c>
      <c r="I4" s="11" t="s">
        <v>209</v>
      </c>
      <c r="J4" s="11" t="str">
        <f aca="false">IF(OR(AND(I4="예",L4&lt;0),AND(I4="아니오",L4&gt;0)),"●","")</f>
        <v/>
      </c>
      <c r="K4" s="22"/>
      <c r="L4" s="11" t="n">
        <f aca="false">IF(K4="",H4,K4)</f>
        <v>2</v>
      </c>
      <c r="M4" s="11" t="s">
        <v>226</v>
      </c>
      <c r="N4" s="11" t="s">
        <v>227</v>
      </c>
      <c r="O4" s="11" t="s">
        <v>228</v>
      </c>
      <c r="P4" s="11" t="s">
        <v>229</v>
      </c>
      <c r="Q4" s="23"/>
    </row>
    <row r="5" customFormat="false" ht="32.25" hidden="false" customHeight="true" outlineLevel="0" collapsed="false">
      <c r="A5" s="12" t="s">
        <v>230</v>
      </c>
      <c r="B5" s="11" t="n">
        <v>1</v>
      </c>
      <c r="C5" s="11" t="s">
        <v>223</v>
      </c>
      <c r="D5" s="11" t="s">
        <v>224</v>
      </c>
      <c r="E5" s="11" t="s">
        <v>225</v>
      </c>
      <c r="F5" s="11" t="s">
        <v>215</v>
      </c>
      <c r="G5" s="11" t="s">
        <v>231</v>
      </c>
      <c r="H5" s="21" t="n">
        <v>-1</v>
      </c>
      <c r="I5" s="11" t="s">
        <v>217</v>
      </c>
      <c r="J5" s="11" t="str">
        <f aca="false">IF(OR(AND(I5="예",L5&lt;0),AND(I5="아니오",L5&gt;0)),"●","")</f>
        <v/>
      </c>
      <c r="K5" s="22"/>
      <c r="L5" s="11" t="n">
        <f aca="false">IF(K5="",H5,K5)</f>
        <v>-1</v>
      </c>
      <c r="M5" s="11" t="s">
        <v>232</v>
      </c>
      <c r="N5" s="11" t="s">
        <v>233</v>
      </c>
      <c r="O5" s="11" t="s">
        <v>234</v>
      </c>
      <c r="P5" s="11" t="s">
        <v>235</v>
      </c>
      <c r="Q5" s="23"/>
    </row>
    <row r="6" customFormat="false" ht="32.25" hidden="false" customHeight="true" outlineLevel="0" collapsed="false">
      <c r="A6" s="12" t="s">
        <v>236</v>
      </c>
      <c r="B6" s="11" t="n">
        <v>2</v>
      </c>
      <c r="C6" s="11" t="s">
        <v>237</v>
      </c>
      <c r="D6" s="11" t="s">
        <v>238</v>
      </c>
      <c r="E6" s="11" t="s">
        <v>239</v>
      </c>
      <c r="F6" s="11" t="s">
        <v>207</v>
      </c>
      <c r="G6" s="11" t="s">
        <v>216</v>
      </c>
      <c r="H6" s="21" t="n">
        <v>-2</v>
      </c>
      <c r="I6" s="11" t="s">
        <v>240</v>
      </c>
      <c r="J6" s="11" t="str">
        <f aca="false">IF(OR(AND(I6="예",L6&lt;0),AND(I6="아니오",L6&gt;0)),"●","")</f>
        <v/>
      </c>
      <c r="K6" s="22"/>
      <c r="L6" s="11" t="n">
        <f aca="false">IF(K6="",H6,K6)</f>
        <v>-2</v>
      </c>
      <c r="M6" s="11" t="s">
        <v>241</v>
      </c>
      <c r="N6" s="11" t="s">
        <v>242</v>
      </c>
      <c r="O6" s="11" t="s">
        <v>243</v>
      </c>
      <c r="P6" s="11" t="s">
        <v>244</v>
      </c>
      <c r="Q6" s="23"/>
    </row>
    <row r="7" customFormat="false" ht="32.25" hidden="false" customHeight="true" outlineLevel="0" collapsed="false">
      <c r="A7" s="12" t="s">
        <v>245</v>
      </c>
      <c r="B7" s="11" t="n">
        <v>2</v>
      </c>
      <c r="C7" s="11" t="s">
        <v>237</v>
      </c>
      <c r="D7" s="11" t="s">
        <v>238</v>
      </c>
      <c r="E7" s="11" t="s">
        <v>239</v>
      </c>
      <c r="F7" s="11" t="s">
        <v>215</v>
      </c>
      <c r="G7" s="11" t="s">
        <v>246</v>
      </c>
      <c r="H7" s="21" t="n">
        <v>-1</v>
      </c>
      <c r="I7" s="11" t="s">
        <v>217</v>
      </c>
      <c r="J7" s="11" t="str">
        <f aca="false">IF(OR(AND(I7="예",L7&lt;0),AND(I7="아니오",L7&gt;0)),"●","")</f>
        <v/>
      </c>
      <c r="K7" s="22"/>
      <c r="L7" s="11" t="n">
        <f aca="false">IF(K7="",H7,K7)</f>
        <v>-1</v>
      </c>
      <c r="M7" s="11" t="s">
        <v>247</v>
      </c>
      <c r="N7" s="11" t="s">
        <v>248</v>
      </c>
      <c r="O7" s="11" t="s">
        <v>249</v>
      </c>
      <c r="P7" s="11" t="s">
        <v>250</v>
      </c>
      <c r="Q7" s="23"/>
    </row>
    <row r="8" customFormat="false" ht="32.25" hidden="false" customHeight="true" outlineLevel="0" collapsed="false">
      <c r="A8" s="12" t="s">
        <v>251</v>
      </c>
      <c r="B8" s="11" t="n">
        <v>3</v>
      </c>
      <c r="C8" s="11" t="s">
        <v>252</v>
      </c>
      <c r="D8" s="11" t="s">
        <v>253</v>
      </c>
      <c r="E8" s="11" t="s">
        <v>254</v>
      </c>
      <c r="F8" s="11" t="s">
        <v>207</v>
      </c>
      <c r="G8" s="11" t="s">
        <v>255</v>
      </c>
      <c r="H8" s="21" t="n">
        <v>-1</v>
      </c>
      <c r="I8" s="11" t="s">
        <v>209</v>
      </c>
      <c r="J8" s="11" t="str">
        <f aca="false">IF(OR(AND(I8="예",L8&lt;0),AND(I8="아니오",L8&gt;0)),"●","")</f>
        <v>●</v>
      </c>
      <c r="K8" s="22"/>
      <c r="L8" s="11" t="n">
        <f aca="false">IF(K8="",H8,K8)</f>
        <v>-1</v>
      </c>
      <c r="M8" s="11" t="s">
        <v>256</v>
      </c>
      <c r="N8" s="11" t="s">
        <v>257</v>
      </c>
      <c r="O8" s="11" t="s">
        <v>258</v>
      </c>
      <c r="P8" s="11" t="s">
        <v>259</v>
      </c>
      <c r="Q8" s="23"/>
    </row>
    <row r="9" customFormat="false" ht="32.25" hidden="false" customHeight="true" outlineLevel="0" collapsed="false">
      <c r="A9" s="12" t="s">
        <v>260</v>
      </c>
      <c r="B9" s="11" t="n">
        <v>3</v>
      </c>
      <c r="C9" s="11" t="s">
        <v>252</v>
      </c>
      <c r="D9" s="11" t="s">
        <v>253</v>
      </c>
      <c r="E9" s="11" t="s">
        <v>254</v>
      </c>
      <c r="F9" s="11" t="s">
        <v>215</v>
      </c>
      <c r="G9" s="11" t="s">
        <v>246</v>
      </c>
      <c r="H9" s="21" t="n">
        <v>-1</v>
      </c>
      <c r="I9" s="11" t="s">
        <v>217</v>
      </c>
      <c r="J9" s="11" t="str">
        <f aca="false">IF(OR(AND(I9="예",L9&lt;0),AND(I9="아니오",L9&gt;0)),"●","")</f>
        <v/>
      </c>
      <c r="K9" s="22"/>
      <c r="L9" s="11" t="n">
        <f aca="false">IF(K9="",H9,K9)</f>
        <v>-1</v>
      </c>
      <c r="M9" s="11" t="s">
        <v>261</v>
      </c>
      <c r="N9" s="11" t="s">
        <v>262</v>
      </c>
      <c r="O9" s="11" t="s">
        <v>263</v>
      </c>
      <c r="P9" s="11" t="s">
        <v>264</v>
      </c>
      <c r="Q9" s="23"/>
    </row>
    <row r="10" customFormat="false" ht="32.25" hidden="false" customHeight="true" outlineLevel="0" collapsed="false">
      <c r="A10" s="12" t="s">
        <v>265</v>
      </c>
      <c r="B10" s="11" t="n">
        <v>4</v>
      </c>
      <c r="C10" s="11" t="s">
        <v>266</v>
      </c>
      <c r="D10" s="11" t="s">
        <v>267</v>
      </c>
      <c r="E10" s="11" t="s">
        <v>268</v>
      </c>
      <c r="F10" s="11" t="s">
        <v>207</v>
      </c>
      <c r="G10" s="11" t="s">
        <v>255</v>
      </c>
      <c r="H10" s="21" t="n">
        <v>-1</v>
      </c>
      <c r="I10" s="11" t="s">
        <v>209</v>
      </c>
      <c r="J10" s="11" t="str">
        <f aca="false">IF(OR(AND(I10="예",L10&lt;0),AND(I10="아니오",L10&gt;0)),"●","")</f>
        <v>●</v>
      </c>
      <c r="K10" s="22"/>
      <c r="L10" s="11" t="n">
        <f aca="false">IF(K10="",H10,K10)</f>
        <v>-1</v>
      </c>
      <c r="M10" s="11" t="s">
        <v>269</v>
      </c>
      <c r="N10" s="11" t="s">
        <v>270</v>
      </c>
      <c r="O10" s="11" t="s">
        <v>271</v>
      </c>
      <c r="P10" s="11" t="s">
        <v>272</v>
      </c>
      <c r="Q10" s="23"/>
    </row>
    <row r="11" customFormat="false" ht="32.25" hidden="false" customHeight="true" outlineLevel="0" collapsed="false">
      <c r="A11" s="12" t="s">
        <v>273</v>
      </c>
      <c r="B11" s="11" t="n">
        <v>4</v>
      </c>
      <c r="C11" s="11" t="s">
        <v>266</v>
      </c>
      <c r="D11" s="11" t="s">
        <v>267</v>
      </c>
      <c r="E11" s="11" t="s">
        <v>268</v>
      </c>
      <c r="F11" s="11" t="s">
        <v>215</v>
      </c>
      <c r="G11" s="11" t="s">
        <v>231</v>
      </c>
      <c r="H11" s="21" t="n">
        <v>-1</v>
      </c>
      <c r="I11" s="11" t="s">
        <v>217</v>
      </c>
      <c r="J11" s="11" t="str">
        <f aca="false">IF(OR(AND(I11="예",L11&lt;0),AND(I11="아니오",L11&gt;0)),"●","")</f>
        <v/>
      </c>
      <c r="K11" s="22"/>
      <c r="L11" s="11" t="n">
        <f aca="false">IF(K11="",H11,K11)</f>
        <v>-1</v>
      </c>
      <c r="M11" s="11" t="s">
        <v>274</v>
      </c>
      <c r="N11" s="11" t="s">
        <v>275</v>
      </c>
      <c r="O11" s="11" t="s">
        <v>276</v>
      </c>
      <c r="P11" s="11" t="s">
        <v>277</v>
      </c>
      <c r="Q11" s="23"/>
    </row>
    <row r="12" customFormat="false" ht="32.25" hidden="false" customHeight="true" outlineLevel="0" collapsed="false">
      <c r="A12" s="12" t="s">
        <v>278</v>
      </c>
      <c r="B12" s="11" t="n">
        <v>5</v>
      </c>
      <c r="C12" s="11" t="s">
        <v>279</v>
      </c>
      <c r="D12" s="11" t="s">
        <v>280</v>
      </c>
      <c r="E12" s="11" t="s">
        <v>281</v>
      </c>
      <c r="F12" s="11" t="s">
        <v>207</v>
      </c>
      <c r="G12" s="11" t="s">
        <v>255</v>
      </c>
      <c r="H12" s="21" t="n">
        <v>-2</v>
      </c>
      <c r="I12" s="11" t="s">
        <v>209</v>
      </c>
      <c r="J12" s="11" t="str">
        <f aca="false">IF(OR(AND(I12="예",L12&lt;0),AND(I12="아니오",L12&gt;0)),"●","")</f>
        <v>●</v>
      </c>
      <c r="K12" s="22"/>
      <c r="L12" s="11" t="n">
        <f aca="false">IF(K12="",H12,K12)</f>
        <v>-2</v>
      </c>
      <c r="M12" s="11" t="s">
        <v>282</v>
      </c>
      <c r="N12" s="11" t="s">
        <v>283</v>
      </c>
      <c r="O12" s="11" t="s">
        <v>284</v>
      </c>
      <c r="P12" s="11" t="s">
        <v>285</v>
      </c>
      <c r="Q12" s="23"/>
    </row>
    <row r="13" customFormat="false" ht="32.25" hidden="false" customHeight="true" outlineLevel="0" collapsed="false">
      <c r="A13" s="12" t="s">
        <v>286</v>
      </c>
      <c r="B13" s="11" t="n">
        <v>5</v>
      </c>
      <c r="C13" s="11" t="s">
        <v>279</v>
      </c>
      <c r="D13" s="11" t="s">
        <v>280</v>
      </c>
      <c r="E13" s="11" t="s">
        <v>281</v>
      </c>
      <c r="F13" s="11" t="s">
        <v>215</v>
      </c>
      <c r="G13" s="11" t="s">
        <v>208</v>
      </c>
      <c r="H13" s="21" t="n">
        <v>1</v>
      </c>
      <c r="I13" s="11" t="s">
        <v>217</v>
      </c>
      <c r="J13" s="11" t="str">
        <f aca="false">IF(OR(AND(I13="예",L13&lt;0),AND(I13="아니오",L13&gt;0)),"●","")</f>
        <v>●</v>
      </c>
      <c r="K13" s="22"/>
      <c r="L13" s="11" t="n">
        <f aca="false">IF(K13="",H13,K13)</f>
        <v>1</v>
      </c>
      <c r="M13" s="11" t="s">
        <v>287</v>
      </c>
      <c r="N13" s="11" t="s">
        <v>288</v>
      </c>
      <c r="O13" s="11" t="s">
        <v>289</v>
      </c>
      <c r="P13" s="11" t="s">
        <v>290</v>
      </c>
      <c r="Q13" s="23"/>
    </row>
    <row r="14" customFormat="false" ht="32.25" hidden="false" customHeight="true" outlineLevel="0" collapsed="false">
      <c r="A14" s="12" t="s">
        <v>291</v>
      </c>
      <c r="B14" s="11" t="n">
        <v>6</v>
      </c>
      <c r="C14" s="11" t="s">
        <v>292</v>
      </c>
      <c r="D14" s="11" t="s">
        <v>293</v>
      </c>
      <c r="E14" s="11" t="s">
        <v>294</v>
      </c>
      <c r="F14" s="11" t="s">
        <v>207</v>
      </c>
      <c r="G14" s="11" t="s">
        <v>208</v>
      </c>
      <c r="H14" s="21" t="n">
        <v>2</v>
      </c>
      <c r="I14" s="11" t="s">
        <v>209</v>
      </c>
      <c r="J14" s="11" t="str">
        <f aca="false">IF(OR(AND(I14="예",L14&lt;0),AND(I14="아니오",L14&gt;0)),"●","")</f>
        <v/>
      </c>
      <c r="K14" s="22"/>
      <c r="L14" s="11" t="n">
        <f aca="false">IF(K14="",H14,K14)</f>
        <v>2</v>
      </c>
      <c r="M14" s="11" t="s">
        <v>295</v>
      </c>
      <c r="N14" s="11" t="s">
        <v>296</v>
      </c>
      <c r="O14" s="11" t="s">
        <v>297</v>
      </c>
      <c r="P14" s="11" t="s">
        <v>298</v>
      </c>
      <c r="Q14" s="23"/>
    </row>
    <row r="15" customFormat="false" ht="32.25" hidden="false" customHeight="true" outlineLevel="0" collapsed="false">
      <c r="A15" s="12" t="s">
        <v>299</v>
      </c>
      <c r="B15" s="11" t="n">
        <v>6</v>
      </c>
      <c r="C15" s="11" t="s">
        <v>292</v>
      </c>
      <c r="D15" s="11" t="s">
        <v>293</v>
      </c>
      <c r="E15" s="11" t="s">
        <v>294</v>
      </c>
      <c r="F15" s="11" t="s">
        <v>215</v>
      </c>
      <c r="G15" s="11" t="s">
        <v>216</v>
      </c>
      <c r="H15" s="21" t="n">
        <v>-1</v>
      </c>
      <c r="I15" s="11" t="s">
        <v>217</v>
      </c>
      <c r="J15" s="11" t="str">
        <f aca="false">IF(OR(AND(I15="예",L15&lt;0),AND(I15="아니오",L15&gt;0)),"●","")</f>
        <v/>
      </c>
      <c r="K15" s="22"/>
      <c r="L15" s="11" t="n">
        <f aca="false">IF(K15="",H15,K15)</f>
        <v>-1</v>
      </c>
      <c r="M15" s="11" t="s">
        <v>300</v>
      </c>
      <c r="N15" s="11" t="s">
        <v>301</v>
      </c>
      <c r="O15" s="11" t="s">
        <v>302</v>
      </c>
      <c r="P15" s="11" t="s">
        <v>303</v>
      </c>
      <c r="Q15" s="23"/>
    </row>
    <row r="16" customFormat="false" ht="32.25" hidden="false" customHeight="true" outlineLevel="0" collapsed="false">
      <c r="A16" s="12" t="s">
        <v>304</v>
      </c>
      <c r="B16" s="11" t="n">
        <v>7</v>
      </c>
      <c r="C16" s="11" t="s">
        <v>305</v>
      </c>
      <c r="D16" s="11" t="s">
        <v>306</v>
      </c>
      <c r="E16" s="11" t="s">
        <v>307</v>
      </c>
      <c r="F16" s="11" t="s">
        <v>207</v>
      </c>
      <c r="G16" s="11" t="s">
        <v>208</v>
      </c>
      <c r="H16" s="21" t="n">
        <v>2</v>
      </c>
      <c r="I16" s="11" t="s">
        <v>209</v>
      </c>
      <c r="J16" s="11" t="str">
        <f aca="false">IF(OR(AND(I16="예",L16&lt;0),AND(I16="아니오",L16&gt;0)),"●","")</f>
        <v/>
      </c>
      <c r="K16" s="22"/>
      <c r="L16" s="11" t="n">
        <f aca="false">IF(K16="",H16,K16)</f>
        <v>2</v>
      </c>
      <c r="M16" s="11" t="s">
        <v>308</v>
      </c>
      <c r="N16" s="11" t="s">
        <v>309</v>
      </c>
      <c r="O16" s="11" t="s">
        <v>310</v>
      </c>
      <c r="P16" s="11" t="s">
        <v>311</v>
      </c>
      <c r="Q16" s="23"/>
    </row>
    <row r="17" customFormat="false" ht="32.25" hidden="false" customHeight="true" outlineLevel="0" collapsed="false">
      <c r="A17" s="12" t="s">
        <v>312</v>
      </c>
      <c r="B17" s="11" t="n">
        <v>7</v>
      </c>
      <c r="C17" s="11" t="s">
        <v>305</v>
      </c>
      <c r="D17" s="11" t="s">
        <v>306</v>
      </c>
      <c r="E17" s="11" t="s">
        <v>307</v>
      </c>
      <c r="F17" s="11" t="s">
        <v>215</v>
      </c>
      <c r="G17" s="11" t="s">
        <v>216</v>
      </c>
      <c r="H17" s="21" t="n">
        <v>-2</v>
      </c>
      <c r="I17" s="11" t="s">
        <v>217</v>
      </c>
      <c r="J17" s="11" t="str">
        <f aca="false">IF(OR(AND(I17="예",L17&lt;0),AND(I17="아니오",L17&gt;0)),"●","")</f>
        <v/>
      </c>
      <c r="K17" s="22"/>
      <c r="L17" s="11" t="n">
        <f aca="false">IF(K17="",H17,K17)</f>
        <v>-2</v>
      </c>
      <c r="M17" s="11" t="s">
        <v>313</v>
      </c>
      <c r="N17" s="11" t="s">
        <v>314</v>
      </c>
      <c r="O17" s="11" t="s">
        <v>315</v>
      </c>
      <c r="P17" s="11" t="s">
        <v>316</v>
      </c>
      <c r="Q17" s="23"/>
    </row>
    <row r="18" customFormat="false" ht="32.25" hidden="false" customHeight="true" outlineLevel="0" collapsed="false">
      <c r="A18" s="12" t="s">
        <v>317</v>
      </c>
      <c r="B18" s="11" t="n">
        <v>8</v>
      </c>
      <c r="C18" s="11" t="s">
        <v>318</v>
      </c>
      <c r="D18" s="11" t="s">
        <v>319</v>
      </c>
      <c r="E18" s="11" t="s">
        <v>320</v>
      </c>
      <c r="F18" s="11" t="s">
        <v>207</v>
      </c>
      <c r="G18" s="11" t="s">
        <v>255</v>
      </c>
      <c r="H18" s="21" t="n">
        <v>-1</v>
      </c>
      <c r="I18" s="11" t="s">
        <v>209</v>
      </c>
      <c r="J18" s="11" t="str">
        <f aca="false">IF(OR(AND(I18="예",L18&lt;0),AND(I18="아니오",L18&gt;0)),"●","")</f>
        <v>●</v>
      </c>
      <c r="K18" s="22"/>
      <c r="L18" s="11" t="n">
        <f aca="false">IF(K18="",H18,K18)</f>
        <v>-1</v>
      </c>
      <c r="M18" s="11" t="s">
        <v>321</v>
      </c>
      <c r="N18" s="11" t="s">
        <v>322</v>
      </c>
      <c r="O18" s="11" t="s">
        <v>323</v>
      </c>
      <c r="P18" s="11" t="s">
        <v>324</v>
      </c>
      <c r="Q18" s="23"/>
    </row>
    <row r="19" customFormat="false" ht="32.25" hidden="false" customHeight="true" outlineLevel="0" collapsed="false">
      <c r="A19" s="12" t="s">
        <v>325</v>
      </c>
      <c r="B19" s="11" t="n">
        <v>8</v>
      </c>
      <c r="C19" s="11" t="s">
        <v>318</v>
      </c>
      <c r="D19" s="11" t="s">
        <v>319</v>
      </c>
      <c r="E19" s="11" t="s">
        <v>320</v>
      </c>
      <c r="F19" s="11" t="s">
        <v>215</v>
      </c>
      <c r="G19" s="11" t="s">
        <v>246</v>
      </c>
      <c r="H19" s="21" t="n">
        <v>-1</v>
      </c>
      <c r="I19" s="11" t="s">
        <v>217</v>
      </c>
      <c r="J19" s="11" t="str">
        <f aca="false">IF(OR(AND(I19="예",L19&lt;0),AND(I19="아니오",L19&gt;0)),"●","")</f>
        <v/>
      </c>
      <c r="K19" s="22"/>
      <c r="L19" s="11" t="n">
        <f aca="false">IF(K19="",H19,K19)</f>
        <v>-1</v>
      </c>
      <c r="M19" s="11" t="s">
        <v>326</v>
      </c>
      <c r="N19" s="11" t="s">
        <v>327</v>
      </c>
      <c r="O19" s="11" t="s">
        <v>328</v>
      </c>
      <c r="P19" s="11" t="s">
        <v>329</v>
      </c>
      <c r="Q19" s="23"/>
    </row>
    <row r="20" customFormat="false" ht="32.25" hidden="false" customHeight="true" outlineLevel="0" collapsed="false">
      <c r="A20" s="12" t="s">
        <v>330</v>
      </c>
      <c r="B20" s="11" t="n">
        <v>9</v>
      </c>
      <c r="C20" s="11" t="s">
        <v>331</v>
      </c>
      <c r="D20" s="11" t="s">
        <v>332</v>
      </c>
      <c r="E20" s="11" t="s">
        <v>333</v>
      </c>
      <c r="F20" s="11" t="s">
        <v>207</v>
      </c>
      <c r="G20" s="11" t="s">
        <v>216</v>
      </c>
      <c r="H20" s="21" t="n">
        <v>-2</v>
      </c>
      <c r="I20" s="11" t="s">
        <v>240</v>
      </c>
      <c r="J20" s="11" t="str">
        <f aca="false">IF(OR(AND(I20="예",L20&lt;0),AND(I20="아니오",L20&gt;0)),"●","")</f>
        <v/>
      </c>
      <c r="K20" s="22"/>
      <c r="L20" s="11" t="n">
        <f aca="false">IF(K20="",H20,K20)</f>
        <v>-2</v>
      </c>
      <c r="M20" s="11" t="s">
        <v>334</v>
      </c>
      <c r="N20" s="11" t="s">
        <v>335</v>
      </c>
      <c r="O20" s="11" t="s">
        <v>336</v>
      </c>
      <c r="P20" s="11" t="s">
        <v>337</v>
      </c>
      <c r="Q20" s="23"/>
    </row>
    <row r="21" customFormat="false" ht="32.25" hidden="false" customHeight="true" outlineLevel="0" collapsed="false">
      <c r="A21" s="12" t="s">
        <v>338</v>
      </c>
      <c r="B21" s="11" t="n">
        <v>9</v>
      </c>
      <c r="C21" s="11" t="s">
        <v>331</v>
      </c>
      <c r="D21" s="11" t="s">
        <v>332</v>
      </c>
      <c r="E21" s="11" t="s">
        <v>333</v>
      </c>
      <c r="F21" s="11" t="s">
        <v>215</v>
      </c>
      <c r="G21" s="11" t="s">
        <v>246</v>
      </c>
      <c r="H21" s="21" t="n">
        <v>-1</v>
      </c>
      <c r="I21" s="11" t="s">
        <v>217</v>
      </c>
      <c r="J21" s="11" t="str">
        <f aca="false">IF(OR(AND(I21="예",L21&lt;0),AND(I21="아니오",L21&gt;0)),"●","")</f>
        <v/>
      </c>
      <c r="K21" s="22"/>
      <c r="L21" s="11" t="n">
        <f aca="false">IF(K21="",H21,K21)</f>
        <v>-1</v>
      </c>
      <c r="M21" s="11" t="s">
        <v>339</v>
      </c>
      <c r="N21" s="11" t="s">
        <v>340</v>
      </c>
      <c r="O21" s="11" t="s">
        <v>341</v>
      </c>
      <c r="P21" s="11" t="s">
        <v>342</v>
      </c>
      <c r="Q21" s="23"/>
    </row>
    <row r="22" customFormat="false" ht="32.25" hidden="false" customHeight="true" outlineLevel="0" collapsed="false">
      <c r="A22" s="12" t="s">
        <v>343</v>
      </c>
      <c r="B22" s="11" t="n">
        <v>10</v>
      </c>
      <c r="C22" s="11" t="s">
        <v>344</v>
      </c>
      <c r="D22" s="11" t="s">
        <v>345</v>
      </c>
      <c r="E22" s="11" t="s">
        <v>346</v>
      </c>
      <c r="F22" s="11" t="s">
        <v>207</v>
      </c>
      <c r="G22" s="11" t="s">
        <v>208</v>
      </c>
      <c r="H22" s="21" t="n">
        <v>2</v>
      </c>
      <c r="I22" s="11" t="s">
        <v>209</v>
      </c>
      <c r="J22" s="11" t="str">
        <f aca="false">IF(OR(AND(I22="예",L22&lt;0),AND(I22="아니오",L22&gt;0)),"●","")</f>
        <v/>
      </c>
      <c r="K22" s="22"/>
      <c r="L22" s="11" t="n">
        <f aca="false">IF(K22="",H22,K22)</f>
        <v>2</v>
      </c>
      <c r="M22" s="11" t="s">
        <v>347</v>
      </c>
      <c r="N22" s="11" t="s">
        <v>348</v>
      </c>
      <c r="O22" s="11" t="s">
        <v>349</v>
      </c>
      <c r="P22" s="11" t="s">
        <v>350</v>
      </c>
      <c r="Q22" s="23"/>
    </row>
    <row r="23" customFormat="false" ht="32.25" hidden="false" customHeight="true" outlineLevel="0" collapsed="false">
      <c r="A23" s="12" t="s">
        <v>351</v>
      </c>
      <c r="B23" s="11" t="n">
        <v>10</v>
      </c>
      <c r="C23" s="11" t="s">
        <v>344</v>
      </c>
      <c r="D23" s="11" t="s">
        <v>345</v>
      </c>
      <c r="E23" s="11" t="s">
        <v>346</v>
      </c>
      <c r="F23" s="11" t="s">
        <v>215</v>
      </c>
      <c r="G23" s="11" t="s">
        <v>216</v>
      </c>
      <c r="H23" s="21" t="n">
        <v>-1</v>
      </c>
      <c r="I23" s="11" t="s">
        <v>217</v>
      </c>
      <c r="J23" s="11" t="str">
        <f aca="false">IF(OR(AND(I23="예",L23&lt;0),AND(I23="아니오",L23&gt;0)),"●","")</f>
        <v/>
      </c>
      <c r="K23" s="22"/>
      <c r="L23" s="11" t="n">
        <f aca="false">IF(K23="",H23,K23)</f>
        <v>-1</v>
      </c>
      <c r="M23" s="11" t="s">
        <v>352</v>
      </c>
      <c r="N23" s="11" t="s">
        <v>353</v>
      </c>
      <c r="O23" s="11" t="s">
        <v>354</v>
      </c>
      <c r="P23" s="11" t="s">
        <v>355</v>
      </c>
      <c r="Q23" s="23"/>
    </row>
    <row r="24" customFormat="false" ht="32.25" hidden="false" customHeight="true" outlineLevel="0" collapsed="false">
      <c r="A24" s="12" t="s">
        <v>356</v>
      </c>
      <c r="B24" s="11" t="n">
        <v>11</v>
      </c>
      <c r="C24" s="11" t="s">
        <v>357</v>
      </c>
      <c r="D24" s="11" t="s">
        <v>358</v>
      </c>
      <c r="E24" s="11" t="s">
        <v>359</v>
      </c>
      <c r="F24" s="11" t="s">
        <v>207</v>
      </c>
      <c r="G24" s="11" t="s">
        <v>216</v>
      </c>
      <c r="H24" s="21" t="n">
        <v>-1</v>
      </c>
      <c r="I24" s="11" t="s">
        <v>209</v>
      </c>
      <c r="J24" s="11" t="str">
        <f aca="false">IF(OR(AND(I24="예",L24&lt;0),AND(I24="아니오",L24&gt;0)),"●","")</f>
        <v>●</v>
      </c>
      <c r="K24" s="22"/>
      <c r="L24" s="11" t="n">
        <f aca="false">IF(K24="",H24,K24)</f>
        <v>-1</v>
      </c>
      <c r="M24" s="11" t="s">
        <v>360</v>
      </c>
      <c r="N24" s="11" t="s">
        <v>361</v>
      </c>
      <c r="O24" s="11" t="s">
        <v>362</v>
      </c>
      <c r="P24" s="11" t="s">
        <v>363</v>
      </c>
      <c r="Q24" s="23"/>
    </row>
    <row r="25" customFormat="false" ht="32.25" hidden="false" customHeight="true" outlineLevel="0" collapsed="false">
      <c r="A25" s="12" t="s">
        <v>364</v>
      </c>
      <c r="B25" s="11" t="n">
        <v>11</v>
      </c>
      <c r="C25" s="11" t="s">
        <v>357</v>
      </c>
      <c r="D25" s="11" t="s">
        <v>358</v>
      </c>
      <c r="E25" s="11" t="s">
        <v>359</v>
      </c>
      <c r="F25" s="11" t="s">
        <v>215</v>
      </c>
      <c r="G25" s="11" t="s">
        <v>246</v>
      </c>
      <c r="H25" s="21" t="n">
        <v>-1</v>
      </c>
      <c r="I25" s="11" t="s">
        <v>217</v>
      </c>
      <c r="J25" s="11" t="str">
        <f aca="false">IF(OR(AND(I25="예",L25&lt;0),AND(I25="아니오",L25&gt;0)),"●","")</f>
        <v/>
      </c>
      <c r="K25" s="22"/>
      <c r="L25" s="11" t="n">
        <f aca="false">IF(K25="",H25,K25)</f>
        <v>-1</v>
      </c>
      <c r="M25" s="11" t="s">
        <v>365</v>
      </c>
      <c r="N25" s="11" t="s">
        <v>366</v>
      </c>
      <c r="O25" s="11" t="s">
        <v>367</v>
      </c>
      <c r="P25" s="11" t="s">
        <v>368</v>
      </c>
      <c r="Q25" s="23"/>
    </row>
    <row r="26" customFormat="false" ht="32.25" hidden="false" customHeight="true" outlineLevel="0" collapsed="false">
      <c r="A26" s="12" t="s">
        <v>369</v>
      </c>
      <c r="B26" s="11" t="n">
        <v>12</v>
      </c>
      <c r="C26" s="11" t="s">
        <v>370</v>
      </c>
      <c r="D26" s="11" t="s">
        <v>371</v>
      </c>
      <c r="E26" s="11" t="s">
        <v>372</v>
      </c>
      <c r="F26" s="11" t="s">
        <v>207</v>
      </c>
      <c r="G26" s="11" t="s">
        <v>216</v>
      </c>
      <c r="H26" s="21" t="n">
        <v>-2</v>
      </c>
      <c r="I26" s="11" t="s">
        <v>240</v>
      </c>
      <c r="J26" s="11" t="str">
        <f aca="false">IF(OR(AND(I26="예",L26&lt;0),AND(I26="아니오",L26&gt;0)),"●","")</f>
        <v/>
      </c>
      <c r="K26" s="22"/>
      <c r="L26" s="11" t="n">
        <f aca="false">IF(K26="",H26,K26)</f>
        <v>-2</v>
      </c>
      <c r="M26" s="11" t="s">
        <v>373</v>
      </c>
      <c r="N26" s="11" t="s">
        <v>374</v>
      </c>
      <c r="O26" s="11" t="s">
        <v>375</v>
      </c>
      <c r="P26" s="11" t="s">
        <v>376</v>
      </c>
      <c r="Q26" s="23"/>
    </row>
    <row r="27" customFormat="false" ht="32.25" hidden="false" customHeight="true" outlineLevel="0" collapsed="false">
      <c r="A27" s="12" t="s">
        <v>377</v>
      </c>
      <c r="B27" s="11" t="n">
        <v>12</v>
      </c>
      <c r="C27" s="11" t="s">
        <v>370</v>
      </c>
      <c r="D27" s="11" t="s">
        <v>371</v>
      </c>
      <c r="E27" s="11" t="s">
        <v>372</v>
      </c>
      <c r="F27" s="11" t="s">
        <v>215</v>
      </c>
      <c r="G27" s="11" t="s">
        <v>208</v>
      </c>
      <c r="H27" s="21" t="n">
        <v>1</v>
      </c>
      <c r="I27" s="11" t="s">
        <v>217</v>
      </c>
      <c r="J27" s="11" t="str">
        <f aca="false">IF(OR(AND(I27="예",L27&lt;0),AND(I27="아니오",L27&gt;0)),"●","")</f>
        <v>●</v>
      </c>
      <c r="K27" s="22"/>
      <c r="L27" s="11" t="n">
        <f aca="false">IF(K27="",H27,K27)</f>
        <v>1</v>
      </c>
      <c r="M27" s="11" t="s">
        <v>378</v>
      </c>
      <c r="N27" s="11" t="s">
        <v>379</v>
      </c>
      <c r="O27" s="11" t="s">
        <v>380</v>
      </c>
      <c r="P27" s="11" t="s">
        <v>381</v>
      </c>
      <c r="Q27" s="23"/>
    </row>
    <row r="28" customFormat="false" ht="32.25" hidden="false" customHeight="true" outlineLevel="0" collapsed="false">
      <c r="A28" s="12" t="s">
        <v>382</v>
      </c>
      <c r="B28" s="11" t="n">
        <v>13</v>
      </c>
      <c r="C28" s="11" t="s">
        <v>383</v>
      </c>
      <c r="D28" s="11" t="s">
        <v>384</v>
      </c>
      <c r="E28" s="11" t="s">
        <v>385</v>
      </c>
      <c r="F28" s="11" t="s">
        <v>207</v>
      </c>
      <c r="G28" s="11" t="s">
        <v>386</v>
      </c>
      <c r="H28" s="21" t="n">
        <v>1</v>
      </c>
      <c r="I28" s="11" t="s">
        <v>217</v>
      </c>
      <c r="J28" s="11" t="str">
        <f aca="false">IF(OR(AND(I28="예",L28&lt;0),AND(I28="아니오",L28&gt;0)),"●","")</f>
        <v>●</v>
      </c>
      <c r="K28" s="22"/>
      <c r="L28" s="11" t="n">
        <f aca="false">IF(K28="",H28,K28)</f>
        <v>1</v>
      </c>
      <c r="M28" s="11" t="s">
        <v>387</v>
      </c>
      <c r="N28" s="11" t="s">
        <v>388</v>
      </c>
      <c r="O28" s="11" t="s">
        <v>389</v>
      </c>
      <c r="P28" s="11" t="s">
        <v>390</v>
      </c>
      <c r="Q28" s="23"/>
    </row>
    <row r="29" customFormat="false" ht="32.25" hidden="false" customHeight="true" outlineLevel="0" collapsed="false">
      <c r="A29" s="12" t="s">
        <v>391</v>
      </c>
      <c r="B29" s="11" t="n">
        <v>13</v>
      </c>
      <c r="C29" s="11" t="s">
        <v>383</v>
      </c>
      <c r="D29" s="11" t="s">
        <v>384</v>
      </c>
      <c r="E29" s="11" t="s">
        <v>385</v>
      </c>
      <c r="F29" s="11" t="s">
        <v>215</v>
      </c>
      <c r="G29" s="11" t="s">
        <v>216</v>
      </c>
      <c r="H29" s="21" t="n">
        <v>-1</v>
      </c>
      <c r="I29" s="11" t="s">
        <v>209</v>
      </c>
      <c r="J29" s="11" t="str">
        <f aca="false">IF(OR(AND(I29="예",L29&lt;0),AND(I29="아니오",L29&gt;0)),"●","")</f>
        <v>●</v>
      </c>
      <c r="K29" s="22"/>
      <c r="L29" s="11" t="n">
        <f aca="false">IF(K29="",H29,K29)</f>
        <v>-1</v>
      </c>
      <c r="M29" s="11" t="s">
        <v>392</v>
      </c>
      <c r="N29" s="11" t="s">
        <v>393</v>
      </c>
      <c r="O29" s="11" t="s">
        <v>394</v>
      </c>
      <c r="P29" s="11" t="s">
        <v>395</v>
      </c>
      <c r="Q29" s="23"/>
    </row>
    <row r="30" customFormat="false" ht="48" hidden="false" customHeight="true" outlineLevel="0" collapsed="false">
      <c r="A30" s="12" t="s">
        <v>396</v>
      </c>
      <c r="B30" s="11" t="n">
        <v>14</v>
      </c>
      <c r="C30" s="11" t="s">
        <v>397</v>
      </c>
      <c r="D30" s="11" t="s">
        <v>398</v>
      </c>
      <c r="E30" s="11" t="s">
        <v>399</v>
      </c>
      <c r="F30" s="11" t="s">
        <v>207</v>
      </c>
      <c r="G30" s="11" t="s">
        <v>231</v>
      </c>
      <c r="H30" s="21" t="n">
        <v>-1</v>
      </c>
      <c r="I30" s="11" t="s">
        <v>209</v>
      </c>
      <c r="J30" s="11" t="str">
        <f aca="false">IF(OR(AND(I30="예",L30&lt;0),AND(I30="아니오",L30&gt;0)),"●","")</f>
        <v>●</v>
      </c>
      <c r="K30" s="22"/>
      <c r="L30" s="11" t="n">
        <f aca="false">IF(K30="",H30,K30)</f>
        <v>-1</v>
      </c>
      <c r="M30" s="11" t="s">
        <v>400</v>
      </c>
      <c r="N30" s="11" t="s">
        <v>401</v>
      </c>
      <c r="O30" s="11" t="s">
        <v>402</v>
      </c>
      <c r="P30" s="11" t="s">
        <v>403</v>
      </c>
      <c r="Q30" s="23"/>
    </row>
    <row r="31" customFormat="false" ht="32.25" hidden="false" customHeight="true" outlineLevel="0" collapsed="false">
      <c r="A31" s="12" t="s">
        <v>404</v>
      </c>
      <c r="B31" s="11" t="n">
        <v>14</v>
      </c>
      <c r="C31" s="11" t="s">
        <v>397</v>
      </c>
      <c r="D31" s="11" t="s">
        <v>398</v>
      </c>
      <c r="E31" s="11" t="s">
        <v>399</v>
      </c>
      <c r="F31" s="11" t="s">
        <v>215</v>
      </c>
      <c r="G31" s="11" t="s">
        <v>231</v>
      </c>
      <c r="H31" s="21" t="n">
        <v>-1</v>
      </c>
      <c r="I31" s="11" t="s">
        <v>217</v>
      </c>
      <c r="J31" s="11" t="str">
        <f aca="false">IF(OR(AND(I31="예",L31&lt;0),AND(I31="아니오",L31&gt;0)),"●","")</f>
        <v/>
      </c>
      <c r="K31" s="22"/>
      <c r="L31" s="11" t="n">
        <f aca="false">IF(K31="",H31,K31)</f>
        <v>-1</v>
      </c>
      <c r="M31" s="11" t="s">
        <v>405</v>
      </c>
      <c r="N31" s="11" t="s">
        <v>406</v>
      </c>
      <c r="O31" s="11" t="s">
        <v>407</v>
      </c>
      <c r="P31" s="11" t="s">
        <v>408</v>
      </c>
      <c r="Q31" s="23"/>
    </row>
    <row r="32" customFormat="false" ht="32.25" hidden="false" customHeight="true" outlineLevel="0" collapsed="false">
      <c r="A32" s="12" t="s">
        <v>409</v>
      </c>
      <c r="B32" s="11" t="n">
        <v>15</v>
      </c>
      <c r="C32" s="11" t="s">
        <v>410</v>
      </c>
      <c r="D32" s="11" t="s">
        <v>411</v>
      </c>
      <c r="E32" s="11" t="s">
        <v>412</v>
      </c>
      <c r="F32" s="11" t="s">
        <v>207</v>
      </c>
      <c r="G32" s="11" t="s">
        <v>386</v>
      </c>
      <c r="H32" s="21" t="n">
        <v>1</v>
      </c>
      <c r="I32" s="11" t="s">
        <v>217</v>
      </c>
      <c r="J32" s="11" t="str">
        <f aca="false">IF(OR(AND(I32="예",L32&lt;0),AND(I32="아니오",L32&gt;0)),"●","")</f>
        <v>●</v>
      </c>
      <c r="K32" s="22"/>
      <c r="L32" s="11" t="n">
        <f aca="false">IF(K32="",H32,K32)</f>
        <v>1</v>
      </c>
      <c r="M32" s="11" t="s">
        <v>413</v>
      </c>
      <c r="N32" s="11" t="s">
        <v>414</v>
      </c>
      <c r="O32" s="11" t="s">
        <v>415</v>
      </c>
      <c r="P32" s="11" t="s">
        <v>416</v>
      </c>
      <c r="Q32" s="23"/>
    </row>
    <row r="33" customFormat="false" ht="32.25" hidden="false" customHeight="true" outlineLevel="0" collapsed="false">
      <c r="A33" s="12" t="s">
        <v>417</v>
      </c>
      <c r="B33" s="11" t="n">
        <v>15</v>
      </c>
      <c r="C33" s="11" t="s">
        <v>410</v>
      </c>
      <c r="D33" s="11" t="s">
        <v>411</v>
      </c>
      <c r="E33" s="11" t="s">
        <v>412</v>
      </c>
      <c r="F33" s="11" t="s">
        <v>215</v>
      </c>
      <c r="G33" s="11" t="s">
        <v>208</v>
      </c>
      <c r="H33" s="21" t="n">
        <v>2</v>
      </c>
      <c r="I33" s="11" t="s">
        <v>209</v>
      </c>
      <c r="J33" s="11" t="str">
        <f aca="false">IF(OR(AND(I33="예",L33&lt;0),AND(I33="아니오",L33&gt;0)),"●","")</f>
        <v/>
      </c>
      <c r="K33" s="22"/>
      <c r="L33" s="11" t="n">
        <f aca="false">IF(K33="",H33,K33)</f>
        <v>2</v>
      </c>
      <c r="M33" s="11" t="s">
        <v>418</v>
      </c>
      <c r="N33" s="11" t="s">
        <v>419</v>
      </c>
      <c r="O33" s="11" t="s">
        <v>420</v>
      </c>
      <c r="P33" s="11" t="s">
        <v>421</v>
      </c>
      <c r="Q33" s="23"/>
    </row>
    <row r="34" customFormat="false" ht="32.25" hidden="false" customHeight="true" outlineLevel="0" collapsed="false">
      <c r="A34" s="12" t="s">
        <v>422</v>
      </c>
      <c r="B34" s="11" t="n">
        <v>16</v>
      </c>
      <c r="C34" s="11" t="s">
        <v>423</v>
      </c>
      <c r="D34" s="11" t="s">
        <v>424</v>
      </c>
      <c r="E34" s="11" t="s">
        <v>425</v>
      </c>
      <c r="F34" s="11" t="s">
        <v>207</v>
      </c>
      <c r="G34" s="11" t="s">
        <v>386</v>
      </c>
      <c r="H34" s="21" t="n">
        <v>1</v>
      </c>
      <c r="I34" s="11" t="s">
        <v>217</v>
      </c>
      <c r="J34" s="11" t="str">
        <f aca="false">IF(OR(AND(I34="예",L34&lt;0),AND(I34="아니오",L34&gt;0)),"●","")</f>
        <v>●</v>
      </c>
      <c r="K34" s="22"/>
      <c r="L34" s="11" t="n">
        <f aca="false">IF(K34="",H34,K34)</f>
        <v>1</v>
      </c>
      <c r="M34" s="11" t="s">
        <v>426</v>
      </c>
      <c r="N34" s="11" t="s">
        <v>427</v>
      </c>
      <c r="O34" s="11" t="s">
        <v>428</v>
      </c>
      <c r="P34" s="11" t="s">
        <v>429</v>
      </c>
      <c r="Q34" s="23"/>
    </row>
    <row r="35" customFormat="false" ht="32.25" hidden="false" customHeight="true" outlineLevel="0" collapsed="false">
      <c r="A35" s="12" t="s">
        <v>430</v>
      </c>
      <c r="B35" s="11" t="n">
        <v>16</v>
      </c>
      <c r="C35" s="11" t="s">
        <v>423</v>
      </c>
      <c r="D35" s="11" t="s">
        <v>424</v>
      </c>
      <c r="E35" s="11" t="s">
        <v>425</v>
      </c>
      <c r="F35" s="11" t="s">
        <v>215</v>
      </c>
      <c r="G35" s="11" t="s">
        <v>216</v>
      </c>
      <c r="H35" s="21" t="n">
        <v>-1</v>
      </c>
      <c r="I35" s="11" t="s">
        <v>240</v>
      </c>
      <c r="J35" s="11" t="str">
        <f aca="false">IF(OR(AND(I35="예",L35&lt;0),AND(I35="아니오",L35&gt;0)),"●","")</f>
        <v/>
      </c>
      <c r="K35" s="22"/>
      <c r="L35" s="11" t="n">
        <f aca="false">IF(K35="",H35,K35)</f>
        <v>-1</v>
      </c>
      <c r="M35" s="11" t="s">
        <v>431</v>
      </c>
      <c r="N35" s="11" t="s">
        <v>432</v>
      </c>
      <c r="O35" s="11" t="s">
        <v>433</v>
      </c>
      <c r="P35" s="11" t="s">
        <v>434</v>
      </c>
      <c r="Q35" s="23"/>
    </row>
    <row r="36" customFormat="false" ht="32.25" hidden="false" customHeight="true" outlineLevel="0" collapsed="false">
      <c r="A36" s="12" t="s">
        <v>435</v>
      </c>
      <c r="B36" s="11" t="n">
        <v>17</v>
      </c>
      <c r="C36" s="11" t="s">
        <v>436</v>
      </c>
      <c r="D36" s="11" t="s">
        <v>437</v>
      </c>
      <c r="E36" s="11" t="s">
        <v>438</v>
      </c>
      <c r="F36" s="11" t="s">
        <v>207</v>
      </c>
      <c r="G36" s="11" t="s">
        <v>208</v>
      </c>
      <c r="H36" s="21" t="n">
        <v>2</v>
      </c>
      <c r="I36" s="11" t="s">
        <v>209</v>
      </c>
      <c r="J36" s="11" t="str">
        <f aca="false">IF(OR(AND(I36="예",L36&lt;0),AND(I36="아니오",L36&gt;0)),"●","")</f>
        <v/>
      </c>
      <c r="K36" s="22"/>
      <c r="L36" s="11" t="n">
        <f aca="false">IF(K36="",H36,K36)</f>
        <v>2</v>
      </c>
      <c r="M36" s="11" t="s">
        <v>439</v>
      </c>
      <c r="N36" s="11" t="s">
        <v>440</v>
      </c>
      <c r="O36" s="11" t="s">
        <v>441</v>
      </c>
      <c r="P36" s="11" t="s">
        <v>442</v>
      </c>
      <c r="Q36" s="23"/>
    </row>
    <row r="37" customFormat="false" ht="32.25" hidden="false" customHeight="true" outlineLevel="0" collapsed="false">
      <c r="A37" s="12" t="s">
        <v>443</v>
      </c>
      <c r="B37" s="11" t="n">
        <v>17</v>
      </c>
      <c r="C37" s="11" t="s">
        <v>436</v>
      </c>
      <c r="D37" s="11" t="s">
        <v>437</v>
      </c>
      <c r="E37" s="11" t="s">
        <v>438</v>
      </c>
      <c r="F37" s="11" t="s">
        <v>215</v>
      </c>
      <c r="G37" s="11" t="s">
        <v>216</v>
      </c>
      <c r="H37" s="21" t="n">
        <v>-1</v>
      </c>
      <c r="I37" s="11" t="s">
        <v>217</v>
      </c>
      <c r="J37" s="11" t="str">
        <f aca="false">IF(OR(AND(I37="예",L37&lt;0),AND(I37="아니오",L37&gt;0)),"●","")</f>
        <v/>
      </c>
      <c r="K37" s="22"/>
      <c r="L37" s="11" t="n">
        <f aca="false">IF(K37="",H37,K37)</f>
        <v>-1</v>
      </c>
      <c r="M37" s="11" t="s">
        <v>444</v>
      </c>
      <c r="N37" s="11" t="s">
        <v>445</v>
      </c>
      <c r="O37" s="11" t="s">
        <v>446</v>
      </c>
      <c r="P37" s="11" t="s">
        <v>447</v>
      </c>
      <c r="Q37" s="23"/>
    </row>
    <row r="38" customFormat="false" ht="32.25" hidden="false" customHeight="true" outlineLevel="0" collapsed="false">
      <c r="A38" s="12" t="s">
        <v>448</v>
      </c>
      <c r="B38" s="11" t="n">
        <v>18</v>
      </c>
      <c r="C38" s="11" t="s">
        <v>449</v>
      </c>
      <c r="D38" s="11" t="s">
        <v>450</v>
      </c>
      <c r="E38" s="11" t="s">
        <v>451</v>
      </c>
      <c r="F38" s="11" t="s">
        <v>207</v>
      </c>
      <c r="G38" s="11" t="s">
        <v>216</v>
      </c>
      <c r="H38" s="21" t="n">
        <v>-2</v>
      </c>
      <c r="I38" s="11" t="s">
        <v>217</v>
      </c>
      <c r="J38" s="11" t="str">
        <f aca="false">IF(OR(AND(I38="예",L38&lt;0),AND(I38="아니오",L38&gt;0)),"●","")</f>
        <v/>
      </c>
      <c r="K38" s="22"/>
      <c r="L38" s="11" t="n">
        <f aca="false">IF(K38="",H38,K38)</f>
        <v>-2</v>
      </c>
      <c r="M38" s="11" t="s">
        <v>452</v>
      </c>
      <c r="N38" s="11" t="s">
        <v>453</v>
      </c>
      <c r="O38" s="11" t="s">
        <v>454</v>
      </c>
      <c r="P38" s="11" t="s">
        <v>455</v>
      </c>
      <c r="Q38" s="23"/>
    </row>
    <row r="39" customFormat="false" ht="32.25" hidden="false" customHeight="true" outlineLevel="0" collapsed="false">
      <c r="A39" s="12" t="s">
        <v>456</v>
      </c>
      <c r="B39" s="11" t="n">
        <v>18</v>
      </c>
      <c r="C39" s="11" t="s">
        <v>449</v>
      </c>
      <c r="D39" s="11" t="s">
        <v>450</v>
      </c>
      <c r="E39" s="11" t="s">
        <v>451</v>
      </c>
      <c r="F39" s="11" t="s">
        <v>215</v>
      </c>
      <c r="G39" s="11" t="s">
        <v>208</v>
      </c>
      <c r="H39" s="21" t="n">
        <v>1</v>
      </c>
      <c r="I39" s="11" t="s">
        <v>209</v>
      </c>
      <c r="J39" s="11" t="str">
        <f aca="false">IF(OR(AND(I39="예",L39&lt;0),AND(I39="아니오",L39&gt;0)),"●","")</f>
        <v/>
      </c>
      <c r="K39" s="22"/>
      <c r="L39" s="11" t="n">
        <f aca="false">IF(K39="",H39,K39)</f>
        <v>1</v>
      </c>
      <c r="M39" s="11" t="s">
        <v>457</v>
      </c>
      <c r="N39" s="11" t="s">
        <v>458</v>
      </c>
      <c r="O39" s="11" t="s">
        <v>459</v>
      </c>
      <c r="P39" s="11" t="s">
        <v>460</v>
      </c>
      <c r="Q39" s="23"/>
    </row>
    <row r="40" customFormat="false" ht="32.25" hidden="false" customHeight="true" outlineLevel="0" collapsed="false">
      <c r="A40" s="12" t="s">
        <v>461</v>
      </c>
      <c r="B40" s="11" t="n">
        <v>19</v>
      </c>
      <c r="C40" s="11" t="s">
        <v>462</v>
      </c>
      <c r="D40" s="11" t="s">
        <v>463</v>
      </c>
      <c r="E40" s="11" t="s">
        <v>464</v>
      </c>
      <c r="F40" s="11" t="s">
        <v>207</v>
      </c>
      <c r="G40" s="11" t="s">
        <v>255</v>
      </c>
      <c r="H40" s="21" t="n">
        <v>-1</v>
      </c>
      <c r="I40" s="11" t="s">
        <v>209</v>
      </c>
      <c r="J40" s="11" t="str">
        <f aca="false">IF(OR(AND(I40="예",L40&lt;0),AND(I40="아니오",L40&gt;0)),"●","")</f>
        <v>●</v>
      </c>
      <c r="K40" s="22"/>
      <c r="L40" s="11" t="n">
        <f aca="false">IF(K40="",H40,K40)</f>
        <v>-1</v>
      </c>
      <c r="M40" s="11" t="s">
        <v>465</v>
      </c>
      <c r="N40" s="11" t="s">
        <v>466</v>
      </c>
      <c r="O40" s="11" t="s">
        <v>467</v>
      </c>
      <c r="P40" s="11" t="s">
        <v>468</v>
      </c>
      <c r="Q40" s="23"/>
    </row>
    <row r="41" customFormat="false" ht="32.25" hidden="false" customHeight="true" outlineLevel="0" collapsed="false">
      <c r="A41" s="12" t="s">
        <v>469</v>
      </c>
      <c r="B41" s="11" t="n">
        <v>19</v>
      </c>
      <c r="C41" s="11" t="s">
        <v>462</v>
      </c>
      <c r="D41" s="11" t="s">
        <v>463</v>
      </c>
      <c r="E41" s="11" t="s">
        <v>464</v>
      </c>
      <c r="F41" s="11" t="s">
        <v>215</v>
      </c>
      <c r="G41" s="11" t="s">
        <v>246</v>
      </c>
      <c r="H41" s="21" t="n">
        <v>-1</v>
      </c>
      <c r="I41" s="11" t="s">
        <v>209</v>
      </c>
      <c r="J41" s="11" t="str">
        <f aca="false">IF(OR(AND(I41="예",L41&lt;0),AND(I41="아니오",L41&gt;0)),"●","")</f>
        <v>●</v>
      </c>
      <c r="K41" s="22"/>
      <c r="L41" s="11" t="n">
        <f aca="false">IF(K41="",H41,K41)</f>
        <v>-1</v>
      </c>
      <c r="M41" s="11" t="s">
        <v>470</v>
      </c>
      <c r="N41" s="11" t="s">
        <v>471</v>
      </c>
      <c r="O41" s="11" t="s">
        <v>472</v>
      </c>
      <c r="P41" s="11" t="s">
        <v>473</v>
      </c>
      <c r="Q41" s="23"/>
    </row>
    <row r="42" customFormat="false" ht="32.25" hidden="false" customHeight="true" outlineLevel="0" collapsed="false">
      <c r="A42" s="12" t="s">
        <v>474</v>
      </c>
      <c r="B42" s="11" t="n">
        <v>20</v>
      </c>
      <c r="C42" s="11" t="s">
        <v>475</v>
      </c>
      <c r="D42" s="11" t="s">
        <v>476</v>
      </c>
      <c r="E42" s="11" t="s">
        <v>477</v>
      </c>
      <c r="F42" s="11" t="s">
        <v>207</v>
      </c>
      <c r="G42" s="11" t="s">
        <v>208</v>
      </c>
      <c r="H42" s="21" t="n">
        <v>2</v>
      </c>
      <c r="I42" s="11" t="s">
        <v>209</v>
      </c>
      <c r="J42" s="11" t="str">
        <f aca="false">IF(OR(AND(I42="예",L42&lt;0),AND(I42="아니오",L42&gt;0)),"●","")</f>
        <v/>
      </c>
      <c r="K42" s="22"/>
      <c r="L42" s="11" t="n">
        <f aca="false">IF(K42="",H42,K42)</f>
        <v>2</v>
      </c>
      <c r="M42" s="11" t="s">
        <v>478</v>
      </c>
      <c r="N42" s="11" t="s">
        <v>479</v>
      </c>
      <c r="O42" s="11" t="s">
        <v>480</v>
      </c>
      <c r="P42" s="11" t="s">
        <v>481</v>
      </c>
      <c r="Q42" s="23"/>
    </row>
    <row r="43" customFormat="false" ht="32.25" hidden="false" customHeight="true" outlineLevel="0" collapsed="false">
      <c r="A43" s="12" t="s">
        <v>482</v>
      </c>
      <c r="B43" s="11" t="n">
        <v>20</v>
      </c>
      <c r="C43" s="11" t="s">
        <v>475</v>
      </c>
      <c r="D43" s="11" t="s">
        <v>476</v>
      </c>
      <c r="E43" s="11" t="s">
        <v>477</v>
      </c>
      <c r="F43" s="11" t="s">
        <v>215</v>
      </c>
      <c r="G43" s="11" t="s">
        <v>231</v>
      </c>
      <c r="H43" s="21" t="n">
        <v>-1</v>
      </c>
      <c r="I43" s="11" t="s">
        <v>217</v>
      </c>
      <c r="J43" s="11" t="str">
        <f aca="false">IF(OR(AND(I43="예",L43&lt;0),AND(I43="아니오",L43&gt;0)),"●","")</f>
        <v/>
      </c>
      <c r="K43" s="22"/>
      <c r="L43" s="11" t="n">
        <f aca="false">IF(K43="",H43,K43)</f>
        <v>-1</v>
      </c>
      <c r="M43" s="11" t="s">
        <v>483</v>
      </c>
      <c r="N43" s="11" t="s">
        <v>484</v>
      </c>
      <c r="O43" s="11" t="s">
        <v>485</v>
      </c>
      <c r="P43" s="11" t="s">
        <v>486</v>
      </c>
      <c r="Q43" s="23"/>
    </row>
    <row r="44" customFormat="false" ht="48" hidden="false" customHeight="true" outlineLevel="0" collapsed="false">
      <c r="A44" s="12" t="s">
        <v>487</v>
      </c>
      <c r="B44" s="11" t="n">
        <v>21</v>
      </c>
      <c r="C44" s="11" t="s">
        <v>488</v>
      </c>
      <c r="D44" s="11" t="s">
        <v>489</v>
      </c>
      <c r="E44" s="11" t="s">
        <v>490</v>
      </c>
      <c r="F44" s="11" t="s">
        <v>207</v>
      </c>
      <c r="G44" s="11" t="s">
        <v>386</v>
      </c>
      <c r="H44" s="21" t="n">
        <v>1</v>
      </c>
      <c r="I44" s="11" t="s">
        <v>209</v>
      </c>
      <c r="J44" s="11" t="str">
        <f aca="false">IF(OR(AND(I44="예",L44&lt;0),AND(I44="아니오",L44&gt;0)),"●","")</f>
        <v/>
      </c>
      <c r="K44" s="22"/>
      <c r="L44" s="11" t="n">
        <f aca="false">IF(K44="",H44,K44)</f>
        <v>1</v>
      </c>
      <c r="M44" s="11" t="s">
        <v>491</v>
      </c>
      <c r="N44" s="11" t="s">
        <v>492</v>
      </c>
      <c r="O44" s="11" t="s">
        <v>493</v>
      </c>
      <c r="P44" s="11" t="s">
        <v>494</v>
      </c>
      <c r="Q44" s="23"/>
    </row>
    <row r="45" customFormat="false" ht="48" hidden="false" customHeight="true" outlineLevel="0" collapsed="false">
      <c r="A45" s="12" t="s">
        <v>495</v>
      </c>
      <c r="B45" s="11" t="n">
        <v>21</v>
      </c>
      <c r="C45" s="11" t="s">
        <v>488</v>
      </c>
      <c r="D45" s="11" t="s">
        <v>489</v>
      </c>
      <c r="E45" s="11" t="s">
        <v>490</v>
      </c>
      <c r="F45" s="11" t="s">
        <v>215</v>
      </c>
      <c r="G45" s="11" t="s">
        <v>255</v>
      </c>
      <c r="H45" s="21" t="n">
        <v>-1</v>
      </c>
      <c r="I45" s="11" t="s">
        <v>217</v>
      </c>
      <c r="J45" s="11" t="str">
        <f aca="false">IF(OR(AND(I45="예",L45&lt;0),AND(I45="아니오",L45&gt;0)),"●","")</f>
        <v/>
      </c>
      <c r="K45" s="22"/>
      <c r="L45" s="11" t="n">
        <f aca="false">IF(K45="",H45,K45)</f>
        <v>-1</v>
      </c>
      <c r="M45" s="11" t="s">
        <v>496</v>
      </c>
      <c r="N45" s="11" t="s">
        <v>497</v>
      </c>
      <c r="O45" s="11" t="s">
        <v>498</v>
      </c>
      <c r="P45" s="11" t="s">
        <v>499</v>
      </c>
      <c r="Q45" s="23"/>
    </row>
    <row r="47" customFormat="false" ht="15" hidden="false" customHeight="true" outlineLevel="0" collapsed="false">
      <c r="L47" s="15" t="s">
        <v>500</v>
      </c>
    </row>
    <row r="48" customFormat="false" ht="16.5" hidden="false" customHeight="true" outlineLevel="0" collapsed="false">
      <c r="L48" s="24" t="s">
        <v>501</v>
      </c>
      <c r="M48" s="25" t="n">
        <f aca="false">4*AVERAGE(L2:L45)</f>
        <v>-1.09090909090909</v>
      </c>
    </row>
    <row r="49" customFormat="false" ht="15" hidden="false" customHeight="true" outlineLevel="0" collapsed="false">
      <c r="L49" s="24" t="s">
        <v>502</v>
      </c>
      <c r="M49" s="24" t="n">
        <f aca="false">COUNTIF(L2:L45,"&gt;0")</f>
        <v>15</v>
      </c>
    </row>
    <row r="50" customFormat="false" ht="15" hidden="false" customHeight="true" outlineLevel="0" collapsed="false">
      <c r="L50" s="24" t="s">
        <v>503</v>
      </c>
      <c r="M50" s="24" t="n">
        <f aca="false">COUNTIF(L2:L45,"&lt;0")</f>
        <v>29</v>
      </c>
    </row>
    <row r="51" customFormat="false" ht="15" hidden="false" customHeight="true" outlineLevel="0" collapsed="false">
      <c r="L51" s="24" t="s">
        <v>504</v>
      </c>
      <c r="M51" s="24" t="n">
        <f aca="false">COUNTIF(J2:J45,"●")</f>
        <v>14</v>
      </c>
    </row>
  </sheetData>
  <conditionalFormatting sqref="A2:Q45">
    <cfRule type="expression" priority="2" aboveAverage="0" equalAverage="0" bottom="0" percent="0" rank="0" text="" dxfId="0">
      <formula>$J2="●"</formula>
    </cfRule>
  </conditionalFormatting>
  <dataValidations count="1">
    <dataValidation allowBlank="true" errorStyle="stop" operator="between" showDropDown="false" showErrorMessage="false" showInputMessage="false" sqref="K2:K45" type="list">
      <formula1>"-2,-1,1,2"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0"/>
    <col collapsed="false" customWidth="true" hidden="false" outlineLevel="0" max="3" min="3" style="1" width="22"/>
    <col collapsed="false" customWidth="true" hidden="false" outlineLevel="0" max="4" min="4" style="1" width="10"/>
    <col collapsed="false" customWidth="true" hidden="false" outlineLevel="0" max="5" min="5" style="1" width="16"/>
    <col collapsed="false" customWidth="true" hidden="false" outlineLevel="0" max="6" min="6" style="1" width="40"/>
  </cols>
  <sheetData>
    <row r="1" customFormat="false" ht="18.75" hidden="false" customHeight="true" outlineLevel="0" collapsed="false">
      <c r="A1" s="26" t="s">
        <v>505</v>
      </c>
    </row>
    <row r="3" customFormat="false" ht="15" hidden="false" customHeight="true" outlineLevel="0" collapsed="false">
      <c r="A3" s="15" t="s">
        <v>506</v>
      </c>
    </row>
    <row r="4" customFormat="false" ht="15" hidden="false" customHeight="true" outlineLevel="0" collapsed="false">
      <c r="A4" s="24" t="s">
        <v>507</v>
      </c>
      <c r="B4" s="27" t="n">
        <v>1</v>
      </c>
    </row>
    <row r="5" customFormat="false" ht="15" hidden="false" customHeight="true" outlineLevel="0" collapsed="false">
      <c r="A5" s="24" t="s">
        <v>508</v>
      </c>
      <c r="B5" s="27" t="n">
        <v>1</v>
      </c>
    </row>
    <row r="6" customFormat="false" ht="15" hidden="false" customHeight="true" outlineLevel="0" collapsed="false">
      <c r="A6" s="24" t="s">
        <v>509</v>
      </c>
      <c r="B6" s="27" t="n">
        <v>2</v>
      </c>
    </row>
    <row r="7" customFormat="false" ht="16.5" hidden="false" customHeight="true" outlineLevel="0" collapsed="false">
      <c r="A7" s="28" t="s">
        <v>510</v>
      </c>
      <c r="B7" s="27" t="n">
        <v>3</v>
      </c>
    </row>
    <row r="8" customFormat="false" ht="16.5" hidden="false" customHeight="true" outlineLevel="0" collapsed="false">
      <c r="A8" s="28" t="s">
        <v>511</v>
      </c>
      <c r="B8" s="27" t="n">
        <v>1.5</v>
      </c>
    </row>
    <row r="10" customFormat="false" ht="16.5" hidden="false" customHeight="true" outlineLevel="0" collapsed="false">
      <c r="A10" s="15" t="s">
        <v>512</v>
      </c>
    </row>
    <row r="11" customFormat="false" ht="16.5" hidden="false" customHeight="true" outlineLevel="0" collapsed="false">
      <c r="A11" s="9" t="s">
        <v>513</v>
      </c>
      <c r="B11" s="9" t="s">
        <v>186</v>
      </c>
      <c r="C11" s="9" t="s">
        <v>514</v>
      </c>
      <c r="D11" s="9" t="s">
        <v>197</v>
      </c>
      <c r="E11" s="9" t="s">
        <v>515</v>
      </c>
      <c r="F11" s="9" t="s">
        <v>516</v>
      </c>
    </row>
    <row r="12" customFormat="false" ht="15" hidden="false" customHeight="true" outlineLevel="0" collapsed="false">
      <c r="A12" s="29" t="s">
        <v>517</v>
      </c>
      <c r="B12" s="27" t="s">
        <v>364</v>
      </c>
      <c r="C12" s="29" t="str">
        <f aca="false">INDEX('변화형 점수'!B$2:B$45,MATCH(B12,'변화형 점수'!A$2:A$45,0))&amp;" "&amp;INDEX('변화형 점수'!D$2:D$45,MATCH(B12,'변화형 점수'!A$2:A$45,0))</f>
        <v>고요한 균형 역방향</v>
      </c>
      <c r="D12" s="29" t="n">
        <f aca="false">INDEX('변화형 점수'!G$2:G$45,MATCH(B12,'변화형 점수'!A$2:A$45,0))</f>
        <v>-1</v>
      </c>
      <c r="E12" s="29" t="n">
        <f aca="false">$B$4</f>
        <v>1</v>
      </c>
      <c r="F12" s="29" t="n">
        <f aca="false">D12*E12</f>
        <v>-1</v>
      </c>
    </row>
    <row r="13" customFormat="false" ht="15" hidden="false" customHeight="true" outlineLevel="0" collapsed="false">
      <c r="A13" s="29" t="s">
        <v>518</v>
      </c>
      <c r="B13" s="27" t="s">
        <v>236</v>
      </c>
      <c r="C13" s="29" t="str">
        <f aca="false">INDEX('변화형 점수'!B$2:B$45,MATCH(B13,'변화형 점수'!A$2:A$45,0))&amp;" "&amp;INDEX('변화형 점수'!D$2:D$45,MATCH(B13,'변화형 점수'!A$2:A$45,0))</f>
        <v>고요히 바라보기 정방향</v>
      </c>
      <c r="D13" s="29" t="n">
        <f aca="false">INDEX('변화형 점수'!G$2:G$45,MATCH(B13,'변화형 점수'!A$2:A$45,0))</f>
        <v>-1</v>
      </c>
      <c r="E13" s="29" t="n">
        <f aca="false">$B$5</f>
        <v>1</v>
      </c>
      <c r="F13" s="29" t="n">
        <f aca="false">D13*E13</f>
        <v>-1</v>
      </c>
    </row>
    <row r="14" customFormat="false" ht="15" hidden="false" customHeight="true" outlineLevel="0" collapsed="false">
      <c r="A14" s="29" t="s">
        <v>519</v>
      </c>
      <c r="B14" s="27" t="s">
        <v>396</v>
      </c>
      <c r="C14" s="29" t="str">
        <f aca="false">INDEX('변화형 점수'!B$2:B$45,MATCH(B14,'변화형 점수'!A$2:A$45,0))&amp;" "&amp;INDEX('변화형 점수'!D$2:D$45,MATCH(B14,'변화형 점수'!A$2:A$45,0))</f>
        <v>물과 뭍 사이 정방향</v>
      </c>
      <c r="D14" s="29" t="n">
        <f aca="false">INDEX('변화형 점수'!G$2:G$45,MATCH(B14,'변화형 점수'!A$2:A$45,0))</f>
        <v>-1</v>
      </c>
      <c r="E14" s="29" t="n">
        <f aca="false">$B$6</f>
        <v>2</v>
      </c>
      <c r="F14" s="29" t="n">
        <f aca="false">D14*E14</f>
        <v>-2</v>
      </c>
    </row>
    <row r="15" customFormat="false" ht="15" hidden="false" customHeight="true" outlineLevel="0" collapsed="false">
      <c r="E15" s="15" t="s">
        <v>520</v>
      </c>
      <c r="F15" s="29" t="n">
        <f aca="false">SUM(F12:F14)</f>
        <v>-4</v>
      </c>
    </row>
    <row r="16" customFormat="false" ht="15" hidden="false" customHeight="true" outlineLevel="0" collapsed="false">
      <c r="E16" s="15" t="s">
        <v>521</v>
      </c>
      <c r="F16" s="30" t="str">
        <f aca="false">IF(F15&gt;=0,"이직 제안 수락","현재 회사에 남기")&amp;" 쪽 — "&amp;IF(ABS(F15)&gt;=$B$7,"뚜렷해요",IF(ABS(F15)&gt;=$B$8,"분명해요","조금 더 커요"))</f>
        <v>현재 회사에 남기 쪽 — 뚜렷해요</v>
      </c>
    </row>
    <row r="19" customFormat="false" ht="16.5" hidden="false" customHeight="true" outlineLevel="0" collapsed="false">
      <c r="A19" s="15" t="s">
        <v>522</v>
      </c>
    </row>
    <row r="20" customFormat="false" ht="16.5" hidden="false" customHeight="true" outlineLevel="0" collapsed="false">
      <c r="A20" s="9" t="s">
        <v>513</v>
      </c>
      <c r="B20" s="9" t="s">
        <v>186</v>
      </c>
      <c r="C20" s="9" t="s">
        <v>514</v>
      </c>
      <c r="D20" s="9" t="s">
        <v>197</v>
      </c>
      <c r="E20" s="9" t="s">
        <v>515</v>
      </c>
      <c r="F20" s="9" t="s">
        <v>516</v>
      </c>
    </row>
    <row r="21" customFormat="false" ht="15" hidden="false" customHeight="true" outlineLevel="0" collapsed="false">
      <c r="A21" s="29" t="s">
        <v>517</v>
      </c>
      <c r="B21" s="27" t="s">
        <v>273</v>
      </c>
      <c r="C21" s="29" t="str">
        <f aca="false">INDEX('관계형 점수'!B$2:B$45,MATCH(B21,'관계형 점수'!A$2:A$45,0))&amp;" "&amp;INDEX('관계형 점수'!D$2:D$45,MATCH(B21,'관계형 점수'!A$2:A$45,0))</f>
        <v>지키는 자리 역방향</v>
      </c>
      <c r="D21" s="29" t="n">
        <f aca="false">INDEX('관계형 점수'!G$2:G$45,MATCH(B21,'관계형 점수'!A$2:A$45,0))</f>
        <v>-1</v>
      </c>
      <c r="E21" s="29" t="n">
        <f aca="false">$B$4</f>
        <v>1</v>
      </c>
      <c r="F21" s="29" t="n">
        <f aca="false">D21*E21</f>
        <v>-1</v>
      </c>
    </row>
    <row r="22" customFormat="false" ht="15" hidden="false" customHeight="true" outlineLevel="0" collapsed="false">
      <c r="A22" s="29" t="s">
        <v>518</v>
      </c>
      <c r="B22" s="27" t="s">
        <v>260</v>
      </c>
      <c r="C22" s="29" t="str">
        <f aca="false">INDEX('관계형 점수'!B$2:B$45,MATCH(B22,'관계형 점수'!A$2:A$45,0))&amp;" "&amp;INDEX('관계형 점수'!D$2:D$45,MATCH(B22,'관계형 점수'!A$2:A$45,0))</f>
        <v>품어 주는 품 역방향</v>
      </c>
      <c r="D22" s="29" t="n">
        <f aca="false">INDEX('관계형 점수'!G$2:G$45,MATCH(B22,'관계형 점수'!A$2:A$45,0))</f>
        <v>-1</v>
      </c>
      <c r="E22" s="29" t="n">
        <f aca="false">$B$5</f>
        <v>1</v>
      </c>
      <c r="F22" s="29" t="n">
        <f aca="false">D22*E22</f>
        <v>-1</v>
      </c>
    </row>
    <row r="23" customFormat="false" ht="15" hidden="false" customHeight="true" outlineLevel="0" collapsed="false">
      <c r="A23" s="29" t="s">
        <v>519</v>
      </c>
      <c r="B23" s="27" t="s">
        <v>461</v>
      </c>
      <c r="C23" s="29" t="str">
        <f aca="false">INDEX('관계형 점수'!B$2:B$45,MATCH(B23,'관계형 점수'!A$2:A$45,0))&amp;" "&amp;INDEX('관계형 점수'!D$2:D$45,MATCH(B23,'관계형 점수'!A$2:A$45,0))</f>
        <v>햇살 바위 정방향</v>
      </c>
      <c r="D23" s="29" t="n">
        <f aca="false">INDEX('관계형 점수'!G$2:G$45,MATCH(B23,'관계형 점수'!A$2:A$45,0))</f>
        <v>2</v>
      </c>
      <c r="E23" s="29" t="n">
        <f aca="false">$B$6</f>
        <v>2</v>
      </c>
      <c r="F23" s="29" t="n">
        <f aca="false">D23*E23</f>
        <v>4</v>
      </c>
    </row>
    <row r="24" customFormat="false" ht="15" hidden="false" customHeight="true" outlineLevel="0" collapsed="false">
      <c r="E24" s="15" t="s">
        <v>520</v>
      </c>
      <c r="F24" s="29" t="n">
        <f aca="false">SUM(F21:F23)</f>
        <v>2</v>
      </c>
    </row>
    <row r="25" customFormat="false" ht="15" hidden="false" customHeight="true" outlineLevel="0" collapsed="false">
      <c r="E25" s="15" t="s">
        <v>521</v>
      </c>
      <c r="F25" s="30" t="str">
        <f aca="false">IF(F24&gt;=0,"한 번 더 연락하기","기다리기")&amp;" 쪽 — "&amp;IF(ABS(F24)&gt;=$B$7,"뚜렷해요",IF(ABS(F24)&gt;=$B$8,"분명해요","조금 더 커요"))</f>
        <v>한 번 더 연락하기 쪽 — 분명해요</v>
      </c>
    </row>
    <row r="28" customFormat="false" ht="16.5" hidden="false" customHeight="true" outlineLevel="0" collapsed="false">
      <c r="A28" s="15" t="s">
        <v>523</v>
      </c>
    </row>
    <row r="29" customFormat="false" ht="16.5" hidden="false" customHeight="true" outlineLevel="0" collapsed="false">
      <c r="A29" s="9" t="s">
        <v>513</v>
      </c>
      <c r="B29" s="9" t="s">
        <v>186</v>
      </c>
      <c r="C29" s="9" t="s">
        <v>514</v>
      </c>
      <c r="D29" s="9" t="s">
        <v>197</v>
      </c>
      <c r="E29" s="9" t="s">
        <v>515</v>
      </c>
      <c r="F29" s="9" t="s">
        <v>516</v>
      </c>
    </row>
    <row r="30" customFormat="false" ht="15" hidden="false" customHeight="true" outlineLevel="0" collapsed="false">
      <c r="A30" s="29" t="s">
        <v>517</v>
      </c>
      <c r="B30" s="27" t="s">
        <v>369</v>
      </c>
      <c r="C30" s="29" t="str">
        <f aca="false">INDEX('변화형 점수'!B$2:B$45,MATCH(B30,'변화형 점수'!A$2:A$45,0))&amp;" "&amp;INDEX('변화형 점수'!D$2:D$45,MATCH(B30,'변화형 점수'!A$2:A$45,0))</f>
        <v>바위 위의 쉼 정방향</v>
      </c>
      <c r="D30" s="29" t="n">
        <f aca="false">INDEX('변화형 점수'!G$2:G$45,MATCH(B30,'변화형 점수'!A$2:A$45,0))</f>
        <v>-2</v>
      </c>
      <c r="E30" s="29" t="n">
        <f aca="false">$B$4</f>
        <v>1</v>
      </c>
      <c r="F30" s="29" t="n">
        <f aca="false">D30*E30</f>
        <v>-2</v>
      </c>
    </row>
    <row r="31" customFormat="false" ht="15" hidden="false" customHeight="true" outlineLevel="0" collapsed="false">
      <c r="A31" s="29" t="s">
        <v>518</v>
      </c>
      <c r="B31" s="27" t="s">
        <v>273</v>
      </c>
      <c r="C31" s="29" t="str">
        <f aca="false">INDEX('변화형 점수'!B$2:B$45,MATCH(B31,'변화형 점수'!A$2:A$45,0))&amp;" "&amp;INDEX('변화형 점수'!D$2:D$45,MATCH(B31,'변화형 점수'!A$2:A$45,0))</f>
        <v>지키는 자리 역방향</v>
      </c>
      <c r="D31" s="29" t="n">
        <f aca="false">INDEX('변화형 점수'!G$2:G$45,MATCH(B31,'변화형 점수'!A$2:A$45,0))</f>
        <v>1</v>
      </c>
      <c r="E31" s="29" t="n">
        <f aca="false">$B$5</f>
        <v>1</v>
      </c>
      <c r="F31" s="29" t="n">
        <f aca="false">D31*E31</f>
        <v>1</v>
      </c>
    </row>
    <row r="32" customFormat="false" ht="15" hidden="false" customHeight="true" outlineLevel="0" collapsed="false">
      <c r="A32" s="29" t="s">
        <v>519</v>
      </c>
      <c r="B32" s="27" t="s">
        <v>251</v>
      </c>
      <c r="C32" s="29" t="str">
        <f aca="false">INDEX('변화형 점수'!B$2:B$45,MATCH(B32,'변화형 점수'!A$2:A$45,0))&amp;" "&amp;INDEX('변화형 점수'!D$2:D$45,MATCH(B32,'변화형 점수'!A$2:A$45,0))</f>
        <v>품어 주는 품 정방향</v>
      </c>
      <c r="D32" s="29" t="n">
        <f aca="false">INDEX('변화형 점수'!G$2:G$45,MATCH(B32,'변화형 점수'!A$2:A$45,0))</f>
        <v>-1</v>
      </c>
      <c r="E32" s="29" t="n">
        <f aca="false">$B$6</f>
        <v>2</v>
      </c>
      <c r="F32" s="29" t="n">
        <f aca="false">D32*E32</f>
        <v>-2</v>
      </c>
    </row>
    <row r="33" customFormat="false" ht="15" hidden="false" customHeight="true" outlineLevel="0" collapsed="false">
      <c r="E33" s="15" t="s">
        <v>520</v>
      </c>
      <c r="F33" s="29" t="n">
        <f aca="false">SUM(F30:F32)</f>
        <v>-3</v>
      </c>
    </row>
    <row r="34" customFormat="false" ht="15" hidden="false" customHeight="true" outlineLevel="0" collapsed="false">
      <c r="E34" s="15" t="s">
        <v>521</v>
      </c>
      <c r="F34" s="30" t="str">
        <f aca="false">IF(F33&gt;=0,"팀장 역할 내려놓기","지금 역할 유지")&amp;" 쪽 — "&amp;IF(ABS(F33)&gt;=$B$7,"뚜렷해요",IF(ABS(F33)&gt;=$B$8,"분명해요","조금 더 커요"))</f>
        <v>지금 역할 유지 쪽 — 뚜렷해요</v>
      </c>
    </row>
    <row r="37" customFormat="false" ht="16.5" hidden="false" customHeight="true" outlineLevel="0" collapsed="false">
      <c r="A37" s="31" t="s">
        <v>524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14"/>
    <col collapsed="false" customWidth="true" hidden="false" outlineLevel="0" max="3" min="3" style="1" width="22"/>
    <col collapsed="false" customWidth="true" hidden="false" outlineLevel="0" max="4" min="4" style="1" width="8"/>
    <col collapsed="false" customWidth="true" hidden="false" outlineLevel="0" max="5" min="5" style="1" width="12"/>
    <col collapsed="false" customWidth="true" hidden="false" outlineLevel="0" max="9" min="6" style="1" width="10"/>
    <col collapsed="false" customWidth="true" hidden="false" outlineLevel="0" max="10" min="10" style="1" width="50"/>
    <col collapsed="false" customWidth="true" hidden="false" outlineLevel="0" max="11" min="11" style="1" width="22"/>
  </cols>
  <sheetData>
    <row r="1" customFormat="false" ht="48" hidden="false" customHeight="true" outlineLevel="0" collapsed="false">
      <c r="A1" s="32" t="s">
        <v>186</v>
      </c>
      <c r="B1" s="32" t="s">
        <v>188</v>
      </c>
      <c r="C1" s="32" t="s">
        <v>190</v>
      </c>
      <c r="D1" s="32" t="s">
        <v>191</v>
      </c>
      <c r="E1" s="32" t="s">
        <v>525</v>
      </c>
      <c r="F1" s="32" t="s">
        <v>526</v>
      </c>
      <c r="G1" s="32" t="s">
        <v>527</v>
      </c>
      <c r="H1" s="32" t="s">
        <v>528</v>
      </c>
      <c r="I1" s="32" t="s">
        <v>529</v>
      </c>
      <c r="J1" s="32" t="s">
        <v>530</v>
      </c>
      <c r="K1" s="32" t="s">
        <v>202</v>
      </c>
    </row>
    <row r="2" customFormat="false" ht="32.25" hidden="false" customHeight="true" outlineLevel="0" collapsed="false">
      <c r="A2" s="12" t="s">
        <v>203</v>
      </c>
      <c r="B2" s="11" t="s">
        <v>204</v>
      </c>
      <c r="C2" s="11" t="s">
        <v>206</v>
      </c>
      <c r="D2" s="11" t="s">
        <v>207</v>
      </c>
      <c r="E2" s="11" t="n">
        <f aca="false">INDEX(기울기점수!L$2:L$45,MATCH(A2,기울기점수!A$2:A$45,0))</f>
        <v>2</v>
      </c>
      <c r="F2" s="33" t="n">
        <v>1</v>
      </c>
      <c r="G2" s="22"/>
      <c r="H2" s="11" t="n">
        <f aca="false">IF(G2="",F2,G2)</f>
        <v>1</v>
      </c>
      <c r="I2" s="11" t="str">
        <f aca="false">IF(E2*H2&lt;0,"●","")</f>
        <v/>
      </c>
      <c r="J2" s="34" t="s">
        <v>531</v>
      </c>
      <c r="K2" s="23"/>
    </row>
    <row r="3" customFormat="false" ht="16.5" hidden="false" customHeight="true" outlineLevel="0" collapsed="false">
      <c r="A3" s="12" t="s">
        <v>214</v>
      </c>
      <c r="B3" s="11" t="s">
        <v>204</v>
      </c>
      <c r="C3" s="11" t="s">
        <v>206</v>
      </c>
      <c r="D3" s="11" t="s">
        <v>215</v>
      </c>
      <c r="E3" s="11" t="n">
        <f aca="false">INDEX(기울기점수!L$2:L$45,MATCH(A3,기울기점수!A$2:A$45,0))</f>
        <v>-1</v>
      </c>
      <c r="F3" s="21" t="n">
        <v>-1</v>
      </c>
      <c r="G3" s="22"/>
      <c r="H3" s="11" t="n">
        <f aca="false">IF(G3="",F3,G3)</f>
        <v>-1</v>
      </c>
      <c r="I3" s="11" t="str">
        <f aca="false">IF(E3*H3&lt;0,"●","")</f>
        <v/>
      </c>
      <c r="J3" s="11" t="s">
        <v>532</v>
      </c>
      <c r="K3" s="23"/>
    </row>
    <row r="4" customFormat="false" ht="16.5" hidden="false" customHeight="true" outlineLevel="0" collapsed="false">
      <c r="A4" s="12" t="s">
        <v>222</v>
      </c>
      <c r="B4" s="11" t="s">
        <v>223</v>
      </c>
      <c r="C4" s="11" t="s">
        <v>225</v>
      </c>
      <c r="D4" s="11" t="s">
        <v>207</v>
      </c>
      <c r="E4" s="11" t="n">
        <f aca="false">INDEX(기울기점수!L$2:L$45,MATCH(A4,기울기점수!A$2:A$45,0))</f>
        <v>2</v>
      </c>
      <c r="F4" s="21" t="n">
        <v>1</v>
      </c>
      <c r="G4" s="22"/>
      <c r="H4" s="11" t="n">
        <f aca="false">IF(G4="",F4,G4)</f>
        <v>1</v>
      </c>
      <c r="I4" s="11" t="str">
        <f aca="false">IF(E4*H4&lt;0,"●","")</f>
        <v/>
      </c>
      <c r="J4" s="11" t="s">
        <v>533</v>
      </c>
      <c r="K4" s="23"/>
    </row>
    <row r="5" customFormat="false" ht="16.5" hidden="false" customHeight="true" outlineLevel="0" collapsed="false">
      <c r="A5" s="12" t="s">
        <v>230</v>
      </c>
      <c r="B5" s="11" t="s">
        <v>223</v>
      </c>
      <c r="C5" s="11" t="s">
        <v>225</v>
      </c>
      <c r="D5" s="11" t="s">
        <v>215</v>
      </c>
      <c r="E5" s="11" t="n">
        <f aca="false">INDEX(기울기점수!L$2:L$45,MATCH(A5,기울기점수!A$2:A$45,0))</f>
        <v>-1</v>
      </c>
      <c r="F5" s="33" t="n">
        <v>1</v>
      </c>
      <c r="G5" s="22"/>
      <c r="H5" s="11" t="n">
        <f aca="false">IF(G5="",F5,G5)</f>
        <v>1</v>
      </c>
      <c r="I5" s="11" t="str">
        <f aca="false">IF(E5*H5&lt;0,"●","")</f>
        <v>●</v>
      </c>
      <c r="J5" s="34" t="s">
        <v>534</v>
      </c>
      <c r="K5" s="23"/>
    </row>
    <row r="6" customFormat="false" ht="32.25" hidden="false" customHeight="true" outlineLevel="0" collapsed="false">
      <c r="A6" s="12" t="s">
        <v>236</v>
      </c>
      <c r="B6" s="11" t="s">
        <v>237</v>
      </c>
      <c r="C6" s="11" t="s">
        <v>239</v>
      </c>
      <c r="D6" s="11" t="s">
        <v>207</v>
      </c>
      <c r="E6" s="11" t="n">
        <f aca="false">INDEX(기울기점수!L$2:L$45,MATCH(A6,기울기점수!A$2:A$45,0))</f>
        <v>-2</v>
      </c>
      <c r="F6" s="21" t="n">
        <v>-1</v>
      </c>
      <c r="G6" s="22"/>
      <c r="H6" s="11" t="n">
        <f aca="false">IF(G6="",F6,G6)</f>
        <v>-1</v>
      </c>
      <c r="I6" s="11" t="str">
        <f aca="false">IF(E6*H6&lt;0,"●","")</f>
        <v/>
      </c>
      <c r="J6" s="11" t="s">
        <v>535</v>
      </c>
      <c r="K6" s="23"/>
    </row>
    <row r="7" customFormat="false" ht="32.25" hidden="false" customHeight="true" outlineLevel="0" collapsed="false">
      <c r="A7" s="12" t="s">
        <v>245</v>
      </c>
      <c r="B7" s="11" t="s">
        <v>237</v>
      </c>
      <c r="C7" s="11" t="s">
        <v>239</v>
      </c>
      <c r="D7" s="11" t="s">
        <v>215</v>
      </c>
      <c r="E7" s="11" t="n">
        <f aca="false">INDEX(기울기점수!L$2:L$45,MATCH(A7,기울기점수!A$2:A$45,0))</f>
        <v>-1</v>
      </c>
      <c r="F7" s="21" t="n">
        <v>1</v>
      </c>
      <c r="G7" s="22"/>
      <c r="H7" s="11" t="n">
        <f aca="false">IF(G7="",F7,G7)</f>
        <v>1</v>
      </c>
      <c r="I7" s="11" t="str">
        <f aca="false">IF(E7*H7&lt;0,"●","")</f>
        <v>●</v>
      </c>
      <c r="J7" s="11" t="s">
        <v>536</v>
      </c>
      <c r="K7" s="23"/>
    </row>
    <row r="8" customFormat="false" ht="16.5" hidden="false" customHeight="true" outlineLevel="0" collapsed="false">
      <c r="A8" s="12" t="s">
        <v>251</v>
      </c>
      <c r="B8" s="11" t="s">
        <v>252</v>
      </c>
      <c r="C8" s="11" t="s">
        <v>254</v>
      </c>
      <c r="D8" s="11" t="s">
        <v>207</v>
      </c>
      <c r="E8" s="11" t="n">
        <f aca="false">INDEX(기울기점수!L$2:L$45,MATCH(A8,기울기점수!A$2:A$45,0))</f>
        <v>-1</v>
      </c>
      <c r="F8" s="21" t="n">
        <v>1</v>
      </c>
      <c r="G8" s="22"/>
      <c r="H8" s="11" t="n">
        <f aca="false">IF(G8="",F8,G8)</f>
        <v>1</v>
      </c>
      <c r="I8" s="11" t="str">
        <f aca="false">IF(E8*H8&lt;0,"●","")</f>
        <v>●</v>
      </c>
      <c r="J8" s="11" t="s">
        <v>537</v>
      </c>
      <c r="K8" s="23"/>
    </row>
    <row r="9" customFormat="false" ht="16.5" hidden="false" customHeight="true" outlineLevel="0" collapsed="false">
      <c r="A9" s="12" t="s">
        <v>260</v>
      </c>
      <c r="B9" s="11" t="s">
        <v>252</v>
      </c>
      <c r="C9" s="11" t="s">
        <v>254</v>
      </c>
      <c r="D9" s="11" t="s">
        <v>215</v>
      </c>
      <c r="E9" s="11" t="n">
        <f aca="false">INDEX(기울기점수!L$2:L$45,MATCH(A9,기울기점수!A$2:A$45,0))</f>
        <v>-1</v>
      </c>
      <c r="F9" s="21" t="n">
        <v>-1</v>
      </c>
      <c r="G9" s="22"/>
      <c r="H9" s="11" t="n">
        <f aca="false">IF(G9="",F9,G9)</f>
        <v>-1</v>
      </c>
      <c r="I9" s="11" t="str">
        <f aca="false">IF(E9*H9&lt;0,"●","")</f>
        <v/>
      </c>
      <c r="J9" s="11" t="s">
        <v>538</v>
      </c>
      <c r="K9" s="23"/>
    </row>
    <row r="10" customFormat="false" ht="16.5" hidden="false" customHeight="true" outlineLevel="0" collapsed="false">
      <c r="A10" s="12" t="s">
        <v>265</v>
      </c>
      <c r="B10" s="11" t="s">
        <v>266</v>
      </c>
      <c r="C10" s="11" t="s">
        <v>268</v>
      </c>
      <c r="D10" s="11" t="s">
        <v>207</v>
      </c>
      <c r="E10" s="11" t="n">
        <f aca="false">INDEX(기울기점수!L$2:L$45,MATCH(A10,기울기점수!A$2:A$45,0))</f>
        <v>-1</v>
      </c>
      <c r="F10" s="21" t="n">
        <v>-1</v>
      </c>
      <c r="G10" s="22"/>
      <c r="H10" s="11" t="n">
        <f aca="false">IF(G10="",F10,G10)</f>
        <v>-1</v>
      </c>
      <c r="I10" s="11" t="str">
        <f aca="false">IF(E10*H10&lt;0,"●","")</f>
        <v/>
      </c>
      <c r="J10" s="11" t="s">
        <v>539</v>
      </c>
      <c r="K10" s="23"/>
    </row>
    <row r="11" customFormat="false" ht="16.5" hidden="false" customHeight="true" outlineLevel="0" collapsed="false">
      <c r="A11" s="12" t="s">
        <v>273</v>
      </c>
      <c r="B11" s="11" t="s">
        <v>266</v>
      </c>
      <c r="C11" s="11" t="s">
        <v>268</v>
      </c>
      <c r="D11" s="11" t="s">
        <v>215</v>
      </c>
      <c r="E11" s="11" t="n">
        <f aca="false">INDEX(기울기점수!L$2:L$45,MATCH(A11,기울기점수!A$2:A$45,0))</f>
        <v>-1</v>
      </c>
      <c r="F11" s="33" t="n">
        <v>1</v>
      </c>
      <c r="G11" s="22"/>
      <c r="H11" s="11" t="n">
        <f aca="false">IF(G11="",F11,G11)</f>
        <v>1</v>
      </c>
      <c r="I11" s="11" t="str">
        <f aca="false">IF(E11*H11&lt;0,"●","")</f>
        <v>●</v>
      </c>
      <c r="J11" s="34" t="s">
        <v>540</v>
      </c>
      <c r="K11" s="23"/>
    </row>
    <row r="12" customFormat="false" ht="16.5" hidden="false" customHeight="true" outlineLevel="0" collapsed="false">
      <c r="A12" s="12" t="s">
        <v>278</v>
      </c>
      <c r="B12" s="11" t="s">
        <v>279</v>
      </c>
      <c r="C12" s="11" t="s">
        <v>281</v>
      </c>
      <c r="D12" s="11" t="s">
        <v>207</v>
      </c>
      <c r="E12" s="11" t="n">
        <f aca="false">INDEX(기울기점수!L$2:L$45,MATCH(A12,기울기점수!A$2:A$45,0))</f>
        <v>-2</v>
      </c>
      <c r="F12" s="21" t="n">
        <v>1</v>
      </c>
      <c r="G12" s="22"/>
      <c r="H12" s="11" t="n">
        <f aca="false">IF(G12="",F12,G12)</f>
        <v>1</v>
      </c>
      <c r="I12" s="11" t="str">
        <f aca="false">IF(E12*H12&lt;0,"●","")</f>
        <v>●</v>
      </c>
      <c r="J12" s="11" t="s">
        <v>541</v>
      </c>
      <c r="K12" s="23"/>
    </row>
    <row r="13" customFormat="false" ht="16.5" hidden="false" customHeight="true" outlineLevel="0" collapsed="false">
      <c r="A13" s="12" t="s">
        <v>286</v>
      </c>
      <c r="B13" s="11" t="s">
        <v>279</v>
      </c>
      <c r="C13" s="11" t="s">
        <v>281</v>
      </c>
      <c r="D13" s="11" t="s">
        <v>215</v>
      </c>
      <c r="E13" s="11" t="n">
        <f aca="false">INDEX(기울기점수!L$2:L$45,MATCH(A13,기울기점수!A$2:A$45,0))</f>
        <v>1</v>
      </c>
      <c r="F13" s="33" t="n">
        <v>1</v>
      </c>
      <c r="G13" s="22"/>
      <c r="H13" s="11" t="n">
        <f aca="false">IF(G13="",F13,G13)</f>
        <v>1</v>
      </c>
      <c r="I13" s="11" t="str">
        <f aca="false">IF(E13*H13&lt;0,"●","")</f>
        <v/>
      </c>
      <c r="J13" s="34" t="s">
        <v>542</v>
      </c>
      <c r="K13" s="23"/>
    </row>
    <row r="14" customFormat="false" ht="16.5" hidden="false" customHeight="true" outlineLevel="0" collapsed="false">
      <c r="A14" s="12" t="s">
        <v>291</v>
      </c>
      <c r="B14" s="11" t="s">
        <v>292</v>
      </c>
      <c r="C14" s="11" t="s">
        <v>294</v>
      </c>
      <c r="D14" s="11" t="s">
        <v>207</v>
      </c>
      <c r="E14" s="11" t="n">
        <f aca="false">INDEX(기울기점수!L$2:L$45,MATCH(A14,기울기점수!A$2:A$45,0))</f>
        <v>2</v>
      </c>
      <c r="F14" s="21" t="n">
        <v>2</v>
      </c>
      <c r="G14" s="22"/>
      <c r="H14" s="11" t="n">
        <f aca="false">IF(G14="",F14,G14)</f>
        <v>2</v>
      </c>
      <c r="I14" s="11" t="str">
        <f aca="false">IF(E14*H14&lt;0,"●","")</f>
        <v/>
      </c>
      <c r="J14" s="11" t="s">
        <v>543</v>
      </c>
      <c r="K14" s="23"/>
    </row>
    <row r="15" customFormat="false" ht="16.5" hidden="false" customHeight="true" outlineLevel="0" collapsed="false">
      <c r="A15" s="12" t="s">
        <v>299</v>
      </c>
      <c r="B15" s="11" t="s">
        <v>292</v>
      </c>
      <c r="C15" s="11" t="s">
        <v>294</v>
      </c>
      <c r="D15" s="11" t="s">
        <v>215</v>
      </c>
      <c r="E15" s="11" t="n">
        <f aca="false">INDEX(기울기점수!L$2:L$45,MATCH(A15,기울기점수!A$2:A$45,0))</f>
        <v>-1</v>
      </c>
      <c r="F15" s="21" t="n">
        <v>-2</v>
      </c>
      <c r="G15" s="22"/>
      <c r="H15" s="11" t="n">
        <f aca="false">IF(G15="",F15,G15)</f>
        <v>-2</v>
      </c>
      <c r="I15" s="11" t="str">
        <f aca="false">IF(E15*H15&lt;0,"●","")</f>
        <v/>
      </c>
      <c r="J15" s="11" t="s">
        <v>544</v>
      </c>
      <c r="K15" s="23"/>
    </row>
    <row r="16" customFormat="false" ht="16.5" hidden="false" customHeight="true" outlineLevel="0" collapsed="false">
      <c r="A16" s="12" t="s">
        <v>304</v>
      </c>
      <c r="B16" s="11" t="s">
        <v>305</v>
      </c>
      <c r="C16" s="11" t="s">
        <v>307</v>
      </c>
      <c r="D16" s="11" t="s">
        <v>207</v>
      </c>
      <c r="E16" s="11" t="n">
        <f aca="false">INDEX(기울기점수!L$2:L$45,MATCH(A16,기울기점수!A$2:A$45,0))</f>
        <v>2</v>
      </c>
      <c r="F16" s="21" t="n">
        <v>1</v>
      </c>
      <c r="G16" s="22"/>
      <c r="H16" s="11" t="n">
        <f aca="false">IF(G16="",F16,G16)</f>
        <v>1</v>
      </c>
      <c r="I16" s="11" t="str">
        <f aca="false">IF(E16*H16&lt;0,"●","")</f>
        <v/>
      </c>
      <c r="J16" s="11" t="s">
        <v>545</v>
      </c>
      <c r="K16" s="23"/>
    </row>
    <row r="17" customFormat="false" ht="16.5" hidden="false" customHeight="true" outlineLevel="0" collapsed="false">
      <c r="A17" s="12" t="s">
        <v>312</v>
      </c>
      <c r="B17" s="11" t="s">
        <v>305</v>
      </c>
      <c r="C17" s="11" t="s">
        <v>307</v>
      </c>
      <c r="D17" s="11" t="s">
        <v>215</v>
      </c>
      <c r="E17" s="11" t="n">
        <f aca="false">INDEX(기울기점수!L$2:L$45,MATCH(A17,기울기점수!A$2:A$45,0))</f>
        <v>-2</v>
      </c>
      <c r="F17" s="21" t="n">
        <v>-2</v>
      </c>
      <c r="G17" s="22"/>
      <c r="H17" s="11" t="n">
        <f aca="false">IF(G17="",F17,G17)</f>
        <v>-2</v>
      </c>
      <c r="I17" s="11" t="str">
        <f aca="false">IF(E17*H17&lt;0,"●","")</f>
        <v/>
      </c>
      <c r="J17" s="11" t="s">
        <v>546</v>
      </c>
      <c r="K17" s="23"/>
    </row>
    <row r="18" customFormat="false" ht="16.5" hidden="false" customHeight="true" outlineLevel="0" collapsed="false">
      <c r="A18" s="12" t="s">
        <v>317</v>
      </c>
      <c r="B18" s="11" t="s">
        <v>318</v>
      </c>
      <c r="C18" s="11" t="s">
        <v>320</v>
      </c>
      <c r="D18" s="11" t="s">
        <v>207</v>
      </c>
      <c r="E18" s="11" t="n">
        <f aca="false">INDEX(기울기점수!L$2:L$45,MATCH(A18,기울기점수!A$2:A$45,0))</f>
        <v>-1</v>
      </c>
      <c r="F18" s="21" t="n">
        <v>1</v>
      </c>
      <c r="G18" s="22"/>
      <c r="H18" s="11" t="n">
        <f aca="false">IF(G18="",F18,G18)</f>
        <v>1</v>
      </c>
      <c r="I18" s="11" t="str">
        <f aca="false">IF(E18*H18&lt;0,"●","")</f>
        <v>●</v>
      </c>
      <c r="J18" s="11" t="s">
        <v>547</v>
      </c>
      <c r="K18" s="23"/>
    </row>
    <row r="19" customFormat="false" ht="16.5" hidden="false" customHeight="true" outlineLevel="0" collapsed="false">
      <c r="A19" s="12" t="s">
        <v>325</v>
      </c>
      <c r="B19" s="11" t="s">
        <v>318</v>
      </c>
      <c r="C19" s="11" t="s">
        <v>320</v>
      </c>
      <c r="D19" s="11" t="s">
        <v>215</v>
      </c>
      <c r="E19" s="11" t="n">
        <f aca="false">INDEX(기울기점수!L$2:L$45,MATCH(A19,기울기점수!A$2:A$45,0))</f>
        <v>-1</v>
      </c>
      <c r="F19" s="33" t="n">
        <v>1</v>
      </c>
      <c r="G19" s="22"/>
      <c r="H19" s="11" t="n">
        <f aca="false">IF(G19="",F19,G19)</f>
        <v>1</v>
      </c>
      <c r="I19" s="11" t="str">
        <f aca="false">IF(E19*H19&lt;0,"●","")</f>
        <v>●</v>
      </c>
      <c r="J19" s="34" t="s">
        <v>548</v>
      </c>
      <c r="K19" s="23"/>
    </row>
    <row r="20" customFormat="false" ht="16.5" hidden="false" customHeight="true" outlineLevel="0" collapsed="false">
      <c r="A20" s="12" t="s">
        <v>330</v>
      </c>
      <c r="B20" s="11" t="s">
        <v>331</v>
      </c>
      <c r="C20" s="11" t="s">
        <v>333</v>
      </c>
      <c r="D20" s="11" t="s">
        <v>207</v>
      </c>
      <c r="E20" s="11" t="n">
        <f aca="false">INDEX(기울기점수!L$2:L$45,MATCH(A20,기울기점수!A$2:A$45,0))</f>
        <v>-2</v>
      </c>
      <c r="F20" s="21" t="n">
        <v>-2</v>
      </c>
      <c r="G20" s="22"/>
      <c r="H20" s="11" t="n">
        <f aca="false">IF(G20="",F20,G20)</f>
        <v>-2</v>
      </c>
      <c r="I20" s="11" t="str">
        <f aca="false">IF(E20*H20&lt;0,"●","")</f>
        <v/>
      </c>
      <c r="J20" s="11" t="s">
        <v>549</v>
      </c>
      <c r="K20" s="23"/>
    </row>
    <row r="21" customFormat="false" ht="16.5" hidden="false" customHeight="true" outlineLevel="0" collapsed="false">
      <c r="A21" s="12" t="s">
        <v>338</v>
      </c>
      <c r="B21" s="11" t="s">
        <v>331</v>
      </c>
      <c r="C21" s="11" t="s">
        <v>333</v>
      </c>
      <c r="D21" s="11" t="s">
        <v>215</v>
      </c>
      <c r="E21" s="11" t="n">
        <f aca="false">INDEX(기울기점수!L$2:L$45,MATCH(A21,기울기점수!A$2:A$45,0))</f>
        <v>-1</v>
      </c>
      <c r="F21" s="21" t="n">
        <v>-1</v>
      </c>
      <c r="G21" s="22"/>
      <c r="H21" s="11" t="n">
        <f aca="false">IF(G21="",F21,G21)</f>
        <v>-1</v>
      </c>
      <c r="I21" s="11" t="str">
        <f aca="false">IF(E21*H21&lt;0,"●","")</f>
        <v/>
      </c>
      <c r="J21" s="11" t="s">
        <v>550</v>
      </c>
      <c r="K21" s="23"/>
    </row>
    <row r="22" customFormat="false" ht="29.25" hidden="false" customHeight="true" outlineLevel="0" collapsed="false">
      <c r="A22" s="12" t="s">
        <v>343</v>
      </c>
      <c r="B22" s="11" t="s">
        <v>344</v>
      </c>
      <c r="C22" s="11" t="s">
        <v>346</v>
      </c>
      <c r="D22" s="11" t="s">
        <v>207</v>
      </c>
      <c r="E22" s="11" t="n">
        <f aca="false">INDEX(기울기점수!L$2:L$45,MATCH(A22,기울기점수!A$2:A$45,0))</f>
        <v>2</v>
      </c>
      <c r="F22" s="21" t="n">
        <v>2</v>
      </c>
      <c r="G22" s="22"/>
      <c r="H22" s="11" t="n">
        <f aca="false">IF(G22="",F22,G22)</f>
        <v>2</v>
      </c>
      <c r="I22" s="11" t="str">
        <f aca="false">IF(E22*H22&lt;0,"●","")</f>
        <v/>
      </c>
      <c r="J22" s="11" t="s">
        <v>551</v>
      </c>
      <c r="K22" s="23"/>
    </row>
    <row r="23" customFormat="false" ht="29.25" hidden="false" customHeight="true" outlineLevel="0" collapsed="false">
      <c r="A23" s="12" t="s">
        <v>351</v>
      </c>
      <c r="B23" s="11" t="s">
        <v>344</v>
      </c>
      <c r="C23" s="11" t="s">
        <v>346</v>
      </c>
      <c r="D23" s="11" t="s">
        <v>215</v>
      </c>
      <c r="E23" s="11" t="n">
        <f aca="false">INDEX(기울기점수!L$2:L$45,MATCH(A23,기울기점수!A$2:A$45,0))</f>
        <v>-1</v>
      </c>
      <c r="F23" s="21" t="n">
        <v>-1</v>
      </c>
      <c r="G23" s="22"/>
      <c r="H23" s="11" t="n">
        <f aca="false">IF(G23="",F23,G23)</f>
        <v>-1</v>
      </c>
      <c r="I23" s="11" t="str">
        <f aca="false">IF(E23*H23&lt;0,"●","")</f>
        <v/>
      </c>
      <c r="J23" s="11" t="s">
        <v>552</v>
      </c>
      <c r="K23" s="23"/>
    </row>
    <row r="24" customFormat="false" ht="16.5" hidden="false" customHeight="true" outlineLevel="0" collapsed="false">
      <c r="A24" s="12" t="s">
        <v>356</v>
      </c>
      <c r="B24" s="11" t="s">
        <v>357</v>
      </c>
      <c r="C24" s="11" t="s">
        <v>359</v>
      </c>
      <c r="D24" s="11" t="s">
        <v>207</v>
      </c>
      <c r="E24" s="11" t="n">
        <f aca="false">INDEX(기울기점수!L$2:L$45,MATCH(A24,기울기점수!A$2:A$45,0))</f>
        <v>-1</v>
      </c>
      <c r="F24" s="21" t="n">
        <v>-1</v>
      </c>
      <c r="G24" s="22"/>
      <c r="H24" s="11" t="n">
        <f aca="false">IF(G24="",F24,G24)</f>
        <v>-1</v>
      </c>
      <c r="I24" s="11" t="str">
        <f aca="false">IF(E24*H24&lt;0,"●","")</f>
        <v/>
      </c>
      <c r="J24" s="11" t="s">
        <v>553</v>
      </c>
      <c r="K24" s="23"/>
    </row>
    <row r="25" customFormat="false" ht="16.5" hidden="false" customHeight="true" outlineLevel="0" collapsed="false">
      <c r="A25" s="12" t="s">
        <v>364</v>
      </c>
      <c r="B25" s="11" t="s">
        <v>357</v>
      </c>
      <c r="C25" s="11" t="s">
        <v>359</v>
      </c>
      <c r="D25" s="11" t="s">
        <v>215</v>
      </c>
      <c r="E25" s="11" t="n">
        <f aca="false">INDEX(기울기점수!L$2:L$45,MATCH(A25,기울기점수!A$2:A$45,0))</f>
        <v>-1</v>
      </c>
      <c r="F25" s="21" t="n">
        <v>-1</v>
      </c>
      <c r="G25" s="22"/>
      <c r="H25" s="11" t="n">
        <f aca="false">IF(G25="",F25,G25)</f>
        <v>-1</v>
      </c>
      <c r="I25" s="11" t="str">
        <f aca="false">IF(E25*H25&lt;0,"●","")</f>
        <v/>
      </c>
      <c r="J25" s="11" t="s">
        <v>554</v>
      </c>
      <c r="K25" s="23"/>
    </row>
    <row r="26" customFormat="false" ht="29.25" hidden="false" customHeight="true" outlineLevel="0" collapsed="false">
      <c r="A26" s="12" t="s">
        <v>369</v>
      </c>
      <c r="B26" s="11" t="s">
        <v>370</v>
      </c>
      <c r="C26" s="11" t="s">
        <v>372</v>
      </c>
      <c r="D26" s="11" t="s">
        <v>207</v>
      </c>
      <c r="E26" s="11" t="n">
        <f aca="false">INDEX(기울기점수!L$2:L$45,MATCH(A26,기울기점수!A$2:A$45,0))</f>
        <v>-2</v>
      </c>
      <c r="F26" s="21" t="n">
        <v>-1</v>
      </c>
      <c r="G26" s="22"/>
      <c r="H26" s="11" t="n">
        <f aca="false">IF(G26="",F26,G26)</f>
        <v>-1</v>
      </c>
      <c r="I26" s="11" t="str">
        <f aca="false">IF(E26*H26&lt;0,"●","")</f>
        <v/>
      </c>
      <c r="J26" s="11" t="s">
        <v>555</v>
      </c>
      <c r="K26" s="23"/>
    </row>
    <row r="27" customFormat="false" ht="29.25" hidden="false" customHeight="true" outlineLevel="0" collapsed="false">
      <c r="A27" s="12" t="s">
        <v>377</v>
      </c>
      <c r="B27" s="11" t="s">
        <v>370</v>
      </c>
      <c r="C27" s="11" t="s">
        <v>372</v>
      </c>
      <c r="D27" s="11" t="s">
        <v>215</v>
      </c>
      <c r="E27" s="11" t="n">
        <f aca="false">INDEX(기울기점수!L$2:L$45,MATCH(A27,기울기점수!A$2:A$45,0))</f>
        <v>1</v>
      </c>
      <c r="F27" s="21" t="n">
        <v>1</v>
      </c>
      <c r="G27" s="22"/>
      <c r="H27" s="11" t="n">
        <f aca="false">IF(G27="",F27,G27)</f>
        <v>1</v>
      </c>
      <c r="I27" s="11" t="str">
        <f aca="false">IF(E27*H27&lt;0,"●","")</f>
        <v/>
      </c>
      <c r="J27" s="11" t="s">
        <v>556</v>
      </c>
      <c r="K27" s="23"/>
    </row>
    <row r="28" customFormat="false" ht="16.5" hidden="false" customHeight="true" outlineLevel="0" collapsed="false">
      <c r="A28" s="12" t="s">
        <v>382</v>
      </c>
      <c r="B28" s="11" t="s">
        <v>383</v>
      </c>
      <c r="C28" s="11" t="s">
        <v>385</v>
      </c>
      <c r="D28" s="11" t="s">
        <v>207</v>
      </c>
      <c r="E28" s="11" t="n">
        <f aca="false">INDEX(기울기점수!L$2:L$45,MATCH(A28,기울기점수!A$2:A$45,0))</f>
        <v>1</v>
      </c>
      <c r="F28" s="21" t="n">
        <v>-2</v>
      </c>
      <c r="G28" s="22"/>
      <c r="H28" s="11" t="n">
        <f aca="false">IF(G28="",F28,G28)</f>
        <v>-2</v>
      </c>
      <c r="I28" s="11" t="str">
        <f aca="false">IF(E28*H28&lt;0,"●","")</f>
        <v>●</v>
      </c>
      <c r="J28" s="11" t="s">
        <v>557</v>
      </c>
      <c r="K28" s="23"/>
    </row>
    <row r="29" customFormat="false" ht="16.5" hidden="false" customHeight="true" outlineLevel="0" collapsed="false">
      <c r="A29" s="12" t="s">
        <v>391</v>
      </c>
      <c r="B29" s="11" t="s">
        <v>383</v>
      </c>
      <c r="C29" s="11" t="s">
        <v>385</v>
      </c>
      <c r="D29" s="11" t="s">
        <v>215</v>
      </c>
      <c r="E29" s="11" t="n">
        <f aca="false">INDEX(기울기점수!L$2:L$45,MATCH(A29,기울기점수!A$2:A$45,0))</f>
        <v>-1</v>
      </c>
      <c r="F29" s="21" t="n">
        <v>1</v>
      </c>
      <c r="G29" s="22"/>
      <c r="H29" s="11" t="n">
        <f aca="false">IF(G29="",F29,G29)</f>
        <v>1</v>
      </c>
      <c r="I29" s="11" t="str">
        <f aca="false">IF(E29*H29&lt;0,"●","")</f>
        <v>●</v>
      </c>
      <c r="J29" s="11" t="s">
        <v>558</v>
      </c>
      <c r="K29" s="23"/>
    </row>
    <row r="30" customFormat="false" ht="16.5" hidden="false" customHeight="true" outlineLevel="0" collapsed="false">
      <c r="A30" s="12" t="s">
        <v>396</v>
      </c>
      <c r="B30" s="11" t="s">
        <v>397</v>
      </c>
      <c r="C30" s="11" t="s">
        <v>399</v>
      </c>
      <c r="D30" s="11" t="s">
        <v>207</v>
      </c>
      <c r="E30" s="11" t="n">
        <f aca="false">INDEX(기울기점수!L$2:L$45,MATCH(A30,기울기점수!A$2:A$45,0))</f>
        <v>-1</v>
      </c>
      <c r="F30" s="21" t="n">
        <v>2</v>
      </c>
      <c r="G30" s="22"/>
      <c r="H30" s="11" t="n">
        <f aca="false">IF(G30="",F30,G30)</f>
        <v>2</v>
      </c>
      <c r="I30" s="11" t="str">
        <f aca="false">IF(E30*H30&lt;0,"●","")</f>
        <v>●</v>
      </c>
      <c r="J30" s="11" t="s">
        <v>559</v>
      </c>
      <c r="K30" s="23"/>
    </row>
    <row r="31" customFormat="false" ht="16.5" hidden="false" customHeight="true" outlineLevel="0" collapsed="false">
      <c r="A31" s="12" t="s">
        <v>404</v>
      </c>
      <c r="B31" s="11" t="s">
        <v>397</v>
      </c>
      <c r="C31" s="11" t="s">
        <v>399</v>
      </c>
      <c r="D31" s="11" t="s">
        <v>215</v>
      </c>
      <c r="E31" s="11" t="n">
        <f aca="false">INDEX(기울기점수!L$2:L$45,MATCH(A31,기울기점수!A$2:A$45,0))</f>
        <v>-1</v>
      </c>
      <c r="F31" s="33" t="n">
        <v>1</v>
      </c>
      <c r="G31" s="22"/>
      <c r="H31" s="11" t="n">
        <f aca="false">IF(G31="",F31,G31)</f>
        <v>1</v>
      </c>
      <c r="I31" s="11" t="str">
        <f aca="false">IF(E31*H31&lt;0,"●","")</f>
        <v>●</v>
      </c>
      <c r="J31" s="34" t="s">
        <v>560</v>
      </c>
      <c r="K31" s="23"/>
    </row>
    <row r="32" customFormat="false" ht="32.25" hidden="false" customHeight="true" outlineLevel="0" collapsed="false">
      <c r="A32" s="12" t="s">
        <v>409</v>
      </c>
      <c r="B32" s="11" t="s">
        <v>410</v>
      </c>
      <c r="C32" s="11" t="s">
        <v>412</v>
      </c>
      <c r="D32" s="11" t="s">
        <v>207</v>
      </c>
      <c r="E32" s="11" t="n">
        <f aca="false">INDEX(기울기점수!L$2:L$45,MATCH(A32,기울기점수!A$2:A$45,0))</f>
        <v>1</v>
      </c>
      <c r="F32" s="21" t="n">
        <v>1</v>
      </c>
      <c r="G32" s="22"/>
      <c r="H32" s="11" t="n">
        <f aca="false">IF(G32="",F32,G32)</f>
        <v>1</v>
      </c>
      <c r="I32" s="11" t="str">
        <f aca="false">IF(E32*H32&lt;0,"●","")</f>
        <v/>
      </c>
      <c r="J32" s="11" t="s">
        <v>561</v>
      </c>
      <c r="K32" s="23"/>
    </row>
    <row r="33" customFormat="false" ht="32.25" hidden="false" customHeight="true" outlineLevel="0" collapsed="false">
      <c r="A33" s="12" t="s">
        <v>417</v>
      </c>
      <c r="B33" s="11" t="s">
        <v>410</v>
      </c>
      <c r="C33" s="11" t="s">
        <v>412</v>
      </c>
      <c r="D33" s="11" t="s">
        <v>215</v>
      </c>
      <c r="E33" s="11" t="n">
        <f aca="false">INDEX(기울기점수!L$2:L$45,MATCH(A33,기울기점수!A$2:A$45,0))</f>
        <v>2</v>
      </c>
      <c r="F33" s="21" t="n">
        <v>-1</v>
      </c>
      <c r="G33" s="22"/>
      <c r="H33" s="11" t="n">
        <f aca="false">IF(G33="",F33,G33)</f>
        <v>-1</v>
      </c>
      <c r="I33" s="11" t="str">
        <f aca="false">IF(E33*H33&lt;0,"●","")</f>
        <v>●</v>
      </c>
      <c r="J33" s="11" t="s">
        <v>562</v>
      </c>
      <c r="K33" s="23"/>
    </row>
    <row r="34" customFormat="false" ht="16.5" hidden="false" customHeight="true" outlineLevel="0" collapsed="false">
      <c r="A34" s="12" t="s">
        <v>422</v>
      </c>
      <c r="B34" s="11" t="s">
        <v>423</v>
      </c>
      <c r="C34" s="11" t="s">
        <v>425</v>
      </c>
      <c r="D34" s="11" t="s">
        <v>207</v>
      </c>
      <c r="E34" s="11" t="n">
        <f aca="false">INDEX(기울기점수!L$2:L$45,MATCH(A34,기울기점수!A$2:A$45,0))</f>
        <v>1</v>
      </c>
      <c r="F34" s="21" t="n">
        <v>-2</v>
      </c>
      <c r="G34" s="22"/>
      <c r="H34" s="11" t="n">
        <f aca="false">IF(G34="",F34,G34)</f>
        <v>-2</v>
      </c>
      <c r="I34" s="11" t="str">
        <f aca="false">IF(E34*H34&lt;0,"●","")</f>
        <v>●</v>
      </c>
      <c r="J34" s="11" t="s">
        <v>563</v>
      </c>
      <c r="K34" s="23"/>
    </row>
    <row r="35" customFormat="false" ht="16.5" hidden="false" customHeight="true" outlineLevel="0" collapsed="false">
      <c r="A35" s="12" t="s">
        <v>430</v>
      </c>
      <c r="B35" s="11" t="s">
        <v>423</v>
      </c>
      <c r="C35" s="11" t="s">
        <v>425</v>
      </c>
      <c r="D35" s="11" t="s">
        <v>215</v>
      </c>
      <c r="E35" s="11" t="n">
        <f aca="false">INDEX(기울기점수!L$2:L$45,MATCH(A35,기울기점수!A$2:A$45,0))</f>
        <v>-1</v>
      </c>
      <c r="F35" s="33" t="n">
        <v>1</v>
      </c>
      <c r="G35" s="22"/>
      <c r="H35" s="11" t="n">
        <f aca="false">IF(G35="",F35,G35)</f>
        <v>1</v>
      </c>
      <c r="I35" s="11" t="str">
        <f aca="false">IF(E35*H35&lt;0,"●","")</f>
        <v>●</v>
      </c>
      <c r="J35" s="34" t="s">
        <v>564</v>
      </c>
      <c r="K35" s="23"/>
    </row>
    <row r="36" customFormat="false" ht="16.5" hidden="false" customHeight="true" outlineLevel="0" collapsed="false">
      <c r="A36" s="12" t="s">
        <v>435</v>
      </c>
      <c r="B36" s="11" t="s">
        <v>436</v>
      </c>
      <c r="C36" s="11" t="s">
        <v>438</v>
      </c>
      <c r="D36" s="11" t="s">
        <v>207</v>
      </c>
      <c r="E36" s="11" t="n">
        <f aca="false">INDEX(기울기점수!L$2:L$45,MATCH(A36,기울기점수!A$2:A$45,0))</f>
        <v>2</v>
      </c>
      <c r="F36" s="21" t="n">
        <v>1</v>
      </c>
      <c r="G36" s="22"/>
      <c r="H36" s="11" t="n">
        <f aca="false">IF(G36="",F36,G36)</f>
        <v>1</v>
      </c>
      <c r="I36" s="11" t="str">
        <f aca="false">IF(E36*H36&lt;0,"●","")</f>
        <v/>
      </c>
      <c r="J36" s="11" t="s">
        <v>565</v>
      </c>
      <c r="K36" s="23"/>
    </row>
    <row r="37" customFormat="false" ht="16.5" hidden="false" customHeight="true" outlineLevel="0" collapsed="false">
      <c r="A37" s="12" t="s">
        <v>443</v>
      </c>
      <c r="B37" s="11" t="s">
        <v>436</v>
      </c>
      <c r="C37" s="11" t="s">
        <v>438</v>
      </c>
      <c r="D37" s="11" t="s">
        <v>215</v>
      </c>
      <c r="E37" s="11" t="n">
        <f aca="false">INDEX(기울기점수!L$2:L$45,MATCH(A37,기울기점수!A$2:A$45,0))</f>
        <v>-1</v>
      </c>
      <c r="F37" s="21" t="n">
        <v>-1</v>
      </c>
      <c r="G37" s="22"/>
      <c r="H37" s="11" t="n">
        <f aca="false">IF(G37="",F37,G37)</f>
        <v>-1</v>
      </c>
      <c r="I37" s="11" t="str">
        <f aca="false">IF(E37*H37&lt;0,"●","")</f>
        <v/>
      </c>
      <c r="J37" s="11" t="s">
        <v>566</v>
      </c>
      <c r="K37" s="23"/>
    </row>
    <row r="38" customFormat="false" ht="32.25" hidden="false" customHeight="true" outlineLevel="0" collapsed="false">
      <c r="A38" s="12" t="s">
        <v>448</v>
      </c>
      <c r="B38" s="11" t="s">
        <v>449</v>
      </c>
      <c r="C38" s="11" t="s">
        <v>451</v>
      </c>
      <c r="D38" s="11" t="s">
        <v>207</v>
      </c>
      <c r="E38" s="11" t="n">
        <f aca="false">INDEX(기울기점수!L$2:L$45,MATCH(A38,기울기점수!A$2:A$45,0))</f>
        <v>-2</v>
      </c>
      <c r="F38" s="21" t="n">
        <v>-1</v>
      </c>
      <c r="G38" s="22"/>
      <c r="H38" s="11" t="n">
        <f aca="false">IF(G38="",F38,G38)</f>
        <v>-1</v>
      </c>
      <c r="I38" s="11" t="str">
        <f aca="false">IF(E38*H38&lt;0,"●","")</f>
        <v/>
      </c>
      <c r="J38" s="11" t="s">
        <v>567</v>
      </c>
      <c r="K38" s="23"/>
    </row>
    <row r="39" customFormat="false" ht="32.25" hidden="false" customHeight="true" outlineLevel="0" collapsed="false">
      <c r="A39" s="12" t="s">
        <v>456</v>
      </c>
      <c r="B39" s="11" t="s">
        <v>449</v>
      </c>
      <c r="C39" s="11" t="s">
        <v>451</v>
      </c>
      <c r="D39" s="11" t="s">
        <v>215</v>
      </c>
      <c r="E39" s="11" t="n">
        <f aca="false">INDEX(기울기점수!L$2:L$45,MATCH(A39,기울기점수!A$2:A$45,0))</f>
        <v>1</v>
      </c>
      <c r="F39" s="21" t="n">
        <v>1</v>
      </c>
      <c r="G39" s="22"/>
      <c r="H39" s="11" t="n">
        <f aca="false">IF(G39="",F39,G39)</f>
        <v>1</v>
      </c>
      <c r="I39" s="11" t="str">
        <f aca="false">IF(E39*H39&lt;0,"●","")</f>
        <v/>
      </c>
      <c r="J39" s="11" t="s">
        <v>568</v>
      </c>
      <c r="K39" s="23"/>
    </row>
    <row r="40" customFormat="false" ht="16.5" hidden="false" customHeight="true" outlineLevel="0" collapsed="false">
      <c r="A40" s="12" t="s">
        <v>461</v>
      </c>
      <c r="B40" s="11" t="s">
        <v>462</v>
      </c>
      <c r="C40" s="11" t="s">
        <v>464</v>
      </c>
      <c r="D40" s="11" t="s">
        <v>207</v>
      </c>
      <c r="E40" s="11" t="n">
        <f aca="false">INDEX(기울기점수!L$2:L$45,MATCH(A40,기울기점수!A$2:A$45,0))</f>
        <v>-1</v>
      </c>
      <c r="F40" s="21" t="n">
        <v>2</v>
      </c>
      <c r="G40" s="22"/>
      <c r="H40" s="11" t="n">
        <f aca="false">IF(G40="",F40,G40)</f>
        <v>2</v>
      </c>
      <c r="I40" s="11" t="str">
        <f aca="false">IF(E40*H40&lt;0,"●","")</f>
        <v>●</v>
      </c>
      <c r="J40" s="11" t="s">
        <v>569</v>
      </c>
      <c r="K40" s="23"/>
    </row>
    <row r="41" customFormat="false" ht="16.5" hidden="false" customHeight="true" outlineLevel="0" collapsed="false">
      <c r="A41" s="12" t="s">
        <v>469</v>
      </c>
      <c r="B41" s="11" t="s">
        <v>462</v>
      </c>
      <c r="C41" s="11" t="s">
        <v>464</v>
      </c>
      <c r="D41" s="11" t="s">
        <v>215</v>
      </c>
      <c r="E41" s="11" t="n">
        <f aca="false">INDEX(기울기점수!L$2:L$45,MATCH(A41,기울기점수!A$2:A$45,0))</f>
        <v>-1</v>
      </c>
      <c r="F41" s="21" t="n">
        <v>1</v>
      </c>
      <c r="G41" s="22"/>
      <c r="H41" s="11" t="n">
        <f aca="false">IF(G41="",F41,G41)</f>
        <v>1</v>
      </c>
      <c r="I41" s="11" t="str">
        <f aca="false">IF(E41*H41&lt;0,"●","")</f>
        <v>●</v>
      </c>
      <c r="J41" s="11" t="s">
        <v>570</v>
      </c>
      <c r="K41" s="23"/>
    </row>
    <row r="42" customFormat="false" ht="16.5" hidden="false" customHeight="true" outlineLevel="0" collapsed="false">
      <c r="A42" s="12" t="s">
        <v>474</v>
      </c>
      <c r="B42" s="11" t="s">
        <v>475</v>
      </c>
      <c r="C42" s="11" t="s">
        <v>477</v>
      </c>
      <c r="D42" s="11" t="s">
        <v>207</v>
      </c>
      <c r="E42" s="11" t="n">
        <f aca="false">INDEX(기울기점수!L$2:L$45,MATCH(A42,기울기점수!A$2:A$45,0))</f>
        <v>2</v>
      </c>
      <c r="F42" s="21" t="n">
        <v>2</v>
      </c>
      <c r="G42" s="22"/>
      <c r="H42" s="11" t="n">
        <f aca="false">IF(G42="",F42,G42)</f>
        <v>2</v>
      </c>
      <c r="I42" s="11" t="str">
        <f aca="false">IF(E42*H42&lt;0,"●","")</f>
        <v/>
      </c>
      <c r="J42" s="11" t="s">
        <v>571</v>
      </c>
      <c r="K42" s="23"/>
    </row>
    <row r="43" customFormat="false" ht="16.5" hidden="false" customHeight="true" outlineLevel="0" collapsed="false">
      <c r="A43" s="12" t="s">
        <v>482</v>
      </c>
      <c r="B43" s="11" t="s">
        <v>475</v>
      </c>
      <c r="C43" s="11" t="s">
        <v>477</v>
      </c>
      <c r="D43" s="11" t="s">
        <v>215</v>
      </c>
      <c r="E43" s="11" t="n">
        <f aca="false">INDEX(기울기점수!L$2:L$45,MATCH(A43,기울기점수!A$2:A$45,0))</f>
        <v>-1</v>
      </c>
      <c r="F43" s="21" t="n">
        <v>-1</v>
      </c>
      <c r="G43" s="22"/>
      <c r="H43" s="11" t="n">
        <f aca="false">IF(G43="",F43,G43)</f>
        <v>-1</v>
      </c>
      <c r="I43" s="11" t="str">
        <f aca="false">IF(E43*H43&lt;0,"●","")</f>
        <v/>
      </c>
      <c r="J43" s="11" t="s">
        <v>572</v>
      </c>
      <c r="K43" s="23"/>
    </row>
    <row r="44" customFormat="false" ht="16.5" hidden="false" customHeight="true" outlineLevel="0" collapsed="false">
      <c r="A44" s="12" t="s">
        <v>487</v>
      </c>
      <c r="B44" s="11" t="s">
        <v>488</v>
      </c>
      <c r="C44" s="11" t="s">
        <v>490</v>
      </c>
      <c r="D44" s="11" t="s">
        <v>207</v>
      </c>
      <c r="E44" s="11" t="n">
        <f aca="false">INDEX(기울기점수!L$2:L$45,MATCH(A44,기울기점수!A$2:A$45,0))</f>
        <v>1</v>
      </c>
      <c r="F44" s="33" t="n">
        <v>1</v>
      </c>
      <c r="G44" s="22"/>
      <c r="H44" s="11" t="n">
        <f aca="false">IF(G44="",F44,G44)</f>
        <v>1</v>
      </c>
      <c r="I44" s="11" t="str">
        <f aca="false">IF(E44*H44&lt;0,"●","")</f>
        <v/>
      </c>
      <c r="J44" s="34" t="s">
        <v>573</v>
      </c>
      <c r="K44" s="23"/>
    </row>
    <row r="45" customFormat="false" ht="16.5" hidden="false" customHeight="true" outlineLevel="0" collapsed="false">
      <c r="A45" s="12" t="s">
        <v>495</v>
      </c>
      <c r="B45" s="11" t="s">
        <v>488</v>
      </c>
      <c r="C45" s="11" t="s">
        <v>490</v>
      </c>
      <c r="D45" s="11" t="s">
        <v>215</v>
      </c>
      <c r="E45" s="11" t="n">
        <f aca="false">INDEX(기울기점수!L$2:L$45,MATCH(A45,기울기점수!A$2:A$45,0))</f>
        <v>-1</v>
      </c>
      <c r="F45" s="21" t="n">
        <v>1</v>
      </c>
      <c r="G45" s="22"/>
      <c r="H45" s="11" t="n">
        <f aca="false">IF(G45="",F45,G45)</f>
        <v>1</v>
      </c>
      <c r="I45" s="11" t="str">
        <f aca="false">IF(E45*H45&lt;0,"●","")</f>
        <v>●</v>
      </c>
      <c r="J45" s="11" t="s">
        <v>574</v>
      </c>
      <c r="K45" s="23"/>
    </row>
    <row r="47" customFormat="false" ht="16.5" hidden="false" customHeight="true" outlineLevel="0" collapsed="false">
      <c r="E47" s="35" t="s">
        <v>575</v>
      </c>
      <c r="H47" s="15" t="str">
        <f aca="false">COUNTIF(H2:H45,"&gt;0")&amp;" / "&amp;COUNTIF(H2:H45,"&lt;0")</f>
        <v>26 / 18</v>
      </c>
    </row>
    <row r="48" customFormat="false" ht="15" hidden="false" customHeight="true" outlineLevel="0" collapsed="false">
      <c r="E48" s="15" t="s">
        <v>576</v>
      </c>
      <c r="H48" s="15" t="n">
        <f aca="false">COUNTIF(I2:I45,"●")</f>
        <v>17</v>
      </c>
    </row>
    <row r="49" customFormat="false" ht="16.5" hidden="false" customHeight="true" outlineLevel="0" collapsed="false">
      <c r="E49" s="31" t="s">
        <v>577</v>
      </c>
    </row>
  </sheetData>
  <dataValidations count="1">
    <dataValidation allowBlank="true" errorStyle="stop" operator="between" showDropDown="false" showErrorMessage="false" showInputMessage="false" sqref="G2:G45" type="list">
      <formula1>"-2,-1,1,2"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2"/>
    <col collapsed="false" customWidth="true" hidden="false" outlineLevel="0" max="3" min="3" style="1" width="26"/>
    <col collapsed="false" customWidth="true" hidden="false" outlineLevel="0" max="5" min="4" style="1" width="18"/>
    <col collapsed="false" customWidth="true" hidden="false" outlineLevel="0" max="6" min="6" style="1" width="16"/>
  </cols>
  <sheetData>
    <row r="1" customFormat="false" ht="19.5" hidden="false" customHeight="true" outlineLevel="0" collapsed="false">
      <c r="A1" s="8" t="s">
        <v>578</v>
      </c>
    </row>
    <row r="2" customFormat="false" ht="79.5" hidden="false" customHeight="true" outlineLevel="0" collapsed="false">
      <c r="A2" s="3" t="s">
        <v>579</v>
      </c>
    </row>
    <row r="3" customFormat="false" ht="48" hidden="false" customHeight="true" outlineLevel="0" collapsed="false">
      <c r="A3" s="3" t="s">
        <v>580</v>
      </c>
    </row>
    <row r="5" customFormat="false" ht="16.5" hidden="false" customHeight="true" outlineLevel="0" collapsed="false">
      <c r="A5" s="15" t="s">
        <v>581</v>
      </c>
      <c r="D5" s="35" t="s">
        <v>582</v>
      </c>
    </row>
    <row r="6" customFormat="false" ht="15" hidden="false" customHeight="true" outlineLevel="0" collapsed="false">
      <c r="A6" s="24" t="s">
        <v>517</v>
      </c>
      <c r="B6" s="27" t="n">
        <v>1</v>
      </c>
      <c r="D6" s="29" t="s">
        <v>583</v>
      </c>
      <c r="E6" s="36" t="n">
        <v>0</v>
      </c>
    </row>
    <row r="7" customFormat="false" ht="15" hidden="false" customHeight="true" outlineLevel="0" collapsed="false">
      <c r="A7" s="24" t="s">
        <v>518</v>
      </c>
      <c r="B7" s="27" t="n">
        <v>1</v>
      </c>
      <c r="D7" s="29" t="s">
        <v>584</v>
      </c>
      <c r="E7" s="36" t="n">
        <v>0</v>
      </c>
    </row>
    <row r="8" customFormat="false" ht="15" hidden="false" customHeight="true" outlineLevel="0" collapsed="false">
      <c r="A8" s="24" t="s">
        <v>519</v>
      </c>
      <c r="B8" s="27" t="n">
        <v>2</v>
      </c>
    </row>
    <row r="9" customFormat="false" ht="16.5" hidden="false" customHeight="true" outlineLevel="0" collapsed="false">
      <c r="A9" s="37" t="s">
        <v>585</v>
      </c>
      <c r="B9" s="27" t="n">
        <v>3</v>
      </c>
    </row>
    <row r="10" customFormat="false" ht="16.5" hidden="false" customHeight="true" outlineLevel="0" collapsed="false">
      <c r="A10" s="37" t="s">
        <v>586</v>
      </c>
      <c r="B10" s="27" t="n">
        <v>1.5</v>
      </c>
    </row>
    <row r="12" customFormat="false" ht="16.5" hidden="false" customHeight="true" outlineLevel="0" collapsed="false">
      <c r="A12" s="15" t="s">
        <v>587</v>
      </c>
    </row>
    <row r="13" customFormat="false" ht="15" hidden="false" customHeight="true" outlineLevel="0" collapsed="false">
      <c r="A13" s="38" t="s">
        <v>513</v>
      </c>
      <c r="B13" s="38" t="s">
        <v>186</v>
      </c>
      <c r="C13" s="38" t="s">
        <v>514</v>
      </c>
      <c r="D13" s="38" t="s">
        <v>588</v>
      </c>
      <c r="E13" s="38" t="s">
        <v>589</v>
      </c>
      <c r="F13" s="38" t="s">
        <v>515</v>
      </c>
    </row>
    <row r="14" customFormat="false" ht="15" hidden="false" customHeight="true" outlineLevel="0" collapsed="false">
      <c r="A14" s="29" t="s">
        <v>517</v>
      </c>
      <c r="B14" s="37" t="s">
        <v>422</v>
      </c>
      <c r="C14" s="29" t="str">
        <f aca="false">INDEX(재회점수!B$2:B$45,MATCH(B14,재회점수!A$2:A$45,0))&amp;" "&amp;INDEX(재회점수!D$2:D$45,MATCH(B14,재회점수!A$2:A$45,0))</f>
        <v>다시 쌓는 둑 정방향</v>
      </c>
      <c r="D14" s="29" t="n">
        <f aca="false">INDEX(재회점수!E$2:E$45,MATCH(B14,재회점수!A$2:A$45,0))</f>
        <v>1</v>
      </c>
      <c r="E14" s="29" t="n">
        <f aca="false">INDEX(재회점수!H$2:H$45,MATCH(B14,재회점수!A$2:A$45,0))</f>
        <v>-2</v>
      </c>
      <c r="F14" s="29" t="n">
        <f aca="false">$B$6</f>
        <v>1</v>
      </c>
    </row>
    <row r="15" customFormat="false" ht="15" hidden="false" customHeight="true" outlineLevel="0" collapsed="false">
      <c r="A15" s="29" t="s">
        <v>518</v>
      </c>
      <c r="B15" s="37" t="s">
        <v>382</v>
      </c>
      <c r="C15" s="29" t="str">
        <f aca="false">INDEX(재회점수!B$2:B$45,MATCH(B15,재회점수!A$2:A$45,0))&amp;" "&amp;INDEX(재회점수!D$2:D$45,MATCH(B15,재회점수!A$2:A$45,0))</f>
        <v>새 집으로 이사 정방향</v>
      </c>
      <c r="D15" s="29" t="n">
        <f aca="false">INDEX(재회점수!E$2:E$45,MATCH(B15,재회점수!A$2:A$45,0))</f>
        <v>1</v>
      </c>
      <c r="E15" s="29" t="n">
        <f aca="false">INDEX(재회점수!H$2:H$45,MATCH(B15,재회점수!A$2:A$45,0))</f>
        <v>-2</v>
      </c>
      <c r="F15" s="29" t="n">
        <f aca="false">$B$7</f>
        <v>1</v>
      </c>
    </row>
    <row r="16" customFormat="false" ht="15" hidden="false" customHeight="true" outlineLevel="0" collapsed="false">
      <c r="A16" s="29" t="s">
        <v>519</v>
      </c>
      <c r="B16" s="37" t="s">
        <v>203</v>
      </c>
      <c r="C16" s="29" t="str">
        <f aca="false">INDEX(재회점수!B$2:B$45,MATCH(B16,재회점수!A$2:A$45,0))&amp;" "&amp;INDEX(재회점수!D$2:D$45,MATCH(B16,재회점수!A$2:A$45,0))</f>
        <v>첫 물장구 정방향</v>
      </c>
      <c r="D16" s="29" t="n">
        <f aca="false">INDEX(재회점수!E$2:E$45,MATCH(B16,재회점수!A$2:A$45,0))</f>
        <v>2</v>
      </c>
      <c r="E16" s="29" t="n">
        <f aca="false">INDEX(재회점수!H$2:H$45,MATCH(B16,재회점수!A$2:A$45,0))</f>
        <v>1</v>
      </c>
      <c r="F16" s="29" t="n">
        <f aca="false">$B$8</f>
        <v>2</v>
      </c>
    </row>
    <row r="17" customFormat="false" ht="15" hidden="false" customHeight="true" outlineLevel="0" collapsed="false">
      <c r="C17" s="15" t="s">
        <v>520</v>
      </c>
      <c r="D17" s="36" t="n">
        <f aca="false">SUMPRODUCT(D14:D16,F14:F16)-$E$6</f>
        <v>6</v>
      </c>
      <c r="E17" s="36" t="n">
        <f aca="false">SUMPRODUCT(E14:E16,F14:F16)-$E$7</f>
        <v>-2</v>
      </c>
    </row>
    <row r="18" customFormat="false" ht="15" hidden="false" customHeight="true" outlineLevel="0" collapsed="false">
      <c r="C18" s="15" t="s">
        <v>521</v>
      </c>
      <c r="D18" s="30" t="str">
        <f aca="false">IF(D17&gt;=0,"다시 연락해 보기","마음 정리하기")&amp;" — "&amp;IF(ABS(D17)&gt;=$B$9,"뚜렷",IF(ABS(D17)&gt;=$B$10,"분명","조금 더"))</f>
        <v>다시 연락해 보기 — 뚜렷</v>
      </c>
      <c r="E18" s="30" t="str">
        <f aca="false">IF(E17&gt;=0,"다시 연락해 보기","마음 정리하기")&amp;" — "&amp;IF(ABS(E17)&gt;=$B$9,"뚜렷",IF(ABS(E17)&gt;=$B$10,"분명","조금 더"))</f>
        <v>마음 정리하기 — 분명</v>
      </c>
    </row>
    <row r="21" customFormat="false" ht="16.5" hidden="false" customHeight="true" outlineLevel="0" collapsed="false">
      <c r="A21" s="15" t="s">
        <v>590</v>
      </c>
    </row>
    <row r="22" customFormat="false" ht="15" hidden="false" customHeight="true" outlineLevel="0" collapsed="false">
      <c r="A22" s="38" t="s">
        <v>513</v>
      </c>
      <c r="B22" s="38" t="s">
        <v>186</v>
      </c>
      <c r="C22" s="38" t="s">
        <v>514</v>
      </c>
      <c r="D22" s="38" t="s">
        <v>588</v>
      </c>
      <c r="E22" s="38" t="s">
        <v>589</v>
      </c>
      <c r="F22" s="38" t="s">
        <v>515</v>
      </c>
    </row>
    <row r="23" customFormat="false" ht="15" hidden="false" customHeight="true" outlineLevel="0" collapsed="false">
      <c r="A23" s="29" t="s">
        <v>517</v>
      </c>
      <c r="B23" s="37" t="s">
        <v>299</v>
      </c>
      <c r="C23" s="29" t="str">
        <f aca="false">INDEX(재회점수!B$2:B$45,MATCH(B23,재회점수!A$2:A$45,0))&amp;" "&amp;INDEX(재회점수!D$2:D$45,MATCH(B23,재회점수!A$2:A$45,0))</f>
        <v>나란히 헤엄 역방향</v>
      </c>
      <c r="D23" s="29" t="n">
        <f aca="false">INDEX(재회점수!E$2:E$45,MATCH(B23,재회점수!A$2:A$45,0))</f>
        <v>-1</v>
      </c>
      <c r="E23" s="29" t="n">
        <f aca="false">INDEX(재회점수!H$2:H$45,MATCH(B23,재회점수!A$2:A$45,0))</f>
        <v>-2</v>
      </c>
      <c r="F23" s="29" t="n">
        <f aca="false">$B$6</f>
        <v>1</v>
      </c>
    </row>
    <row r="24" customFormat="false" ht="15" hidden="false" customHeight="true" outlineLevel="0" collapsed="false">
      <c r="A24" s="29" t="s">
        <v>518</v>
      </c>
      <c r="B24" s="37" t="s">
        <v>369</v>
      </c>
      <c r="C24" s="29" t="str">
        <f aca="false">INDEX(재회점수!B$2:B$45,MATCH(B24,재회점수!A$2:A$45,0))&amp;" "&amp;INDEX(재회점수!D$2:D$45,MATCH(B24,재회점수!A$2:A$45,0))</f>
        <v>바위 위의 쉼 정방향</v>
      </c>
      <c r="D24" s="29" t="n">
        <f aca="false">INDEX(재회점수!E$2:E$45,MATCH(B24,재회점수!A$2:A$45,0))</f>
        <v>-2</v>
      </c>
      <c r="E24" s="29" t="n">
        <f aca="false">INDEX(재회점수!H$2:H$45,MATCH(B24,재회점수!A$2:A$45,0))</f>
        <v>-1</v>
      </c>
      <c r="F24" s="29" t="n">
        <f aca="false">$B$7</f>
        <v>1</v>
      </c>
    </row>
    <row r="25" customFormat="false" ht="15" hidden="false" customHeight="true" outlineLevel="0" collapsed="false">
      <c r="A25" s="29" t="s">
        <v>519</v>
      </c>
      <c r="B25" s="37" t="s">
        <v>474</v>
      </c>
      <c r="C25" s="29" t="str">
        <f aca="false">INDEX(재회점수!B$2:B$45,MATCH(B25,재회점수!A$2:A$45,0))&amp;" "&amp;INDEX(재회점수!D$2:D$45,MATCH(B25,재회점수!A$2:A$45,0))</f>
        <v>부름에 답하다 정방향</v>
      </c>
      <c r="D25" s="29" t="n">
        <f aca="false">INDEX(재회점수!E$2:E$45,MATCH(B25,재회점수!A$2:A$45,0))</f>
        <v>2</v>
      </c>
      <c r="E25" s="29" t="n">
        <f aca="false">INDEX(재회점수!H$2:H$45,MATCH(B25,재회점수!A$2:A$45,0))</f>
        <v>2</v>
      </c>
      <c r="F25" s="29" t="n">
        <f aca="false">$B$8</f>
        <v>2</v>
      </c>
    </row>
    <row r="26" customFormat="false" ht="15" hidden="false" customHeight="true" outlineLevel="0" collapsed="false">
      <c r="C26" s="15" t="s">
        <v>520</v>
      </c>
      <c r="D26" s="36" t="n">
        <f aca="false">SUMPRODUCT(D23:D25,F23:F25)-$E$6</f>
        <v>1</v>
      </c>
      <c r="E26" s="36" t="n">
        <f aca="false">SUMPRODUCT(E23:E25,F23:F25)-$E$7</f>
        <v>1</v>
      </c>
    </row>
    <row r="27" customFormat="false" ht="15" hidden="false" customHeight="true" outlineLevel="0" collapsed="false">
      <c r="C27" s="15" t="s">
        <v>521</v>
      </c>
      <c r="D27" s="30" t="str">
        <f aca="false">IF(D26&gt;=0,"다시 연락해 보기","마음 정리하기")&amp;" — "&amp;IF(ABS(D26)&gt;=$B$9,"뚜렷",IF(ABS(D26)&gt;=$B$10,"분명","조금 더"))</f>
        <v>다시 연락해 보기 — 조금 더</v>
      </c>
      <c r="E27" s="30" t="str">
        <f aca="false">IF(E26&gt;=0,"다시 연락해 보기","마음 정리하기")&amp;" — "&amp;IF(ABS(E26)&gt;=$B$9,"뚜렷",IF(ABS(E26)&gt;=$B$10,"분명","조금 더"))</f>
        <v>다시 연락해 보기 — 조금 더</v>
      </c>
    </row>
    <row r="30" customFormat="false" ht="16.5" hidden="false" customHeight="true" outlineLevel="0" collapsed="false">
      <c r="A30" s="15" t="s">
        <v>591</v>
      </c>
    </row>
    <row r="31" customFormat="false" ht="15" hidden="false" customHeight="true" outlineLevel="0" collapsed="false">
      <c r="A31" s="38" t="s">
        <v>513</v>
      </c>
      <c r="B31" s="38" t="s">
        <v>186</v>
      </c>
      <c r="C31" s="38" t="s">
        <v>514</v>
      </c>
      <c r="D31" s="38" t="s">
        <v>588</v>
      </c>
      <c r="E31" s="38" t="s">
        <v>589</v>
      </c>
      <c r="F31" s="38" t="s">
        <v>515</v>
      </c>
    </row>
    <row r="32" customFormat="false" ht="15" hidden="false" customHeight="true" outlineLevel="0" collapsed="false">
      <c r="A32" s="29" t="s">
        <v>517</v>
      </c>
      <c r="B32" s="27" t="s">
        <v>330</v>
      </c>
      <c r="C32" s="29" t="str">
        <f aca="false">INDEX(재회점수!B$2:B$45,MATCH(B32,재회점수!A$2:A$45,0))&amp;" "&amp;INDEX(재회점수!D$2:D$45,MATCH(B32,재회점수!A$2:A$45,0))</f>
        <v>나만의 등불 정방향</v>
      </c>
      <c r="D32" s="29" t="n">
        <f aca="false">INDEX(재회점수!E$2:E$45,MATCH(B32,재회점수!A$2:A$45,0))</f>
        <v>-2</v>
      </c>
      <c r="E32" s="29" t="n">
        <f aca="false">INDEX(재회점수!H$2:H$45,MATCH(B32,재회점수!A$2:A$45,0))</f>
        <v>-2</v>
      </c>
      <c r="F32" s="29" t="n">
        <f aca="false">$B$6</f>
        <v>1</v>
      </c>
    </row>
    <row r="33" customFormat="false" ht="15" hidden="false" customHeight="true" outlineLevel="0" collapsed="false">
      <c r="A33" s="29" t="s">
        <v>518</v>
      </c>
      <c r="B33" s="27" t="s">
        <v>435</v>
      </c>
      <c r="C33" s="29" t="str">
        <f aca="false">INDEX(재회점수!B$2:B$45,MATCH(B33,재회점수!A$2:A$45,0))&amp;" "&amp;INDEX(재회점수!D$2:D$45,MATCH(B33,재회점수!A$2:A$45,0))</f>
        <v>다시 빛나는 별 정방향</v>
      </c>
      <c r="D33" s="29" t="n">
        <f aca="false">INDEX(재회점수!E$2:E$45,MATCH(B33,재회점수!A$2:A$45,0))</f>
        <v>2</v>
      </c>
      <c r="E33" s="29" t="n">
        <f aca="false">INDEX(재회점수!H$2:H$45,MATCH(B33,재회점수!A$2:A$45,0))</f>
        <v>1</v>
      </c>
      <c r="F33" s="29" t="n">
        <f aca="false">$B$7</f>
        <v>1</v>
      </c>
    </row>
    <row r="34" customFormat="false" ht="15" hidden="false" customHeight="true" outlineLevel="0" collapsed="false">
      <c r="A34" s="29" t="s">
        <v>519</v>
      </c>
      <c r="B34" s="27" t="s">
        <v>396</v>
      </c>
      <c r="C34" s="29" t="str">
        <f aca="false">INDEX(재회점수!B$2:B$45,MATCH(B34,재회점수!A$2:A$45,0))&amp;" "&amp;INDEX(재회점수!D$2:D$45,MATCH(B34,재회점수!A$2:A$45,0))</f>
        <v>물과 뭍 사이 정방향</v>
      </c>
      <c r="D34" s="29" t="n">
        <f aca="false">INDEX(재회점수!E$2:E$45,MATCH(B34,재회점수!A$2:A$45,0))</f>
        <v>-1</v>
      </c>
      <c r="E34" s="29" t="n">
        <f aca="false">INDEX(재회점수!H$2:H$45,MATCH(B34,재회점수!A$2:A$45,0))</f>
        <v>2</v>
      </c>
      <c r="F34" s="29" t="n">
        <f aca="false">$B$8</f>
        <v>2</v>
      </c>
    </row>
    <row r="35" customFormat="false" ht="15" hidden="false" customHeight="true" outlineLevel="0" collapsed="false">
      <c r="C35" s="15" t="s">
        <v>520</v>
      </c>
      <c r="D35" s="36" t="n">
        <f aca="false">SUMPRODUCT(D32:D34,F32:F34)-$E$6</f>
        <v>-2</v>
      </c>
      <c r="E35" s="36" t="n">
        <f aca="false">SUMPRODUCT(E32:E34,F32:F34)-$E$7</f>
        <v>3</v>
      </c>
    </row>
    <row r="36" customFormat="false" ht="15" hidden="false" customHeight="true" outlineLevel="0" collapsed="false">
      <c r="C36" s="15" t="s">
        <v>521</v>
      </c>
      <c r="D36" s="30" t="str">
        <f aca="false">IF(D35&gt;=0,"다시 연락해 보기","마음 정리하기")&amp;" — "&amp;IF(ABS(D35)&gt;=$B$9,"뚜렷",IF(ABS(D35)&gt;=$B$10,"분명","조금 더"))</f>
        <v>마음 정리하기 — 분명</v>
      </c>
      <c r="E36" s="30" t="str">
        <f aca="false">IF(E35&gt;=0,"다시 연락해 보기","마음 정리하기")&amp;" — "&amp;IF(ABS(E35)&gt;=$B$9,"뚜렷",IF(ABS(E35)&gt;=$B$10,"분명","조금 더"))</f>
        <v>다시 연락해 보기 — 뚜렷</v>
      </c>
    </row>
    <row r="39" customFormat="false" ht="16.5" hidden="false" customHeight="true" outlineLevel="0" collapsed="false">
      <c r="A39" s="15" t="s">
        <v>592</v>
      </c>
    </row>
    <row r="40" customFormat="false" ht="32.25" hidden="false" customHeight="true" outlineLevel="0" collapsed="false">
      <c r="A40" s="9" t="s">
        <v>87</v>
      </c>
      <c r="B40" s="10" t="s">
        <v>593</v>
      </c>
      <c r="C40" s="10" t="s">
        <v>594</v>
      </c>
      <c r="D40" s="9"/>
      <c r="E40" s="9"/>
      <c r="F40" s="9"/>
    </row>
    <row r="41" customFormat="false" ht="16.5" hidden="false" customHeight="true" outlineLevel="0" collapsed="false">
      <c r="A41" s="28" t="s">
        <v>595</v>
      </c>
      <c r="B41" s="39" t="n">
        <v>0.454</v>
      </c>
      <c r="C41" s="39" t="n">
        <v>0.445</v>
      </c>
      <c r="D41" s="39"/>
      <c r="E41" s="39"/>
      <c r="F41" s="39"/>
    </row>
    <row r="42" customFormat="false" ht="16.5" hidden="false" customHeight="true" outlineLevel="0" collapsed="false">
      <c r="A42" s="28" t="s">
        <v>596</v>
      </c>
      <c r="B42" s="39" t="n">
        <v>0.658</v>
      </c>
      <c r="C42" s="39" t="n">
        <v>0.442</v>
      </c>
      <c r="D42" s="39"/>
      <c r="E42" s="39"/>
      <c r="F42" s="39"/>
    </row>
    <row r="43" customFormat="false" ht="15" hidden="false" customHeight="true" outlineLevel="0" collapsed="false">
      <c r="A43" s="24"/>
      <c r="B43" s="39"/>
      <c r="C43" s="39"/>
      <c r="D43" s="39"/>
      <c r="E43" s="39"/>
      <c r="F43" s="39"/>
    </row>
    <row r="44" customFormat="false" ht="15" hidden="false" customHeight="true" outlineLevel="0" collapsed="false">
      <c r="A44" s="24"/>
      <c r="B44" s="39"/>
      <c r="C44" s="39"/>
      <c r="D44" s="39"/>
      <c r="E44" s="39"/>
      <c r="F44" s="39"/>
    </row>
    <row r="45" customFormat="false" ht="15" hidden="false" customHeight="true" outlineLevel="0" collapsed="false">
      <c r="A45" s="24"/>
      <c r="B45" s="39"/>
      <c r="C45" s="39"/>
      <c r="D45" s="39"/>
      <c r="E45" s="39"/>
      <c r="F45" s="3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14"/>
    <col collapsed="false" customWidth="true" hidden="false" outlineLevel="0" max="3" min="3" style="1" width="22"/>
    <col collapsed="false" customWidth="true" hidden="false" outlineLevel="0" max="7" min="4" style="1" width="8"/>
    <col collapsed="false" customWidth="true" hidden="false" outlineLevel="0" max="8" min="8" style="1" width="30"/>
    <col collapsed="false" customWidth="true" hidden="false" outlineLevel="0" max="11" min="9" style="1" width="8"/>
    <col collapsed="false" customWidth="true" hidden="false" outlineLevel="0" max="12" min="12" style="1" width="30"/>
    <col collapsed="false" customWidth="true" hidden="false" outlineLevel="0" max="15" min="13" style="1" width="8"/>
    <col collapsed="false" customWidth="true" hidden="false" outlineLevel="0" max="16" min="16" style="1" width="30"/>
    <col collapsed="false" customWidth="true" hidden="false" outlineLevel="0" max="19" min="17" style="1" width="8"/>
    <col collapsed="false" customWidth="true" hidden="false" outlineLevel="0" max="20" min="20" style="1" width="30"/>
  </cols>
  <sheetData>
    <row r="1" customFormat="false" ht="32.25" hidden="false" customHeight="true" outlineLevel="0" collapsed="false">
      <c r="A1" s="9" t="s">
        <v>186</v>
      </c>
      <c r="B1" s="9" t="s">
        <v>188</v>
      </c>
      <c r="C1" s="9" t="s">
        <v>190</v>
      </c>
      <c r="D1" s="9" t="s">
        <v>191</v>
      </c>
      <c r="E1" s="9" t="s">
        <v>597</v>
      </c>
      <c r="F1" s="9" t="s">
        <v>598</v>
      </c>
      <c r="G1" s="9" t="s">
        <v>599</v>
      </c>
      <c r="H1" s="9" t="s">
        <v>600</v>
      </c>
      <c r="I1" s="9" t="s">
        <v>601</v>
      </c>
      <c r="J1" s="9" t="s">
        <v>602</v>
      </c>
      <c r="K1" s="9" t="s">
        <v>603</v>
      </c>
      <c r="L1" s="9" t="s">
        <v>604</v>
      </c>
      <c r="M1" s="9" t="s">
        <v>605</v>
      </c>
      <c r="N1" s="9" t="s">
        <v>606</v>
      </c>
      <c r="O1" s="9" t="s">
        <v>607</v>
      </c>
      <c r="P1" s="9" t="s">
        <v>608</v>
      </c>
      <c r="Q1" s="9" t="s">
        <v>609</v>
      </c>
      <c r="R1" s="9" t="s">
        <v>610</v>
      </c>
      <c r="S1" s="9" t="s">
        <v>611</v>
      </c>
      <c r="T1" s="9" t="s">
        <v>612</v>
      </c>
    </row>
    <row r="2" customFormat="false" ht="32.25" hidden="false" customHeight="true" outlineLevel="0" collapsed="false">
      <c r="A2" s="12" t="s">
        <v>203</v>
      </c>
      <c r="B2" s="11" t="s">
        <v>204</v>
      </c>
      <c r="C2" s="11" t="s">
        <v>206</v>
      </c>
      <c r="D2" s="11" t="s">
        <v>207</v>
      </c>
      <c r="E2" s="21" t="n">
        <v>2</v>
      </c>
      <c r="F2" s="23"/>
      <c r="G2" s="11" t="n">
        <f aca="false">IF(F2="",E2,F2)</f>
        <v>2</v>
      </c>
      <c r="H2" s="11" t="s">
        <v>613</v>
      </c>
      <c r="I2" s="21" t="n">
        <v>1</v>
      </c>
      <c r="J2" s="23"/>
      <c r="K2" s="11" t="n">
        <f aca="false">IF(J2="",I2,J2)</f>
        <v>1</v>
      </c>
      <c r="L2" s="11" t="s">
        <v>614</v>
      </c>
      <c r="M2" s="21" t="n">
        <v>1</v>
      </c>
      <c r="N2" s="23"/>
      <c r="O2" s="11" t="n">
        <f aca="false">IF(N2="",M2,N2)</f>
        <v>1</v>
      </c>
      <c r="P2" s="11" t="s">
        <v>615</v>
      </c>
      <c r="Q2" s="21" t="n">
        <v>2</v>
      </c>
      <c r="R2" s="23"/>
      <c r="S2" s="11" t="n">
        <f aca="false">IF(R2="",Q2,R2)</f>
        <v>2</v>
      </c>
      <c r="T2" s="11" t="s">
        <v>616</v>
      </c>
    </row>
    <row r="3" customFormat="false" ht="32.25" hidden="false" customHeight="true" outlineLevel="0" collapsed="false">
      <c r="A3" s="12" t="s">
        <v>214</v>
      </c>
      <c r="B3" s="11" t="s">
        <v>204</v>
      </c>
      <c r="C3" s="11" t="s">
        <v>206</v>
      </c>
      <c r="D3" s="11" t="s">
        <v>215</v>
      </c>
      <c r="E3" s="33" t="n">
        <v>1</v>
      </c>
      <c r="F3" s="23"/>
      <c r="G3" s="11" t="n">
        <f aca="false">IF(F3="",E3,F3)</f>
        <v>1</v>
      </c>
      <c r="H3" s="34" t="s">
        <v>617</v>
      </c>
      <c r="I3" s="33" t="n">
        <v>1</v>
      </c>
      <c r="J3" s="23"/>
      <c r="K3" s="11" t="n">
        <f aca="false">IF(J3="",I3,J3)</f>
        <v>1</v>
      </c>
      <c r="L3" s="34" t="s">
        <v>618</v>
      </c>
      <c r="M3" s="21" t="n">
        <v>-1</v>
      </c>
      <c r="N3" s="23"/>
      <c r="O3" s="11" t="n">
        <f aca="false">IF(N3="",M3,N3)</f>
        <v>-1</v>
      </c>
      <c r="P3" s="11" t="s">
        <v>619</v>
      </c>
      <c r="Q3" s="33" t="n">
        <v>1</v>
      </c>
      <c r="R3" s="23"/>
      <c r="S3" s="11" t="n">
        <f aca="false">IF(R3="",Q3,R3)</f>
        <v>1</v>
      </c>
      <c r="T3" s="34" t="s">
        <v>620</v>
      </c>
    </row>
    <row r="4" customFormat="false" ht="32.25" hidden="false" customHeight="true" outlineLevel="0" collapsed="false">
      <c r="A4" s="12" t="s">
        <v>222</v>
      </c>
      <c r="B4" s="11" t="s">
        <v>223</v>
      </c>
      <c r="C4" s="11" t="s">
        <v>225</v>
      </c>
      <c r="D4" s="11" t="s">
        <v>207</v>
      </c>
      <c r="E4" s="21" t="n">
        <v>2</v>
      </c>
      <c r="F4" s="23"/>
      <c r="G4" s="11" t="n">
        <f aca="false">IF(F4="",E4,F4)</f>
        <v>2</v>
      </c>
      <c r="H4" s="11" t="s">
        <v>621</v>
      </c>
      <c r="I4" s="21" t="n">
        <v>2</v>
      </c>
      <c r="J4" s="23"/>
      <c r="K4" s="11" t="n">
        <f aca="false">IF(J4="",I4,J4)</f>
        <v>2</v>
      </c>
      <c r="L4" s="11" t="s">
        <v>622</v>
      </c>
      <c r="M4" s="21" t="n">
        <v>1</v>
      </c>
      <c r="N4" s="23"/>
      <c r="O4" s="11" t="n">
        <f aca="false">IF(N4="",M4,N4)</f>
        <v>1</v>
      </c>
      <c r="P4" s="11" t="s">
        <v>623</v>
      </c>
      <c r="Q4" s="21" t="n">
        <v>2</v>
      </c>
      <c r="R4" s="23"/>
      <c r="S4" s="11" t="n">
        <f aca="false">IF(R4="",Q4,R4)</f>
        <v>2</v>
      </c>
      <c r="T4" s="11" t="s">
        <v>624</v>
      </c>
    </row>
    <row r="5" customFormat="false" ht="32.25" hidden="false" customHeight="true" outlineLevel="0" collapsed="false">
      <c r="A5" s="12" t="s">
        <v>230</v>
      </c>
      <c r="B5" s="11" t="s">
        <v>223</v>
      </c>
      <c r="C5" s="11" t="s">
        <v>225</v>
      </c>
      <c r="D5" s="11" t="s">
        <v>215</v>
      </c>
      <c r="E5" s="33" t="n">
        <v>1</v>
      </c>
      <c r="F5" s="23"/>
      <c r="G5" s="11" t="n">
        <f aca="false">IF(F5="",E5,F5)</f>
        <v>1</v>
      </c>
      <c r="H5" s="34" t="s">
        <v>625</v>
      </c>
      <c r="I5" s="21" t="n">
        <v>-1</v>
      </c>
      <c r="J5" s="23"/>
      <c r="K5" s="11" t="n">
        <f aca="false">IF(J5="",I5,J5)</f>
        <v>-1</v>
      </c>
      <c r="L5" s="11" t="s">
        <v>626</v>
      </c>
      <c r="M5" s="21" t="n">
        <v>-2</v>
      </c>
      <c r="N5" s="23"/>
      <c r="O5" s="11" t="n">
        <f aca="false">IF(N5="",M5,N5)</f>
        <v>-2</v>
      </c>
      <c r="P5" s="11" t="s">
        <v>627</v>
      </c>
      <c r="Q5" s="21" t="n">
        <v>-1</v>
      </c>
      <c r="R5" s="23"/>
      <c r="S5" s="11" t="n">
        <f aca="false">IF(R5="",Q5,R5)</f>
        <v>-1</v>
      </c>
      <c r="T5" s="11" t="s">
        <v>628</v>
      </c>
    </row>
    <row r="6" customFormat="false" ht="32.25" hidden="false" customHeight="true" outlineLevel="0" collapsed="false">
      <c r="A6" s="12" t="s">
        <v>236</v>
      </c>
      <c r="B6" s="11" t="s">
        <v>237</v>
      </c>
      <c r="C6" s="11" t="s">
        <v>239</v>
      </c>
      <c r="D6" s="11" t="s">
        <v>207</v>
      </c>
      <c r="E6" s="21" t="n">
        <v>-2</v>
      </c>
      <c r="F6" s="23"/>
      <c r="G6" s="11" t="n">
        <f aca="false">IF(F6="",E6,F6)</f>
        <v>-2</v>
      </c>
      <c r="H6" s="11" t="s">
        <v>629</v>
      </c>
      <c r="I6" s="21" t="n">
        <v>-1</v>
      </c>
      <c r="J6" s="23"/>
      <c r="K6" s="11" t="n">
        <f aca="false">IF(J6="",I6,J6)</f>
        <v>-1</v>
      </c>
      <c r="L6" s="11" t="s">
        <v>630</v>
      </c>
      <c r="M6" s="21" t="n">
        <v>-1</v>
      </c>
      <c r="N6" s="23"/>
      <c r="O6" s="11" t="n">
        <f aca="false">IF(N6="",M6,N6)</f>
        <v>-1</v>
      </c>
      <c r="P6" s="11" t="s">
        <v>631</v>
      </c>
      <c r="Q6" s="21" t="n">
        <v>-1</v>
      </c>
      <c r="R6" s="23"/>
      <c r="S6" s="11" t="n">
        <f aca="false">IF(R6="",Q6,R6)</f>
        <v>-1</v>
      </c>
      <c r="T6" s="11" t="s">
        <v>632</v>
      </c>
    </row>
    <row r="7" customFormat="false" ht="32.25" hidden="false" customHeight="true" outlineLevel="0" collapsed="false">
      <c r="A7" s="12" t="s">
        <v>245</v>
      </c>
      <c r="B7" s="11" t="s">
        <v>237</v>
      </c>
      <c r="C7" s="11" t="s">
        <v>239</v>
      </c>
      <c r="D7" s="11" t="s">
        <v>215</v>
      </c>
      <c r="E7" s="21" t="n">
        <v>1</v>
      </c>
      <c r="F7" s="23"/>
      <c r="G7" s="11" t="n">
        <f aca="false">IF(F7="",E7,F7)</f>
        <v>1</v>
      </c>
      <c r="H7" s="11" t="s">
        <v>633</v>
      </c>
      <c r="I7" s="21" t="n">
        <v>1</v>
      </c>
      <c r="J7" s="23"/>
      <c r="K7" s="11" t="n">
        <f aca="false">IF(J7="",I7,J7)</f>
        <v>1</v>
      </c>
      <c r="L7" s="11" t="s">
        <v>634</v>
      </c>
      <c r="M7" s="21" t="n">
        <v>1</v>
      </c>
      <c r="N7" s="23"/>
      <c r="O7" s="11" t="n">
        <f aca="false">IF(N7="",M7,N7)</f>
        <v>1</v>
      </c>
      <c r="P7" s="11" t="s">
        <v>635</v>
      </c>
      <c r="Q7" s="21" t="n">
        <v>1</v>
      </c>
      <c r="R7" s="23"/>
      <c r="S7" s="11" t="n">
        <f aca="false">IF(R7="",Q7,R7)</f>
        <v>1</v>
      </c>
      <c r="T7" s="11" t="s">
        <v>636</v>
      </c>
    </row>
    <row r="8" customFormat="false" ht="32.25" hidden="false" customHeight="true" outlineLevel="0" collapsed="false">
      <c r="A8" s="12" t="s">
        <v>251</v>
      </c>
      <c r="B8" s="11" t="s">
        <v>252</v>
      </c>
      <c r="C8" s="11" t="s">
        <v>254</v>
      </c>
      <c r="D8" s="11" t="s">
        <v>207</v>
      </c>
      <c r="E8" s="21" t="n">
        <v>1</v>
      </c>
      <c r="F8" s="23"/>
      <c r="G8" s="11" t="n">
        <f aca="false">IF(F8="",E8,F8)</f>
        <v>1</v>
      </c>
      <c r="H8" s="11" t="s">
        <v>637</v>
      </c>
      <c r="I8" s="21" t="n">
        <v>1</v>
      </c>
      <c r="J8" s="23"/>
      <c r="K8" s="11" t="n">
        <f aca="false">IF(J8="",I8,J8)</f>
        <v>1</v>
      </c>
      <c r="L8" s="11" t="s">
        <v>638</v>
      </c>
      <c r="M8" s="21" t="n">
        <v>2</v>
      </c>
      <c r="N8" s="23"/>
      <c r="O8" s="11" t="n">
        <f aca="false">IF(N8="",M8,N8)</f>
        <v>2</v>
      </c>
      <c r="P8" s="11" t="s">
        <v>639</v>
      </c>
      <c r="Q8" s="21" t="n">
        <v>1</v>
      </c>
      <c r="R8" s="23"/>
      <c r="S8" s="11" t="n">
        <f aca="false">IF(R8="",Q8,R8)</f>
        <v>1</v>
      </c>
      <c r="T8" s="11" t="s">
        <v>640</v>
      </c>
    </row>
    <row r="9" customFormat="false" ht="32.25" hidden="false" customHeight="true" outlineLevel="0" collapsed="false">
      <c r="A9" s="12" t="s">
        <v>260</v>
      </c>
      <c r="B9" s="11" t="s">
        <v>252</v>
      </c>
      <c r="C9" s="11" t="s">
        <v>254</v>
      </c>
      <c r="D9" s="11" t="s">
        <v>215</v>
      </c>
      <c r="E9" s="21" t="n">
        <v>-1</v>
      </c>
      <c r="F9" s="23"/>
      <c r="G9" s="11" t="n">
        <f aca="false">IF(F9="",E9,F9)</f>
        <v>-1</v>
      </c>
      <c r="H9" s="11" t="s">
        <v>641</v>
      </c>
      <c r="I9" s="21" t="n">
        <v>-1</v>
      </c>
      <c r="J9" s="23"/>
      <c r="K9" s="11" t="n">
        <f aca="false">IF(J9="",I9,J9)</f>
        <v>-1</v>
      </c>
      <c r="L9" s="11" t="s">
        <v>642</v>
      </c>
      <c r="M9" s="33" t="n">
        <v>1</v>
      </c>
      <c r="N9" s="23"/>
      <c r="O9" s="11" t="n">
        <f aca="false">IF(N9="",M9,N9)</f>
        <v>1</v>
      </c>
      <c r="P9" s="34" t="s">
        <v>643</v>
      </c>
      <c r="Q9" s="21" t="n">
        <v>-1</v>
      </c>
      <c r="R9" s="23"/>
      <c r="S9" s="11" t="n">
        <f aca="false">IF(R9="",Q9,R9)</f>
        <v>-1</v>
      </c>
      <c r="T9" s="11" t="s">
        <v>644</v>
      </c>
    </row>
    <row r="10" customFormat="false" ht="32.25" hidden="false" customHeight="true" outlineLevel="0" collapsed="false">
      <c r="A10" s="12" t="s">
        <v>265</v>
      </c>
      <c r="B10" s="11" t="s">
        <v>266</v>
      </c>
      <c r="C10" s="11" t="s">
        <v>268</v>
      </c>
      <c r="D10" s="11" t="s">
        <v>207</v>
      </c>
      <c r="E10" s="21" t="n">
        <v>1</v>
      </c>
      <c r="F10" s="23"/>
      <c r="G10" s="11" t="n">
        <f aca="false">IF(F10="",E10,F10)</f>
        <v>1</v>
      </c>
      <c r="H10" s="11" t="s">
        <v>645</v>
      </c>
      <c r="I10" s="21" t="n">
        <v>2</v>
      </c>
      <c r="J10" s="23"/>
      <c r="K10" s="11" t="n">
        <f aca="false">IF(J10="",I10,J10)</f>
        <v>2</v>
      </c>
      <c r="L10" s="11" t="s">
        <v>646</v>
      </c>
      <c r="M10" s="21" t="n">
        <v>1</v>
      </c>
      <c r="N10" s="23"/>
      <c r="O10" s="11" t="n">
        <f aca="false">IF(N10="",M10,N10)</f>
        <v>1</v>
      </c>
      <c r="P10" s="11" t="s">
        <v>647</v>
      </c>
      <c r="Q10" s="21" t="n">
        <v>-1</v>
      </c>
      <c r="R10" s="23"/>
      <c r="S10" s="11" t="n">
        <f aca="false">IF(R10="",Q10,R10)</f>
        <v>-1</v>
      </c>
      <c r="T10" s="11" t="s">
        <v>648</v>
      </c>
    </row>
    <row r="11" customFormat="false" ht="32.25" hidden="false" customHeight="true" outlineLevel="0" collapsed="false">
      <c r="A11" s="12" t="s">
        <v>273</v>
      </c>
      <c r="B11" s="11" t="s">
        <v>266</v>
      </c>
      <c r="C11" s="11" t="s">
        <v>268</v>
      </c>
      <c r="D11" s="11" t="s">
        <v>215</v>
      </c>
      <c r="E11" s="21" t="n">
        <v>-1</v>
      </c>
      <c r="F11" s="23"/>
      <c r="G11" s="11" t="n">
        <f aca="false">IF(F11="",E11,F11)</f>
        <v>-1</v>
      </c>
      <c r="H11" s="11" t="s">
        <v>649</v>
      </c>
      <c r="I11" s="21" t="n">
        <v>-2</v>
      </c>
      <c r="J11" s="23"/>
      <c r="K11" s="11" t="n">
        <f aca="false">IF(J11="",I11,J11)</f>
        <v>-2</v>
      </c>
      <c r="L11" s="11" t="s">
        <v>650</v>
      </c>
      <c r="M11" s="33" t="n">
        <v>1</v>
      </c>
      <c r="N11" s="23"/>
      <c r="O11" s="11" t="n">
        <f aca="false">IF(N11="",M11,N11)</f>
        <v>1</v>
      </c>
      <c r="P11" s="34" t="s">
        <v>651</v>
      </c>
      <c r="Q11" s="21" t="n">
        <v>-1</v>
      </c>
      <c r="R11" s="23"/>
      <c r="S11" s="11" t="n">
        <f aca="false">IF(R11="",Q11,R11)</f>
        <v>-1</v>
      </c>
      <c r="T11" s="11" t="s">
        <v>652</v>
      </c>
    </row>
    <row r="12" customFormat="false" ht="32.25" hidden="false" customHeight="true" outlineLevel="0" collapsed="false">
      <c r="A12" s="12" t="s">
        <v>278</v>
      </c>
      <c r="B12" s="11" t="s">
        <v>279</v>
      </c>
      <c r="C12" s="11" t="s">
        <v>281</v>
      </c>
      <c r="D12" s="11" t="s">
        <v>207</v>
      </c>
      <c r="E12" s="33" t="n">
        <v>1</v>
      </c>
      <c r="F12" s="23"/>
      <c r="G12" s="11" t="n">
        <f aca="false">IF(F12="",E12,F12)</f>
        <v>1</v>
      </c>
      <c r="H12" s="34" t="s">
        <v>653</v>
      </c>
      <c r="I12" s="21" t="n">
        <v>2</v>
      </c>
      <c r="J12" s="23"/>
      <c r="K12" s="11" t="n">
        <f aca="false">IF(J12="",I12,J12)</f>
        <v>2</v>
      </c>
      <c r="L12" s="11" t="s">
        <v>654</v>
      </c>
      <c r="M12" s="21" t="n">
        <v>1</v>
      </c>
      <c r="N12" s="23"/>
      <c r="O12" s="11" t="n">
        <f aca="false">IF(N12="",M12,N12)</f>
        <v>1</v>
      </c>
      <c r="P12" s="11" t="s">
        <v>655</v>
      </c>
      <c r="Q12" s="21" t="n">
        <v>1</v>
      </c>
      <c r="R12" s="23"/>
      <c r="S12" s="11" t="n">
        <f aca="false">IF(R12="",Q12,R12)</f>
        <v>1</v>
      </c>
      <c r="T12" s="11" t="s">
        <v>656</v>
      </c>
    </row>
    <row r="13" customFormat="false" ht="32.25" hidden="false" customHeight="true" outlineLevel="0" collapsed="false">
      <c r="A13" s="12" t="s">
        <v>286</v>
      </c>
      <c r="B13" s="11" t="s">
        <v>279</v>
      </c>
      <c r="C13" s="11" t="s">
        <v>281</v>
      </c>
      <c r="D13" s="11" t="s">
        <v>215</v>
      </c>
      <c r="E13" s="21" t="n">
        <v>1</v>
      </c>
      <c r="F13" s="23"/>
      <c r="G13" s="11" t="n">
        <f aca="false">IF(F13="",E13,F13)</f>
        <v>1</v>
      </c>
      <c r="H13" s="11" t="s">
        <v>657</v>
      </c>
      <c r="I13" s="21" t="n">
        <v>-1</v>
      </c>
      <c r="J13" s="23"/>
      <c r="K13" s="11" t="n">
        <f aca="false">IF(J13="",I13,J13)</f>
        <v>-1</v>
      </c>
      <c r="L13" s="11" t="s">
        <v>658</v>
      </c>
      <c r="M13" s="33" t="n">
        <v>1</v>
      </c>
      <c r="N13" s="23"/>
      <c r="O13" s="11" t="n">
        <f aca="false">IF(N13="",M13,N13)</f>
        <v>1</v>
      </c>
      <c r="P13" s="34" t="s">
        <v>659</v>
      </c>
      <c r="Q13" s="21" t="n">
        <v>-1</v>
      </c>
      <c r="R13" s="23"/>
      <c r="S13" s="11" t="n">
        <f aca="false">IF(R13="",Q13,R13)</f>
        <v>-1</v>
      </c>
      <c r="T13" s="11" t="s">
        <v>660</v>
      </c>
    </row>
    <row r="14" customFormat="false" ht="32.25" hidden="false" customHeight="true" outlineLevel="0" collapsed="false">
      <c r="A14" s="12" t="s">
        <v>291</v>
      </c>
      <c r="B14" s="11" t="s">
        <v>292</v>
      </c>
      <c r="C14" s="11" t="s">
        <v>294</v>
      </c>
      <c r="D14" s="11" t="s">
        <v>207</v>
      </c>
      <c r="E14" s="21" t="n">
        <v>2</v>
      </c>
      <c r="F14" s="23"/>
      <c r="G14" s="11" t="n">
        <f aca="false">IF(F14="",E14,F14)</f>
        <v>2</v>
      </c>
      <c r="H14" s="11" t="s">
        <v>661</v>
      </c>
      <c r="I14" s="21" t="n">
        <v>2</v>
      </c>
      <c r="J14" s="23"/>
      <c r="K14" s="11" t="n">
        <f aca="false">IF(J14="",I14,J14)</f>
        <v>2</v>
      </c>
      <c r="L14" s="11" t="s">
        <v>662</v>
      </c>
      <c r="M14" s="21" t="n">
        <v>2</v>
      </c>
      <c r="N14" s="23"/>
      <c r="O14" s="11" t="n">
        <f aca="false">IF(N14="",M14,N14)</f>
        <v>2</v>
      </c>
      <c r="P14" s="11" t="s">
        <v>663</v>
      </c>
      <c r="Q14" s="21" t="n">
        <v>2</v>
      </c>
      <c r="R14" s="23"/>
      <c r="S14" s="11" t="n">
        <f aca="false">IF(R14="",Q14,R14)</f>
        <v>2</v>
      </c>
      <c r="T14" s="11" t="s">
        <v>664</v>
      </c>
    </row>
    <row r="15" customFormat="false" ht="32.25" hidden="false" customHeight="true" outlineLevel="0" collapsed="false">
      <c r="A15" s="12" t="s">
        <v>299</v>
      </c>
      <c r="B15" s="11" t="s">
        <v>292</v>
      </c>
      <c r="C15" s="11" t="s">
        <v>294</v>
      </c>
      <c r="D15" s="11" t="s">
        <v>215</v>
      </c>
      <c r="E15" s="33" t="n">
        <v>1</v>
      </c>
      <c r="F15" s="23"/>
      <c r="G15" s="11" t="n">
        <f aca="false">IF(F15="",E15,F15)</f>
        <v>1</v>
      </c>
      <c r="H15" s="34" t="s">
        <v>665</v>
      </c>
      <c r="I15" s="21" t="n">
        <v>-2</v>
      </c>
      <c r="J15" s="23"/>
      <c r="K15" s="11" t="n">
        <f aca="false">IF(J15="",I15,J15)</f>
        <v>-2</v>
      </c>
      <c r="L15" s="11" t="s">
        <v>666</v>
      </c>
      <c r="M15" s="21" t="n">
        <v>-2</v>
      </c>
      <c r="N15" s="23"/>
      <c r="O15" s="11" t="n">
        <f aca="false">IF(N15="",M15,N15)</f>
        <v>-2</v>
      </c>
      <c r="P15" s="11" t="s">
        <v>667</v>
      </c>
      <c r="Q15" s="33" t="n">
        <v>1</v>
      </c>
      <c r="R15" s="23"/>
      <c r="S15" s="11" t="n">
        <f aca="false">IF(R15="",Q15,R15)</f>
        <v>1</v>
      </c>
      <c r="T15" s="34" t="s">
        <v>668</v>
      </c>
    </row>
    <row r="16" customFormat="false" ht="32.25" hidden="false" customHeight="true" outlineLevel="0" collapsed="false">
      <c r="A16" s="12" t="s">
        <v>304</v>
      </c>
      <c r="B16" s="11" t="s">
        <v>305</v>
      </c>
      <c r="C16" s="11" t="s">
        <v>307</v>
      </c>
      <c r="D16" s="11" t="s">
        <v>207</v>
      </c>
      <c r="E16" s="21" t="n">
        <v>2</v>
      </c>
      <c r="F16" s="23"/>
      <c r="G16" s="11" t="n">
        <f aca="false">IF(F16="",E16,F16)</f>
        <v>2</v>
      </c>
      <c r="H16" s="11" t="s">
        <v>669</v>
      </c>
      <c r="I16" s="21" t="n">
        <v>2</v>
      </c>
      <c r="J16" s="23"/>
      <c r="K16" s="11" t="n">
        <f aca="false">IF(J16="",I16,J16)</f>
        <v>2</v>
      </c>
      <c r="L16" s="11" t="s">
        <v>670</v>
      </c>
      <c r="M16" s="21" t="n">
        <v>1</v>
      </c>
      <c r="N16" s="23"/>
      <c r="O16" s="11" t="n">
        <f aca="false">IF(N16="",M16,N16)</f>
        <v>1</v>
      </c>
      <c r="P16" s="11" t="s">
        <v>671</v>
      </c>
      <c r="Q16" s="21" t="n">
        <v>1</v>
      </c>
      <c r="R16" s="23"/>
      <c r="S16" s="11" t="n">
        <f aca="false">IF(R16="",Q16,R16)</f>
        <v>1</v>
      </c>
      <c r="T16" s="11" t="s">
        <v>672</v>
      </c>
    </row>
    <row r="17" customFormat="false" ht="32.25" hidden="false" customHeight="true" outlineLevel="0" collapsed="false">
      <c r="A17" s="12" t="s">
        <v>312</v>
      </c>
      <c r="B17" s="11" t="s">
        <v>305</v>
      </c>
      <c r="C17" s="11" t="s">
        <v>307</v>
      </c>
      <c r="D17" s="11" t="s">
        <v>215</v>
      </c>
      <c r="E17" s="21" t="n">
        <v>-1</v>
      </c>
      <c r="F17" s="23"/>
      <c r="G17" s="11" t="n">
        <f aca="false">IF(F17="",E17,F17)</f>
        <v>-1</v>
      </c>
      <c r="H17" s="11" t="s">
        <v>673</v>
      </c>
      <c r="I17" s="21" t="n">
        <v>-1</v>
      </c>
      <c r="J17" s="23"/>
      <c r="K17" s="11" t="n">
        <f aca="false">IF(J17="",I17,J17)</f>
        <v>-1</v>
      </c>
      <c r="L17" s="11" t="s">
        <v>674</v>
      </c>
      <c r="M17" s="33" t="n">
        <v>1</v>
      </c>
      <c r="N17" s="23"/>
      <c r="O17" s="11" t="n">
        <f aca="false">IF(N17="",M17,N17)</f>
        <v>1</v>
      </c>
      <c r="P17" s="34" t="s">
        <v>675</v>
      </c>
      <c r="Q17" s="21" t="n">
        <v>-1</v>
      </c>
      <c r="R17" s="23"/>
      <c r="S17" s="11" t="n">
        <f aca="false">IF(R17="",Q17,R17)</f>
        <v>-1</v>
      </c>
      <c r="T17" s="11" t="s">
        <v>676</v>
      </c>
    </row>
    <row r="18" customFormat="false" ht="32.25" hidden="false" customHeight="true" outlineLevel="0" collapsed="false">
      <c r="A18" s="12" t="s">
        <v>317</v>
      </c>
      <c r="B18" s="11" t="s">
        <v>318</v>
      </c>
      <c r="C18" s="11" t="s">
        <v>320</v>
      </c>
      <c r="D18" s="11" t="s">
        <v>207</v>
      </c>
      <c r="E18" s="21" t="n">
        <v>1</v>
      </c>
      <c r="F18" s="23"/>
      <c r="G18" s="11" t="n">
        <f aca="false">IF(F18="",E18,F18)</f>
        <v>1</v>
      </c>
      <c r="H18" s="11" t="s">
        <v>677</v>
      </c>
      <c r="I18" s="21" t="n">
        <v>1</v>
      </c>
      <c r="J18" s="23"/>
      <c r="K18" s="11" t="n">
        <f aca="false">IF(J18="",I18,J18)</f>
        <v>1</v>
      </c>
      <c r="L18" s="11" t="s">
        <v>678</v>
      </c>
      <c r="M18" s="21" t="n">
        <v>2</v>
      </c>
      <c r="N18" s="23"/>
      <c r="O18" s="11" t="n">
        <f aca="false">IF(N18="",M18,N18)</f>
        <v>2</v>
      </c>
      <c r="P18" s="11" t="s">
        <v>679</v>
      </c>
      <c r="Q18" s="21" t="n">
        <v>1</v>
      </c>
      <c r="R18" s="23"/>
      <c r="S18" s="11" t="n">
        <f aca="false">IF(R18="",Q18,R18)</f>
        <v>1</v>
      </c>
      <c r="T18" s="11" t="s">
        <v>680</v>
      </c>
    </row>
    <row r="19" customFormat="false" ht="32.25" hidden="false" customHeight="true" outlineLevel="0" collapsed="false">
      <c r="A19" s="12" t="s">
        <v>325</v>
      </c>
      <c r="B19" s="11" t="s">
        <v>318</v>
      </c>
      <c r="C19" s="11" t="s">
        <v>320</v>
      </c>
      <c r="D19" s="11" t="s">
        <v>215</v>
      </c>
      <c r="E19" s="33" t="n">
        <v>1</v>
      </c>
      <c r="F19" s="23"/>
      <c r="G19" s="11" t="n">
        <f aca="false">IF(F19="",E19,F19)</f>
        <v>1</v>
      </c>
      <c r="H19" s="34" t="s">
        <v>681</v>
      </c>
      <c r="I19" s="33" t="n">
        <v>1</v>
      </c>
      <c r="J19" s="23"/>
      <c r="K19" s="11" t="n">
        <f aca="false">IF(J19="",I19,J19)</f>
        <v>1</v>
      </c>
      <c r="L19" s="34" t="s">
        <v>682</v>
      </c>
      <c r="M19" s="33" t="n">
        <v>1</v>
      </c>
      <c r="N19" s="23"/>
      <c r="O19" s="11" t="n">
        <f aca="false">IF(N19="",M19,N19)</f>
        <v>1</v>
      </c>
      <c r="P19" s="34" t="s">
        <v>683</v>
      </c>
      <c r="Q19" s="33" t="n">
        <v>1</v>
      </c>
      <c r="R19" s="23"/>
      <c r="S19" s="11" t="n">
        <f aca="false">IF(R19="",Q19,R19)</f>
        <v>1</v>
      </c>
      <c r="T19" s="34" t="s">
        <v>684</v>
      </c>
    </row>
    <row r="20" customFormat="false" ht="32.25" hidden="false" customHeight="true" outlineLevel="0" collapsed="false">
      <c r="A20" s="12" t="s">
        <v>330</v>
      </c>
      <c r="B20" s="11" t="s">
        <v>331</v>
      </c>
      <c r="C20" s="11" t="s">
        <v>333</v>
      </c>
      <c r="D20" s="11" t="s">
        <v>207</v>
      </c>
      <c r="E20" s="21" t="n">
        <v>-2</v>
      </c>
      <c r="F20" s="23"/>
      <c r="G20" s="11" t="n">
        <f aca="false">IF(F20="",E20,F20)</f>
        <v>-2</v>
      </c>
      <c r="H20" s="11" t="s">
        <v>685</v>
      </c>
      <c r="I20" s="21" t="n">
        <v>-2</v>
      </c>
      <c r="J20" s="23"/>
      <c r="K20" s="11" t="n">
        <f aca="false">IF(J20="",I20,J20)</f>
        <v>-2</v>
      </c>
      <c r="L20" s="11" t="s">
        <v>686</v>
      </c>
      <c r="M20" s="21" t="n">
        <v>-1</v>
      </c>
      <c r="N20" s="23"/>
      <c r="O20" s="11" t="n">
        <f aca="false">IF(N20="",M20,N20)</f>
        <v>-1</v>
      </c>
      <c r="P20" s="11" t="s">
        <v>687</v>
      </c>
      <c r="Q20" s="21" t="n">
        <v>-2</v>
      </c>
      <c r="R20" s="23"/>
      <c r="S20" s="11" t="n">
        <f aca="false">IF(R20="",Q20,R20)</f>
        <v>-2</v>
      </c>
      <c r="T20" s="11" t="s">
        <v>688</v>
      </c>
    </row>
    <row r="21" customFormat="false" ht="32.25" hidden="false" customHeight="true" outlineLevel="0" collapsed="false">
      <c r="A21" s="12" t="s">
        <v>338</v>
      </c>
      <c r="B21" s="11" t="s">
        <v>331</v>
      </c>
      <c r="C21" s="11" t="s">
        <v>333</v>
      </c>
      <c r="D21" s="11" t="s">
        <v>215</v>
      </c>
      <c r="E21" s="21" t="n">
        <v>1</v>
      </c>
      <c r="F21" s="23"/>
      <c r="G21" s="11" t="n">
        <f aca="false">IF(F21="",E21,F21)</f>
        <v>1</v>
      </c>
      <c r="H21" s="11" t="s">
        <v>689</v>
      </c>
      <c r="I21" s="21" t="n">
        <v>-1</v>
      </c>
      <c r="J21" s="23"/>
      <c r="K21" s="11" t="n">
        <f aca="false">IF(J21="",I21,J21)</f>
        <v>-1</v>
      </c>
      <c r="L21" s="11" t="s">
        <v>690</v>
      </c>
      <c r="M21" s="21" t="n">
        <v>-1</v>
      </c>
      <c r="N21" s="23"/>
      <c r="O21" s="11" t="n">
        <f aca="false">IF(N21="",M21,N21)</f>
        <v>-1</v>
      </c>
      <c r="P21" s="11" t="s">
        <v>691</v>
      </c>
      <c r="Q21" s="21" t="n">
        <v>1</v>
      </c>
      <c r="R21" s="23"/>
      <c r="S21" s="11" t="n">
        <f aca="false">IF(R21="",Q21,R21)</f>
        <v>1</v>
      </c>
      <c r="T21" s="11" t="s">
        <v>692</v>
      </c>
    </row>
    <row r="22" customFormat="false" ht="32.25" hidden="false" customHeight="true" outlineLevel="0" collapsed="false">
      <c r="A22" s="12" t="s">
        <v>343</v>
      </c>
      <c r="B22" s="11" t="s">
        <v>344</v>
      </c>
      <c r="C22" s="11" t="s">
        <v>346</v>
      </c>
      <c r="D22" s="11" t="s">
        <v>207</v>
      </c>
      <c r="E22" s="21" t="n">
        <v>1</v>
      </c>
      <c r="F22" s="23"/>
      <c r="G22" s="11" t="n">
        <f aca="false">IF(F22="",E22,F22)</f>
        <v>1</v>
      </c>
      <c r="H22" s="11" t="s">
        <v>693</v>
      </c>
      <c r="I22" s="21" t="n">
        <v>1</v>
      </c>
      <c r="J22" s="23"/>
      <c r="K22" s="11" t="n">
        <f aca="false">IF(J22="",I22,J22)</f>
        <v>1</v>
      </c>
      <c r="L22" s="11" t="s">
        <v>694</v>
      </c>
      <c r="M22" s="21" t="n">
        <v>1</v>
      </c>
      <c r="N22" s="23"/>
      <c r="O22" s="11" t="n">
        <f aca="false">IF(N22="",M22,N22)</f>
        <v>1</v>
      </c>
      <c r="P22" s="11" t="s">
        <v>695</v>
      </c>
      <c r="Q22" s="21" t="n">
        <v>2</v>
      </c>
      <c r="R22" s="23"/>
      <c r="S22" s="11" t="n">
        <f aca="false">IF(R22="",Q22,R22)</f>
        <v>2</v>
      </c>
      <c r="T22" s="11" t="s">
        <v>696</v>
      </c>
    </row>
    <row r="23" customFormat="false" ht="32.25" hidden="false" customHeight="true" outlineLevel="0" collapsed="false">
      <c r="A23" s="12" t="s">
        <v>351</v>
      </c>
      <c r="B23" s="11" t="s">
        <v>344</v>
      </c>
      <c r="C23" s="11" t="s">
        <v>346</v>
      </c>
      <c r="D23" s="11" t="s">
        <v>215</v>
      </c>
      <c r="E23" s="21" t="n">
        <v>-1</v>
      </c>
      <c r="F23" s="23"/>
      <c r="G23" s="11" t="n">
        <f aca="false">IF(F23="",E23,F23)</f>
        <v>-1</v>
      </c>
      <c r="H23" s="11" t="s">
        <v>697</v>
      </c>
      <c r="I23" s="33" t="n">
        <v>1</v>
      </c>
      <c r="J23" s="23"/>
      <c r="K23" s="11" t="n">
        <f aca="false">IF(J23="",I23,J23)</f>
        <v>1</v>
      </c>
      <c r="L23" s="34" t="s">
        <v>698</v>
      </c>
      <c r="M23" s="33" t="n">
        <v>1</v>
      </c>
      <c r="N23" s="23"/>
      <c r="O23" s="11" t="n">
        <f aca="false">IF(N23="",M23,N23)</f>
        <v>1</v>
      </c>
      <c r="P23" s="34" t="s">
        <v>699</v>
      </c>
      <c r="Q23" s="33" t="n">
        <v>1</v>
      </c>
      <c r="R23" s="23"/>
      <c r="S23" s="11" t="n">
        <f aca="false">IF(R23="",Q23,R23)</f>
        <v>1</v>
      </c>
      <c r="T23" s="34" t="s">
        <v>700</v>
      </c>
    </row>
    <row r="24" customFormat="false" ht="32.25" hidden="false" customHeight="true" outlineLevel="0" collapsed="false">
      <c r="A24" s="12" t="s">
        <v>356</v>
      </c>
      <c r="B24" s="11" t="s">
        <v>357</v>
      </c>
      <c r="C24" s="11" t="s">
        <v>359</v>
      </c>
      <c r="D24" s="11" t="s">
        <v>207</v>
      </c>
      <c r="E24" s="21" t="n">
        <v>-1</v>
      </c>
      <c r="F24" s="23"/>
      <c r="G24" s="11" t="n">
        <f aca="false">IF(F24="",E24,F24)</f>
        <v>-1</v>
      </c>
      <c r="H24" s="11" t="s">
        <v>701</v>
      </c>
      <c r="I24" s="21" t="n">
        <v>1</v>
      </c>
      <c r="J24" s="23"/>
      <c r="K24" s="11" t="n">
        <f aca="false">IF(J24="",I24,J24)</f>
        <v>1</v>
      </c>
      <c r="L24" s="11" t="s">
        <v>702</v>
      </c>
      <c r="M24" s="21" t="n">
        <v>-1</v>
      </c>
      <c r="N24" s="23"/>
      <c r="O24" s="11" t="n">
        <f aca="false">IF(N24="",M24,N24)</f>
        <v>-1</v>
      </c>
      <c r="P24" s="11" t="s">
        <v>703</v>
      </c>
      <c r="Q24" s="21" t="n">
        <v>-1</v>
      </c>
      <c r="R24" s="23"/>
      <c r="S24" s="11" t="n">
        <f aca="false">IF(R24="",Q24,R24)</f>
        <v>-1</v>
      </c>
      <c r="T24" s="11" t="s">
        <v>704</v>
      </c>
    </row>
    <row r="25" customFormat="false" ht="32.25" hidden="false" customHeight="true" outlineLevel="0" collapsed="false">
      <c r="A25" s="12" t="s">
        <v>364</v>
      </c>
      <c r="B25" s="11" t="s">
        <v>357</v>
      </c>
      <c r="C25" s="11" t="s">
        <v>359</v>
      </c>
      <c r="D25" s="11" t="s">
        <v>215</v>
      </c>
      <c r="E25" s="21" t="n">
        <v>-1</v>
      </c>
      <c r="F25" s="23"/>
      <c r="G25" s="11" t="n">
        <f aca="false">IF(F25="",E25,F25)</f>
        <v>-1</v>
      </c>
      <c r="H25" s="11" t="s">
        <v>705</v>
      </c>
      <c r="I25" s="21" t="n">
        <v>-2</v>
      </c>
      <c r="J25" s="23"/>
      <c r="K25" s="11" t="n">
        <f aca="false">IF(J25="",I25,J25)</f>
        <v>-2</v>
      </c>
      <c r="L25" s="11" t="s">
        <v>706</v>
      </c>
      <c r="M25" s="21" t="n">
        <v>-2</v>
      </c>
      <c r="N25" s="23"/>
      <c r="O25" s="11" t="n">
        <f aca="false">IF(N25="",M25,N25)</f>
        <v>-2</v>
      </c>
      <c r="P25" s="11" t="s">
        <v>707</v>
      </c>
      <c r="Q25" s="21" t="n">
        <v>-1</v>
      </c>
      <c r="R25" s="23"/>
      <c r="S25" s="11" t="n">
        <f aca="false">IF(R25="",Q25,R25)</f>
        <v>-1</v>
      </c>
      <c r="T25" s="11" t="s">
        <v>708</v>
      </c>
    </row>
    <row r="26" customFormat="false" ht="32.25" hidden="false" customHeight="true" outlineLevel="0" collapsed="false">
      <c r="A26" s="12" t="s">
        <v>369</v>
      </c>
      <c r="B26" s="11" t="s">
        <v>370</v>
      </c>
      <c r="C26" s="11" t="s">
        <v>372</v>
      </c>
      <c r="D26" s="11" t="s">
        <v>207</v>
      </c>
      <c r="E26" s="21" t="n">
        <v>-2</v>
      </c>
      <c r="F26" s="23"/>
      <c r="G26" s="11" t="n">
        <f aca="false">IF(F26="",E26,F26)</f>
        <v>-2</v>
      </c>
      <c r="H26" s="11" t="s">
        <v>709</v>
      </c>
      <c r="I26" s="21" t="n">
        <v>-2</v>
      </c>
      <c r="J26" s="23"/>
      <c r="K26" s="11" t="n">
        <f aca="false">IF(J26="",I26,J26)</f>
        <v>-2</v>
      </c>
      <c r="L26" s="11" t="s">
        <v>710</v>
      </c>
      <c r="M26" s="21" t="n">
        <v>-1</v>
      </c>
      <c r="N26" s="23"/>
      <c r="O26" s="11" t="n">
        <f aca="false">IF(N26="",M26,N26)</f>
        <v>-1</v>
      </c>
      <c r="P26" s="11" t="s">
        <v>711</v>
      </c>
      <c r="Q26" s="21" t="n">
        <v>-2</v>
      </c>
      <c r="R26" s="23"/>
      <c r="S26" s="11" t="n">
        <f aca="false">IF(R26="",Q26,R26)</f>
        <v>-2</v>
      </c>
      <c r="T26" s="11" t="s">
        <v>712</v>
      </c>
    </row>
    <row r="27" customFormat="false" ht="32.25" hidden="false" customHeight="true" outlineLevel="0" collapsed="false">
      <c r="A27" s="12" t="s">
        <v>377</v>
      </c>
      <c r="B27" s="11" t="s">
        <v>370</v>
      </c>
      <c r="C27" s="11" t="s">
        <v>372</v>
      </c>
      <c r="D27" s="11" t="s">
        <v>215</v>
      </c>
      <c r="E27" s="21" t="n">
        <v>1</v>
      </c>
      <c r="F27" s="23"/>
      <c r="G27" s="11" t="n">
        <f aca="false">IF(F27="",E27,F27)</f>
        <v>1</v>
      </c>
      <c r="H27" s="11" t="s">
        <v>713</v>
      </c>
      <c r="I27" s="21" t="n">
        <v>1</v>
      </c>
      <c r="J27" s="23"/>
      <c r="K27" s="11" t="n">
        <f aca="false">IF(J27="",I27,J27)</f>
        <v>1</v>
      </c>
      <c r="L27" s="11" t="s">
        <v>714</v>
      </c>
      <c r="M27" s="21" t="n">
        <v>1</v>
      </c>
      <c r="N27" s="23"/>
      <c r="O27" s="11" t="n">
        <f aca="false">IF(N27="",M27,N27)</f>
        <v>1</v>
      </c>
      <c r="P27" s="11" t="s">
        <v>715</v>
      </c>
      <c r="Q27" s="21" t="n">
        <v>1</v>
      </c>
      <c r="R27" s="23"/>
      <c r="S27" s="11" t="n">
        <f aca="false">IF(R27="",Q27,R27)</f>
        <v>1</v>
      </c>
      <c r="T27" s="11" t="s">
        <v>716</v>
      </c>
    </row>
    <row r="28" customFormat="false" ht="32.25" hidden="false" customHeight="true" outlineLevel="0" collapsed="false">
      <c r="A28" s="12" t="s">
        <v>382</v>
      </c>
      <c r="B28" s="11" t="s">
        <v>383</v>
      </c>
      <c r="C28" s="11" t="s">
        <v>385</v>
      </c>
      <c r="D28" s="11" t="s">
        <v>207</v>
      </c>
      <c r="E28" s="21" t="n">
        <v>-1</v>
      </c>
      <c r="F28" s="23"/>
      <c r="G28" s="11" t="n">
        <f aca="false">IF(F28="",E28,F28)</f>
        <v>-1</v>
      </c>
      <c r="H28" s="11" t="s">
        <v>717</v>
      </c>
      <c r="I28" s="33" t="n">
        <v>1</v>
      </c>
      <c r="J28" s="23"/>
      <c r="K28" s="11" t="n">
        <f aca="false">IF(J28="",I28,J28)</f>
        <v>1</v>
      </c>
      <c r="L28" s="34" t="s">
        <v>718</v>
      </c>
      <c r="M28" s="21" t="n">
        <v>-2</v>
      </c>
      <c r="N28" s="23"/>
      <c r="O28" s="11" t="n">
        <f aca="false">IF(N28="",M28,N28)</f>
        <v>-2</v>
      </c>
      <c r="P28" s="11" t="s">
        <v>719</v>
      </c>
      <c r="Q28" s="21" t="n">
        <v>1</v>
      </c>
      <c r="R28" s="23"/>
      <c r="S28" s="11" t="n">
        <f aca="false">IF(R28="",Q28,R28)</f>
        <v>1</v>
      </c>
      <c r="T28" s="11" t="s">
        <v>720</v>
      </c>
    </row>
    <row r="29" customFormat="false" ht="32.25" hidden="false" customHeight="true" outlineLevel="0" collapsed="false">
      <c r="A29" s="12" t="s">
        <v>391</v>
      </c>
      <c r="B29" s="11" t="s">
        <v>383</v>
      </c>
      <c r="C29" s="11" t="s">
        <v>385</v>
      </c>
      <c r="D29" s="11" t="s">
        <v>215</v>
      </c>
      <c r="E29" s="21" t="n">
        <v>-1</v>
      </c>
      <c r="F29" s="23"/>
      <c r="G29" s="11" t="n">
        <f aca="false">IF(F29="",E29,F29)</f>
        <v>-1</v>
      </c>
      <c r="H29" s="11" t="s">
        <v>721</v>
      </c>
      <c r="I29" s="21" t="n">
        <v>-1</v>
      </c>
      <c r="J29" s="23"/>
      <c r="K29" s="11" t="n">
        <f aca="false">IF(J29="",I29,J29)</f>
        <v>-1</v>
      </c>
      <c r="L29" s="11" t="s">
        <v>722</v>
      </c>
      <c r="M29" s="21" t="n">
        <v>-1</v>
      </c>
      <c r="N29" s="23"/>
      <c r="O29" s="11" t="n">
        <f aca="false">IF(N29="",M29,N29)</f>
        <v>-1</v>
      </c>
      <c r="P29" s="11" t="s">
        <v>723</v>
      </c>
      <c r="Q29" s="21" t="n">
        <v>-2</v>
      </c>
      <c r="R29" s="23"/>
      <c r="S29" s="11" t="n">
        <f aca="false">IF(R29="",Q29,R29)</f>
        <v>-2</v>
      </c>
      <c r="T29" s="11" t="s">
        <v>724</v>
      </c>
    </row>
    <row r="30" customFormat="false" ht="32.25" hidden="false" customHeight="true" outlineLevel="0" collapsed="false">
      <c r="A30" s="12" t="s">
        <v>396</v>
      </c>
      <c r="B30" s="11" t="s">
        <v>397</v>
      </c>
      <c r="C30" s="11" t="s">
        <v>399</v>
      </c>
      <c r="D30" s="11" t="s">
        <v>207</v>
      </c>
      <c r="E30" s="21" t="n">
        <v>1</v>
      </c>
      <c r="F30" s="23"/>
      <c r="G30" s="11" t="n">
        <f aca="false">IF(F30="",E30,F30)</f>
        <v>1</v>
      </c>
      <c r="H30" s="11" t="s">
        <v>725</v>
      </c>
      <c r="I30" s="21" t="n">
        <v>1</v>
      </c>
      <c r="J30" s="23"/>
      <c r="K30" s="11" t="n">
        <f aca="false">IF(J30="",I30,J30)</f>
        <v>1</v>
      </c>
      <c r="L30" s="11" t="s">
        <v>726</v>
      </c>
      <c r="M30" s="21" t="n">
        <v>2</v>
      </c>
      <c r="N30" s="23"/>
      <c r="O30" s="11" t="n">
        <f aca="false">IF(N30="",M30,N30)</f>
        <v>2</v>
      </c>
      <c r="P30" s="11" t="s">
        <v>727</v>
      </c>
      <c r="Q30" s="21" t="n">
        <v>1</v>
      </c>
      <c r="R30" s="23"/>
      <c r="S30" s="11" t="n">
        <f aca="false">IF(R30="",Q30,R30)</f>
        <v>1</v>
      </c>
      <c r="T30" s="11" t="s">
        <v>728</v>
      </c>
    </row>
    <row r="31" customFormat="false" ht="32.25" hidden="false" customHeight="true" outlineLevel="0" collapsed="false">
      <c r="A31" s="12" t="s">
        <v>404</v>
      </c>
      <c r="B31" s="11" t="s">
        <v>397</v>
      </c>
      <c r="C31" s="11" t="s">
        <v>399</v>
      </c>
      <c r="D31" s="11" t="s">
        <v>215</v>
      </c>
      <c r="E31" s="33" t="n">
        <v>1</v>
      </c>
      <c r="F31" s="23"/>
      <c r="G31" s="11" t="n">
        <f aca="false">IF(F31="",E31,F31)</f>
        <v>1</v>
      </c>
      <c r="H31" s="34" t="s">
        <v>729</v>
      </c>
      <c r="I31" s="33" t="n">
        <v>1</v>
      </c>
      <c r="J31" s="23"/>
      <c r="K31" s="11" t="n">
        <f aca="false">IF(J31="",I31,J31)</f>
        <v>1</v>
      </c>
      <c r="L31" s="34" t="s">
        <v>730</v>
      </c>
      <c r="M31" s="33" t="n">
        <v>1</v>
      </c>
      <c r="N31" s="23"/>
      <c r="O31" s="11" t="n">
        <f aca="false">IF(N31="",M31,N31)</f>
        <v>1</v>
      </c>
      <c r="P31" s="34" t="s">
        <v>731</v>
      </c>
      <c r="Q31" s="33" t="n">
        <v>1</v>
      </c>
      <c r="R31" s="23"/>
      <c r="S31" s="11" t="n">
        <f aca="false">IF(R31="",Q31,R31)</f>
        <v>1</v>
      </c>
      <c r="T31" s="34" t="s">
        <v>732</v>
      </c>
    </row>
    <row r="32" customFormat="false" ht="32.25" hidden="false" customHeight="true" outlineLevel="0" collapsed="false">
      <c r="A32" s="12" t="s">
        <v>409</v>
      </c>
      <c r="B32" s="11" t="s">
        <v>410</v>
      </c>
      <c r="C32" s="11" t="s">
        <v>412</v>
      </c>
      <c r="D32" s="11" t="s">
        <v>207</v>
      </c>
      <c r="E32" s="21" t="n">
        <v>1</v>
      </c>
      <c r="F32" s="23"/>
      <c r="G32" s="11" t="n">
        <f aca="false">IF(F32="",E32,F32)</f>
        <v>1</v>
      </c>
      <c r="H32" s="11" t="s">
        <v>733</v>
      </c>
      <c r="I32" s="21" t="n">
        <v>-2</v>
      </c>
      <c r="J32" s="23"/>
      <c r="K32" s="11" t="n">
        <f aca="false">IF(J32="",I32,J32)</f>
        <v>-2</v>
      </c>
      <c r="L32" s="11" t="s">
        <v>734</v>
      </c>
      <c r="M32" s="21" t="n">
        <v>-2</v>
      </c>
      <c r="N32" s="23"/>
      <c r="O32" s="11" t="n">
        <f aca="false">IF(N32="",M32,N32)</f>
        <v>-2</v>
      </c>
      <c r="P32" s="11" t="s">
        <v>735</v>
      </c>
      <c r="Q32" s="21" t="n">
        <v>-1</v>
      </c>
      <c r="R32" s="23"/>
      <c r="S32" s="11" t="n">
        <f aca="false">IF(R32="",Q32,R32)</f>
        <v>-1</v>
      </c>
      <c r="T32" s="11" t="s">
        <v>736</v>
      </c>
    </row>
    <row r="33" customFormat="false" ht="32.25" hidden="false" customHeight="true" outlineLevel="0" collapsed="false">
      <c r="A33" s="12" t="s">
        <v>417</v>
      </c>
      <c r="B33" s="11" t="s">
        <v>410</v>
      </c>
      <c r="C33" s="11" t="s">
        <v>412</v>
      </c>
      <c r="D33" s="11" t="s">
        <v>215</v>
      </c>
      <c r="E33" s="21" t="n">
        <v>-1</v>
      </c>
      <c r="F33" s="23"/>
      <c r="G33" s="11" t="n">
        <f aca="false">IF(F33="",E33,F33)</f>
        <v>-1</v>
      </c>
      <c r="H33" s="11" t="s">
        <v>737</v>
      </c>
      <c r="I33" s="21" t="n">
        <v>1</v>
      </c>
      <c r="J33" s="23"/>
      <c r="K33" s="11" t="n">
        <f aca="false">IF(J33="",I33,J33)</f>
        <v>1</v>
      </c>
      <c r="L33" s="11" t="s">
        <v>738</v>
      </c>
      <c r="M33" s="21" t="n">
        <v>-2</v>
      </c>
      <c r="N33" s="23"/>
      <c r="O33" s="11" t="n">
        <f aca="false">IF(N33="",M33,N33)</f>
        <v>-2</v>
      </c>
      <c r="P33" s="11" t="s">
        <v>739</v>
      </c>
      <c r="Q33" s="21" t="n">
        <v>1</v>
      </c>
      <c r="R33" s="23"/>
      <c r="S33" s="11" t="n">
        <f aca="false">IF(R33="",Q33,R33)</f>
        <v>1</v>
      </c>
      <c r="T33" s="11" t="s">
        <v>740</v>
      </c>
    </row>
    <row r="34" customFormat="false" ht="32.25" hidden="false" customHeight="true" outlineLevel="0" collapsed="false">
      <c r="A34" s="12" t="s">
        <v>422</v>
      </c>
      <c r="B34" s="11" t="s">
        <v>423</v>
      </c>
      <c r="C34" s="11" t="s">
        <v>425</v>
      </c>
      <c r="D34" s="11" t="s">
        <v>207</v>
      </c>
      <c r="E34" s="21" t="n">
        <v>-2</v>
      </c>
      <c r="F34" s="23"/>
      <c r="G34" s="11" t="n">
        <f aca="false">IF(F34="",E34,F34)</f>
        <v>-2</v>
      </c>
      <c r="H34" s="11" t="s">
        <v>741</v>
      </c>
      <c r="I34" s="21" t="n">
        <v>-2</v>
      </c>
      <c r="J34" s="23"/>
      <c r="K34" s="11" t="n">
        <f aca="false">IF(J34="",I34,J34)</f>
        <v>-2</v>
      </c>
      <c r="L34" s="11" t="s">
        <v>742</v>
      </c>
      <c r="M34" s="21" t="n">
        <v>-2</v>
      </c>
      <c r="N34" s="23"/>
      <c r="O34" s="11" t="n">
        <f aca="false">IF(N34="",M34,N34)</f>
        <v>-2</v>
      </c>
      <c r="P34" s="11" t="s">
        <v>743</v>
      </c>
      <c r="Q34" s="21" t="n">
        <v>-2</v>
      </c>
      <c r="R34" s="23"/>
      <c r="S34" s="11" t="n">
        <f aca="false">IF(R34="",Q34,R34)</f>
        <v>-2</v>
      </c>
      <c r="T34" s="11" t="s">
        <v>744</v>
      </c>
    </row>
    <row r="35" customFormat="false" ht="32.25" hidden="false" customHeight="true" outlineLevel="0" collapsed="false">
      <c r="A35" s="12" t="s">
        <v>430</v>
      </c>
      <c r="B35" s="11" t="s">
        <v>423</v>
      </c>
      <c r="C35" s="11" t="s">
        <v>425</v>
      </c>
      <c r="D35" s="11" t="s">
        <v>215</v>
      </c>
      <c r="E35" s="21" t="n">
        <v>-1</v>
      </c>
      <c r="F35" s="23"/>
      <c r="G35" s="11" t="n">
        <f aca="false">IF(F35="",E35,F35)</f>
        <v>-1</v>
      </c>
      <c r="H35" s="11" t="s">
        <v>745</v>
      </c>
      <c r="I35" s="21" t="n">
        <v>-1</v>
      </c>
      <c r="J35" s="23"/>
      <c r="K35" s="11" t="n">
        <f aca="false">IF(J35="",I35,J35)</f>
        <v>-1</v>
      </c>
      <c r="L35" s="11" t="s">
        <v>746</v>
      </c>
      <c r="M35" s="33" t="n">
        <v>1</v>
      </c>
      <c r="N35" s="23"/>
      <c r="O35" s="11" t="n">
        <f aca="false">IF(N35="",M35,N35)</f>
        <v>1</v>
      </c>
      <c r="P35" s="34" t="s">
        <v>747</v>
      </c>
      <c r="Q35" s="21" t="n">
        <v>-1</v>
      </c>
      <c r="R35" s="23"/>
      <c r="S35" s="11" t="n">
        <f aca="false">IF(R35="",Q35,R35)</f>
        <v>-1</v>
      </c>
      <c r="T35" s="11" t="s">
        <v>748</v>
      </c>
    </row>
    <row r="36" customFormat="false" ht="32.25" hidden="false" customHeight="true" outlineLevel="0" collapsed="false">
      <c r="A36" s="12" t="s">
        <v>435</v>
      </c>
      <c r="B36" s="11" t="s">
        <v>436</v>
      </c>
      <c r="C36" s="11" t="s">
        <v>438</v>
      </c>
      <c r="D36" s="11" t="s">
        <v>207</v>
      </c>
      <c r="E36" s="21" t="n">
        <v>2</v>
      </c>
      <c r="F36" s="23"/>
      <c r="G36" s="11" t="n">
        <f aca="false">IF(F36="",E36,F36)</f>
        <v>2</v>
      </c>
      <c r="H36" s="11" t="s">
        <v>749</v>
      </c>
      <c r="I36" s="21" t="n">
        <v>2</v>
      </c>
      <c r="J36" s="23"/>
      <c r="K36" s="11" t="n">
        <f aca="false">IF(J36="",I36,J36)</f>
        <v>2</v>
      </c>
      <c r="L36" s="11" t="s">
        <v>750</v>
      </c>
      <c r="M36" s="21" t="n">
        <v>2</v>
      </c>
      <c r="N36" s="23"/>
      <c r="O36" s="11" t="n">
        <f aca="false">IF(N36="",M36,N36)</f>
        <v>2</v>
      </c>
      <c r="P36" s="11" t="s">
        <v>751</v>
      </c>
      <c r="Q36" s="21" t="n">
        <v>2</v>
      </c>
      <c r="R36" s="23"/>
      <c r="S36" s="11" t="n">
        <f aca="false">IF(R36="",Q36,R36)</f>
        <v>2</v>
      </c>
      <c r="T36" s="11" t="s">
        <v>752</v>
      </c>
    </row>
    <row r="37" customFormat="false" ht="32.25" hidden="false" customHeight="true" outlineLevel="0" collapsed="false">
      <c r="A37" s="12" t="s">
        <v>443</v>
      </c>
      <c r="B37" s="11" t="s">
        <v>436</v>
      </c>
      <c r="C37" s="11" t="s">
        <v>438</v>
      </c>
      <c r="D37" s="11" t="s">
        <v>215</v>
      </c>
      <c r="E37" s="21" t="n">
        <v>-1</v>
      </c>
      <c r="F37" s="23"/>
      <c r="G37" s="11" t="n">
        <f aca="false">IF(F37="",E37,F37)</f>
        <v>-1</v>
      </c>
      <c r="H37" s="11" t="s">
        <v>753</v>
      </c>
      <c r="I37" s="21" t="n">
        <v>-1</v>
      </c>
      <c r="J37" s="23"/>
      <c r="K37" s="11" t="n">
        <f aca="false">IF(J37="",I37,J37)</f>
        <v>-1</v>
      </c>
      <c r="L37" s="11" t="s">
        <v>754</v>
      </c>
      <c r="M37" s="21" t="n">
        <v>-1</v>
      </c>
      <c r="N37" s="23"/>
      <c r="O37" s="11" t="n">
        <f aca="false">IF(N37="",M37,N37)</f>
        <v>-1</v>
      </c>
      <c r="P37" s="11" t="s">
        <v>755</v>
      </c>
      <c r="Q37" s="21" t="n">
        <v>-1</v>
      </c>
      <c r="R37" s="23"/>
      <c r="S37" s="11" t="n">
        <f aca="false">IF(R37="",Q37,R37)</f>
        <v>-1</v>
      </c>
      <c r="T37" s="11" t="s">
        <v>756</v>
      </c>
    </row>
    <row r="38" customFormat="false" ht="32.25" hidden="false" customHeight="true" outlineLevel="0" collapsed="false">
      <c r="A38" s="12" t="s">
        <v>448</v>
      </c>
      <c r="B38" s="11" t="s">
        <v>449</v>
      </c>
      <c r="C38" s="11" t="s">
        <v>451</v>
      </c>
      <c r="D38" s="11" t="s">
        <v>207</v>
      </c>
      <c r="E38" s="21" t="n">
        <v>-2</v>
      </c>
      <c r="F38" s="23"/>
      <c r="G38" s="11" t="n">
        <f aca="false">IF(F38="",E38,F38)</f>
        <v>-2</v>
      </c>
      <c r="H38" s="11" t="s">
        <v>757</v>
      </c>
      <c r="I38" s="21" t="n">
        <v>-2</v>
      </c>
      <c r="J38" s="23"/>
      <c r="K38" s="11" t="n">
        <f aca="false">IF(J38="",I38,J38)</f>
        <v>-2</v>
      </c>
      <c r="L38" s="11" t="s">
        <v>758</v>
      </c>
      <c r="M38" s="21" t="n">
        <v>-1</v>
      </c>
      <c r="N38" s="23"/>
      <c r="O38" s="11" t="n">
        <f aca="false">IF(N38="",M38,N38)</f>
        <v>-1</v>
      </c>
      <c r="P38" s="11" t="s">
        <v>759</v>
      </c>
      <c r="Q38" s="21" t="n">
        <v>-2</v>
      </c>
      <c r="R38" s="23"/>
      <c r="S38" s="11" t="n">
        <f aca="false">IF(R38="",Q38,R38)</f>
        <v>-2</v>
      </c>
      <c r="T38" s="11" t="s">
        <v>760</v>
      </c>
    </row>
    <row r="39" customFormat="false" ht="32.25" hidden="false" customHeight="true" outlineLevel="0" collapsed="false">
      <c r="A39" s="12" t="s">
        <v>456</v>
      </c>
      <c r="B39" s="11" t="s">
        <v>449</v>
      </c>
      <c r="C39" s="11" t="s">
        <v>451</v>
      </c>
      <c r="D39" s="11" t="s">
        <v>215</v>
      </c>
      <c r="E39" s="21" t="n">
        <v>1</v>
      </c>
      <c r="F39" s="23"/>
      <c r="G39" s="11" t="n">
        <f aca="false">IF(F39="",E39,F39)</f>
        <v>1</v>
      </c>
      <c r="H39" s="11" t="s">
        <v>761</v>
      </c>
      <c r="I39" s="21" t="n">
        <v>1</v>
      </c>
      <c r="J39" s="23"/>
      <c r="K39" s="11" t="n">
        <f aca="false">IF(J39="",I39,J39)</f>
        <v>1</v>
      </c>
      <c r="L39" s="11" t="s">
        <v>762</v>
      </c>
      <c r="M39" s="21" t="n">
        <v>1</v>
      </c>
      <c r="N39" s="23"/>
      <c r="O39" s="11" t="n">
        <f aca="false">IF(N39="",M39,N39)</f>
        <v>1</v>
      </c>
      <c r="P39" s="11" t="s">
        <v>763</v>
      </c>
      <c r="Q39" s="21" t="n">
        <v>1</v>
      </c>
      <c r="R39" s="23"/>
      <c r="S39" s="11" t="n">
        <f aca="false">IF(R39="",Q39,R39)</f>
        <v>1</v>
      </c>
      <c r="T39" s="11" t="s">
        <v>764</v>
      </c>
    </row>
    <row r="40" customFormat="false" ht="32.25" hidden="false" customHeight="true" outlineLevel="0" collapsed="false">
      <c r="A40" s="12" t="s">
        <v>461</v>
      </c>
      <c r="B40" s="11" t="s">
        <v>462</v>
      </c>
      <c r="C40" s="11" t="s">
        <v>464</v>
      </c>
      <c r="D40" s="11" t="s">
        <v>207</v>
      </c>
      <c r="E40" s="21" t="n">
        <v>2</v>
      </c>
      <c r="F40" s="23"/>
      <c r="G40" s="11" t="n">
        <f aca="false">IF(F40="",E40,F40)</f>
        <v>2</v>
      </c>
      <c r="H40" s="11" t="s">
        <v>765</v>
      </c>
      <c r="I40" s="21" t="n">
        <v>2</v>
      </c>
      <c r="J40" s="23"/>
      <c r="K40" s="11" t="n">
        <f aca="false">IF(J40="",I40,J40)</f>
        <v>2</v>
      </c>
      <c r="L40" s="11" t="s">
        <v>766</v>
      </c>
      <c r="M40" s="21" t="n">
        <v>2</v>
      </c>
      <c r="N40" s="23"/>
      <c r="O40" s="11" t="n">
        <f aca="false">IF(N40="",M40,N40)</f>
        <v>2</v>
      </c>
      <c r="P40" s="11" t="s">
        <v>767</v>
      </c>
      <c r="Q40" s="21" t="n">
        <v>2</v>
      </c>
      <c r="R40" s="23"/>
      <c r="S40" s="11" t="n">
        <f aca="false">IF(R40="",Q40,R40)</f>
        <v>2</v>
      </c>
      <c r="T40" s="11" t="s">
        <v>768</v>
      </c>
    </row>
    <row r="41" customFormat="false" ht="32.25" hidden="false" customHeight="true" outlineLevel="0" collapsed="false">
      <c r="A41" s="12" t="s">
        <v>469</v>
      </c>
      <c r="B41" s="11" t="s">
        <v>462</v>
      </c>
      <c r="C41" s="11" t="s">
        <v>464</v>
      </c>
      <c r="D41" s="11" t="s">
        <v>215</v>
      </c>
      <c r="E41" s="21" t="n">
        <v>1</v>
      </c>
      <c r="F41" s="23"/>
      <c r="G41" s="11" t="n">
        <f aca="false">IF(F41="",E41,F41)</f>
        <v>1</v>
      </c>
      <c r="H41" s="11" t="s">
        <v>769</v>
      </c>
      <c r="I41" s="21" t="n">
        <v>1</v>
      </c>
      <c r="J41" s="23"/>
      <c r="K41" s="11" t="n">
        <f aca="false">IF(J41="",I41,J41)</f>
        <v>1</v>
      </c>
      <c r="L41" s="11" t="s">
        <v>770</v>
      </c>
      <c r="M41" s="21" t="n">
        <v>1</v>
      </c>
      <c r="N41" s="23"/>
      <c r="O41" s="11" t="n">
        <f aca="false">IF(N41="",M41,N41)</f>
        <v>1</v>
      </c>
      <c r="P41" s="11" t="s">
        <v>771</v>
      </c>
      <c r="Q41" s="21" t="n">
        <v>1</v>
      </c>
      <c r="R41" s="23"/>
      <c r="S41" s="11" t="n">
        <f aca="false">IF(R41="",Q41,R41)</f>
        <v>1</v>
      </c>
      <c r="T41" s="11" t="s">
        <v>772</v>
      </c>
    </row>
    <row r="42" customFormat="false" ht="32.25" hidden="false" customHeight="true" outlineLevel="0" collapsed="false">
      <c r="A42" s="12" t="s">
        <v>474</v>
      </c>
      <c r="B42" s="11" t="s">
        <v>475</v>
      </c>
      <c r="C42" s="11" t="s">
        <v>477</v>
      </c>
      <c r="D42" s="11" t="s">
        <v>207</v>
      </c>
      <c r="E42" s="21" t="n">
        <v>2</v>
      </c>
      <c r="F42" s="23"/>
      <c r="G42" s="11" t="n">
        <f aca="false">IF(F42="",E42,F42)</f>
        <v>2</v>
      </c>
      <c r="H42" s="11" t="s">
        <v>773</v>
      </c>
      <c r="I42" s="21" t="n">
        <v>2</v>
      </c>
      <c r="J42" s="23"/>
      <c r="K42" s="11" t="n">
        <f aca="false">IF(J42="",I42,J42)</f>
        <v>2</v>
      </c>
      <c r="L42" s="11" t="s">
        <v>774</v>
      </c>
      <c r="M42" s="21" t="n">
        <v>1</v>
      </c>
      <c r="N42" s="23"/>
      <c r="O42" s="11" t="n">
        <f aca="false">IF(N42="",M42,N42)</f>
        <v>1</v>
      </c>
      <c r="P42" s="11" t="s">
        <v>775</v>
      </c>
      <c r="Q42" s="21" t="n">
        <v>1</v>
      </c>
      <c r="R42" s="23"/>
      <c r="S42" s="11" t="n">
        <f aca="false">IF(R42="",Q42,R42)</f>
        <v>1</v>
      </c>
      <c r="T42" s="11" t="s">
        <v>776</v>
      </c>
    </row>
    <row r="43" customFormat="false" ht="32.25" hidden="false" customHeight="true" outlineLevel="0" collapsed="false">
      <c r="A43" s="12" t="s">
        <v>482</v>
      </c>
      <c r="B43" s="11" t="s">
        <v>475</v>
      </c>
      <c r="C43" s="11" t="s">
        <v>477</v>
      </c>
      <c r="D43" s="11" t="s">
        <v>215</v>
      </c>
      <c r="E43" s="21" t="n">
        <v>-1</v>
      </c>
      <c r="F43" s="23"/>
      <c r="G43" s="11" t="n">
        <f aca="false">IF(F43="",E43,F43)</f>
        <v>-1</v>
      </c>
      <c r="H43" s="11" t="s">
        <v>777</v>
      </c>
      <c r="I43" s="21" t="n">
        <v>-1</v>
      </c>
      <c r="J43" s="23"/>
      <c r="K43" s="11" t="n">
        <f aca="false">IF(J43="",I43,J43)</f>
        <v>-1</v>
      </c>
      <c r="L43" s="11" t="s">
        <v>778</v>
      </c>
      <c r="M43" s="21" t="n">
        <v>-1</v>
      </c>
      <c r="N43" s="23"/>
      <c r="O43" s="11" t="n">
        <f aca="false">IF(N43="",M43,N43)</f>
        <v>-1</v>
      </c>
      <c r="P43" s="11" t="s">
        <v>779</v>
      </c>
      <c r="Q43" s="21" t="n">
        <v>-1</v>
      </c>
      <c r="R43" s="23"/>
      <c r="S43" s="11" t="n">
        <f aca="false">IF(R43="",Q43,R43)</f>
        <v>-1</v>
      </c>
      <c r="T43" s="11" t="s">
        <v>780</v>
      </c>
    </row>
    <row r="44" customFormat="false" ht="32.25" hidden="false" customHeight="true" outlineLevel="0" collapsed="false">
      <c r="A44" s="12" t="s">
        <v>487</v>
      </c>
      <c r="B44" s="11" t="s">
        <v>488</v>
      </c>
      <c r="C44" s="11" t="s">
        <v>490</v>
      </c>
      <c r="D44" s="11" t="s">
        <v>207</v>
      </c>
      <c r="E44" s="21" t="n">
        <v>1</v>
      </c>
      <c r="F44" s="23"/>
      <c r="G44" s="11" t="n">
        <f aca="false">IF(F44="",E44,F44)</f>
        <v>1</v>
      </c>
      <c r="H44" s="11" t="s">
        <v>781</v>
      </c>
      <c r="I44" s="21" t="n">
        <v>2</v>
      </c>
      <c r="J44" s="23"/>
      <c r="K44" s="11" t="n">
        <f aca="false">IF(J44="",I44,J44)</f>
        <v>2</v>
      </c>
      <c r="L44" s="11" t="s">
        <v>782</v>
      </c>
      <c r="M44" s="21" t="n">
        <v>2</v>
      </c>
      <c r="N44" s="23"/>
      <c r="O44" s="11" t="n">
        <f aca="false">IF(N44="",M44,N44)</f>
        <v>2</v>
      </c>
      <c r="P44" s="11" t="s">
        <v>783</v>
      </c>
      <c r="Q44" s="21" t="n">
        <v>2</v>
      </c>
      <c r="R44" s="23"/>
      <c r="S44" s="11" t="n">
        <f aca="false">IF(R44="",Q44,R44)</f>
        <v>2</v>
      </c>
      <c r="T44" s="11" t="s">
        <v>784</v>
      </c>
    </row>
    <row r="45" customFormat="false" ht="32.25" hidden="false" customHeight="true" outlineLevel="0" collapsed="false">
      <c r="A45" s="12" t="s">
        <v>495</v>
      </c>
      <c r="B45" s="11" t="s">
        <v>488</v>
      </c>
      <c r="C45" s="11" t="s">
        <v>490</v>
      </c>
      <c r="D45" s="11" t="s">
        <v>215</v>
      </c>
      <c r="E45" s="21" t="n">
        <v>-1</v>
      </c>
      <c r="F45" s="23"/>
      <c r="G45" s="11" t="n">
        <f aca="false">IF(F45="",E45,F45)</f>
        <v>-1</v>
      </c>
      <c r="H45" s="11" t="s">
        <v>785</v>
      </c>
      <c r="I45" s="33" t="n">
        <v>1</v>
      </c>
      <c r="J45" s="23"/>
      <c r="K45" s="11" t="n">
        <f aca="false">IF(J45="",I45,J45)</f>
        <v>1</v>
      </c>
      <c r="L45" s="34" t="s">
        <v>786</v>
      </c>
      <c r="M45" s="21" t="n">
        <v>-1</v>
      </c>
      <c r="N45" s="23"/>
      <c r="O45" s="11" t="n">
        <f aca="false">IF(N45="",M45,N45)</f>
        <v>-1</v>
      </c>
      <c r="P45" s="11" t="s">
        <v>787</v>
      </c>
      <c r="Q45" s="33" t="n">
        <v>1</v>
      </c>
      <c r="R45" s="23"/>
      <c r="S45" s="11" t="n">
        <f aca="false">IF(R45="",Q45,R45)</f>
        <v>1</v>
      </c>
      <c r="T45" s="34" t="s">
        <v>788</v>
      </c>
    </row>
    <row r="47" customFormat="false" ht="16.5" hidden="false" customHeight="true" outlineLevel="0" collapsed="false">
      <c r="A47" s="35" t="s">
        <v>575</v>
      </c>
      <c r="G47" s="15" t="str">
        <f aca="false">COUNTIF(G2:G45,"&gt;0")&amp;" / "&amp;COUNTIF(G2:G45,"&lt;0")</f>
        <v>26 / 18</v>
      </c>
      <c r="K47" s="15" t="str">
        <f aca="false">COUNTIF(K2:K45,"&gt;0")&amp;" / "&amp;COUNTIF(K2:K45,"&lt;0")</f>
        <v>26 / 18</v>
      </c>
      <c r="O47" s="15" t="str">
        <f aca="false">COUNTIF(O2:O45,"&gt;0")&amp;" / "&amp;COUNTIF(O2:O45,"&lt;0")</f>
        <v>26 / 18</v>
      </c>
      <c r="S47" s="15" t="str">
        <f aca="false">COUNTIF(S2:S45,"&gt;0")&amp;" / "&amp;COUNTIF(S2:S45,"&lt;0")</f>
        <v>26 / 18</v>
      </c>
    </row>
    <row r="48" customFormat="false" ht="16.5" hidden="false" customHeight="true" outlineLevel="0" collapsed="false">
      <c r="A48" s="31" t="s">
        <v>577</v>
      </c>
    </row>
  </sheetData>
  <dataValidations count="1">
    <dataValidation allowBlank="true" errorStyle="stop" operator="between" showDropDown="false" showErrorMessage="false" showInputMessage="false" sqref="F2:F45 J2:J45 N2:N45 R2:R45" type="list">
      <formula1>"-2,-1,1,2"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14"/>
    <col collapsed="false" customWidth="true" hidden="false" outlineLevel="0" max="3" min="3" style="1" width="22"/>
    <col collapsed="false" customWidth="true" hidden="false" outlineLevel="0" max="7" min="4" style="1" width="8"/>
    <col collapsed="false" customWidth="true" hidden="false" outlineLevel="0" max="8" min="8" style="1" width="30"/>
    <col collapsed="false" customWidth="true" hidden="false" outlineLevel="0" max="11" min="9" style="1" width="8"/>
    <col collapsed="false" customWidth="true" hidden="false" outlineLevel="0" max="12" min="12" style="1" width="30"/>
    <col collapsed="false" customWidth="true" hidden="false" outlineLevel="0" max="15" min="13" style="1" width="8"/>
    <col collapsed="false" customWidth="true" hidden="false" outlineLevel="0" max="16" min="16" style="1" width="30"/>
  </cols>
  <sheetData>
    <row r="1" customFormat="false" ht="48" hidden="false" customHeight="true" outlineLevel="0" collapsed="false">
      <c r="A1" s="9" t="s">
        <v>186</v>
      </c>
      <c r="B1" s="9" t="s">
        <v>188</v>
      </c>
      <c r="C1" s="9" t="s">
        <v>190</v>
      </c>
      <c r="D1" s="9" t="s">
        <v>191</v>
      </c>
      <c r="E1" s="9" t="s">
        <v>789</v>
      </c>
      <c r="F1" s="9" t="s">
        <v>790</v>
      </c>
      <c r="G1" s="9" t="s">
        <v>791</v>
      </c>
      <c r="H1" s="9" t="s">
        <v>792</v>
      </c>
      <c r="I1" s="9" t="s">
        <v>793</v>
      </c>
      <c r="J1" s="9" t="s">
        <v>794</v>
      </c>
      <c r="K1" s="9" t="s">
        <v>795</v>
      </c>
      <c r="L1" s="9" t="s">
        <v>796</v>
      </c>
      <c r="M1" s="9" t="s">
        <v>797</v>
      </c>
      <c r="N1" s="9" t="s">
        <v>798</v>
      </c>
      <c r="O1" s="9" t="s">
        <v>799</v>
      </c>
      <c r="P1" s="9" t="s">
        <v>800</v>
      </c>
    </row>
    <row r="2" customFormat="false" ht="32.25" hidden="false" customHeight="true" outlineLevel="0" collapsed="false">
      <c r="A2" s="12" t="s">
        <v>203</v>
      </c>
      <c r="B2" s="11" t="s">
        <v>204</v>
      </c>
      <c r="C2" s="11" t="s">
        <v>206</v>
      </c>
      <c r="D2" s="11" t="s">
        <v>207</v>
      </c>
      <c r="E2" s="21" t="n">
        <v>2</v>
      </c>
      <c r="F2" s="23"/>
      <c r="G2" s="11" t="n">
        <f aca="false">IF(F2="",E2,F2)</f>
        <v>2</v>
      </c>
      <c r="H2" s="11" t="s">
        <v>801</v>
      </c>
      <c r="I2" s="21" t="n">
        <v>2</v>
      </c>
      <c r="J2" s="23"/>
      <c r="K2" s="11" t="n">
        <f aca="false">IF(J2="",I2,J2)</f>
        <v>2</v>
      </c>
      <c r="L2" s="11" t="s">
        <v>802</v>
      </c>
      <c r="M2" s="21" t="n">
        <v>2</v>
      </c>
      <c r="N2" s="23"/>
      <c r="O2" s="11" t="n">
        <f aca="false">IF(N2="",M2,N2)</f>
        <v>2</v>
      </c>
      <c r="P2" s="11" t="s">
        <v>803</v>
      </c>
    </row>
    <row r="3" customFormat="false" ht="32.25" hidden="false" customHeight="true" outlineLevel="0" collapsed="false">
      <c r="A3" s="12" t="s">
        <v>214</v>
      </c>
      <c r="B3" s="11" t="s">
        <v>204</v>
      </c>
      <c r="C3" s="11" t="s">
        <v>206</v>
      </c>
      <c r="D3" s="11" t="s">
        <v>215</v>
      </c>
      <c r="E3" s="33" t="n">
        <v>1</v>
      </c>
      <c r="F3" s="23"/>
      <c r="G3" s="11" t="n">
        <f aca="false">IF(F3="",E3,F3)</f>
        <v>1</v>
      </c>
      <c r="H3" s="34" t="s">
        <v>804</v>
      </c>
      <c r="I3" s="33" t="n">
        <v>1</v>
      </c>
      <c r="J3" s="23"/>
      <c r="K3" s="11" t="n">
        <f aca="false">IF(J3="",I3,J3)</f>
        <v>1</v>
      </c>
      <c r="L3" s="34" t="s">
        <v>805</v>
      </c>
      <c r="M3" s="33" t="n">
        <v>1</v>
      </c>
      <c r="N3" s="23"/>
      <c r="O3" s="11" t="n">
        <f aca="false">IF(N3="",M3,N3)</f>
        <v>1</v>
      </c>
      <c r="P3" s="34" t="s">
        <v>806</v>
      </c>
    </row>
    <row r="4" customFormat="false" ht="32.25" hidden="false" customHeight="true" outlineLevel="0" collapsed="false">
      <c r="A4" s="12" t="s">
        <v>222</v>
      </c>
      <c r="B4" s="11" t="s">
        <v>223</v>
      </c>
      <c r="C4" s="11" t="s">
        <v>225</v>
      </c>
      <c r="D4" s="11" t="s">
        <v>207</v>
      </c>
      <c r="E4" s="21" t="n">
        <v>2</v>
      </c>
      <c r="F4" s="23"/>
      <c r="G4" s="11" t="n">
        <f aca="false">IF(F4="",E4,F4)</f>
        <v>2</v>
      </c>
      <c r="H4" s="11" t="s">
        <v>807</v>
      </c>
      <c r="I4" s="21" t="n">
        <v>2</v>
      </c>
      <c r="J4" s="23"/>
      <c r="K4" s="11" t="n">
        <f aca="false">IF(J4="",I4,J4)</f>
        <v>2</v>
      </c>
      <c r="L4" s="11" t="s">
        <v>808</v>
      </c>
      <c r="M4" s="21" t="n">
        <v>2</v>
      </c>
      <c r="N4" s="23"/>
      <c r="O4" s="11" t="n">
        <f aca="false">IF(N4="",M4,N4)</f>
        <v>2</v>
      </c>
      <c r="P4" s="11" t="s">
        <v>809</v>
      </c>
    </row>
    <row r="5" customFormat="false" ht="32.25" hidden="false" customHeight="true" outlineLevel="0" collapsed="false">
      <c r="A5" s="12" t="s">
        <v>230</v>
      </c>
      <c r="B5" s="11" t="s">
        <v>223</v>
      </c>
      <c r="C5" s="11" t="s">
        <v>225</v>
      </c>
      <c r="D5" s="11" t="s">
        <v>215</v>
      </c>
      <c r="E5" s="21" t="n">
        <v>-1</v>
      </c>
      <c r="F5" s="23"/>
      <c r="G5" s="11" t="n">
        <f aca="false">IF(F5="",E5,F5)</f>
        <v>-1</v>
      </c>
      <c r="H5" s="11" t="s">
        <v>810</v>
      </c>
      <c r="I5" s="21" t="n">
        <v>-1</v>
      </c>
      <c r="J5" s="23"/>
      <c r="K5" s="11" t="n">
        <f aca="false">IF(J5="",I5,J5)</f>
        <v>-1</v>
      </c>
      <c r="L5" s="11" t="s">
        <v>811</v>
      </c>
      <c r="M5" s="21" t="n">
        <v>-1</v>
      </c>
      <c r="N5" s="23"/>
      <c r="O5" s="11" t="n">
        <f aca="false">IF(N5="",M5,N5)</f>
        <v>-1</v>
      </c>
      <c r="P5" s="11" t="s">
        <v>812</v>
      </c>
    </row>
    <row r="6" customFormat="false" ht="32.25" hidden="false" customHeight="true" outlineLevel="0" collapsed="false">
      <c r="A6" s="12" t="s">
        <v>236</v>
      </c>
      <c r="B6" s="11" t="s">
        <v>237</v>
      </c>
      <c r="C6" s="11" t="s">
        <v>239</v>
      </c>
      <c r="D6" s="11" t="s">
        <v>207</v>
      </c>
      <c r="E6" s="21" t="n">
        <v>-1</v>
      </c>
      <c r="F6" s="23"/>
      <c r="G6" s="11" t="n">
        <f aca="false">IF(F6="",E6,F6)</f>
        <v>-1</v>
      </c>
      <c r="H6" s="11" t="s">
        <v>813</v>
      </c>
      <c r="I6" s="21" t="n">
        <v>-2</v>
      </c>
      <c r="J6" s="23"/>
      <c r="K6" s="11" t="n">
        <f aca="false">IF(J6="",I6,J6)</f>
        <v>-2</v>
      </c>
      <c r="L6" s="11" t="s">
        <v>814</v>
      </c>
      <c r="M6" s="21" t="n">
        <v>-1</v>
      </c>
      <c r="N6" s="23"/>
      <c r="O6" s="11" t="n">
        <f aca="false">IF(N6="",M6,N6)</f>
        <v>-1</v>
      </c>
      <c r="P6" s="11" t="s">
        <v>815</v>
      </c>
    </row>
    <row r="7" customFormat="false" ht="32.25" hidden="false" customHeight="true" outlineLevel="0" collapsed="false">
      <c r="A7" s="12" t="s">
        <v>245</v>
      </c>
      <c r="B7" s="11" t="s">
        <v>237</v>
      </c>
      <c r="C7" s="11" t="s">
        <v>239</v>
      </c>
      <c r="D7" s="11" t="s">
        <v>215</v>
      </c>
      <c r="E7" s="21" t="n">
        <v>-1</v>
      </c>
      <c r="F7" s="23"/>
      <c r="G7" s="11" t="n">
        <f aca="false">IF(F7="",E7,F7)</f>
        <v>-1</v>
      </c>
      <c r="H7" s="11" t="s">
        <v>816</v>
      </c>
      <c r="I7" s="21" t="n">
        <v>-1</v>
      </c>
      <c r="J7" s="23"/>
      <c r="K7" s="11" t="n">
        <f aca="false">IF(J7="",I7,J7)</f>
        <v>-1</v>
      </c>
      <c r="L7" s="11" t="s">
        <v>817</v>
      </c>
      <c r="M7" s="21" t="n">
        <v>-1</v>
      </c>
      <c r="N7" s="23"/>
      <c r="O7" s="11" t="n">
        <f aca="false">IF(N7="",M7,N7)</f>
        <v>-1</v>
      </c>
      <c r="P7" s="11" t="s">
        <v>818</v>
      </c>
    </row>
    <row r="8" customFormat="false" ht="32.25" hidden="false" customHeight="true" outlineLevel="0" collapsed="false">
      <c r="A8" s="12" t="s">
        <v>251</v>
      </c>
      <c r="B8" s="11" t="s">
        <v>252</v>
      </c>
      <c r="C8" s="11" t="s">
        <v>254</v>
      </c>
      <c r="D8" s="11" t="s">
        <v>207</v>
      </c>
      <c r="E8" s="21" t="n">
        <v>-1</v>
      </c>
      <c r="F8" s="23"/>
      <c r="G8" s="11" t="n">
        <f aca="false">IF(F8="",E8,F8)</f>
        <v>-1</v>
      </c>
      <c r="H8" s="11" t="s">
        <v>819</v>
      </c>
      <c r="I8" s="21" t="n">
        <v>1</v>
      </c>
      <c r="J8" s="23"/>
      <c r="K8" s="11" t="n">
        <f aca="false">IF(J8="",I8,J8)</f>
        <v>1</v>
      </c>
      <c r="L8" s="11" t="s">
        <v>820</v>
      </c>
      <c r="M8" s="21" t="n">
        <v>-2</v>
      </c>
      <c r="N8" s="23"/>
      <c r="O8" s="11" t="n">
        <f aca="false">IF(N8="",M8,N8)</f>
        <v>-2</v>
      </c>
      <c r="P8" s="11" t="s">
        <v>821</v>
      </c>
    </row>
    <row r="9" customFormat="false" ht="32.25" hidden="false" customHeight="true" outlineLevel="0" collapsed="false">
      <c r="A9" s="12" t="s">
        <v>260</v>
      </c>
      <c r="B9" s="11" t="s">
        <v>252</v>
      </c>
      <c r="C9" s="11" t="s">
        <v>254</v>
      </c>
      <c r="D9" s="11" t="s">
        <v>215</v>
      </c>
      <c r="E9" s="21" t="n">
        <v>1</v>
      </c>
      <c r="F9" s="23"/>
      <c r="G9" s="11" t="n">
        <f aca="false">IF(F9="",E9,F9)</f>
        <v>1</v>
      </c>
      <c r="H9" s="11" t="s">
        <v>822</v>
      </c>
      <c r="I9" s="33" t="n">
        <v>1</v>
      </c>
      <c r="J9" s="23"/>
      <c r="K9" s="11" t="n">
        <f aca="false">IF(J9="",I9,J9)</f>
        <v>1</v>
      </c>
      <c r="L9" s="34" t="s">
        <v>823</v>
      </c>
      <c r="M9" s="21" t="n">
        <v>1</v>
      </c>
      <c r="N9" s="23"/>
      <c r="O9" s="11" t="n">
        <f aca="false">IF(N9="",M9,N9)</f>
        <v>1</v>
      </c>
      <c r="P9" s="11" t="s">
        <v>824</v>
      </c>
    </row>
    <row r="10" customFormat="false" ht="32.25" hidden="false" customHeight="true" outlineLevel="0" collapsed="false">
      <c r="A10" s="12" t="s">
        <v>265</v>
      </c>
      <c r="B10" s="11" t="s">
        <v>266</v>
      </c>
      <c r="C10" s="11" t="s">
        <v>268</v>
      </c>
      <c r="D10" s="11" t="s">
        <v>207</v>
      </c>
      <c r="E10" s="21" t="n">
        <v>-2</v>
      </c>
      <c r="F10" s="23"/>
      <c r="G10" s="11" t="n">
        <f aca="false">IF(F10="",E10,F10)</f>
        <v>-2</v>
      </c>
      <c r="H10" s="11" t="s">
        <v>825</v>
      </c>
      <c r="I10" s="21" t="n">
        <v>2</v>
      </c>
      <c r="J10" s="23"/>
      <c r="K10" s="11" t="n">
        <f aca="false">IF(J10="",I10,J10)</f>
        <v>2</v>
      </c>
      <c r="L10" s="11" t="s">
        <v>826</v>
      </c>
      <c r="M10" s="21" t="n">
        <v>1</v>
      </c>
      <c r="N10" s="23"/>
      <c r="O10" s="11" t="n">
        <f aca="false">IF(N10="",M10,N10)</f>
        <v>1</v>
      </c>
      <c r="P10" s="11" t="s">
        <v>827</v>
      </c>
    </row>
    <row r="11" customFormat="false" ht="32.25" hidden="false" customHeight="true" outlineLevel="0" collapsed="false">
      <c r="A11" s="12" t="s">
        <v>273</v>
      </c>
      <c r="B11" s="11" t="s">
        <v>266</v>
      </c>
      <c r="C11" s="11" t="s">
        <v>268</v>
      </c>
      <c r="D11" s="11" t="s">
        <v>215</v>
      </c>
      <c r="E11" s="21" t="n">
        <v>1</v>
      </c>
      <c r="F11" s="23"/>
      <c r="G11" s="11" t="n">
        <f aca="false">IF(F11="",E11,F11)</f>
        <v>1</v>
      </c>
      <c r="H11" s="11" t="s">
        <v>828</v>
      </c>
      <c r="I11" s="33" t="n">
        <v>1</v>
      </c>
      <c r="J11" s="23"/>
      <c r="K11" s="11" t="n">
        <f aca="false">IF(J11="",I11,J11)</f>
        <v>1</v>
      </c>
      <c r="L11" s="34" t="s">
        <v>829</v>
      </c>
      <c r="M11" s="33" t="n">
        <v>1</v>
      </c>
      <c r="N11" s="23"/>
      <c r="O11" s="11" t="n">
        <f aca="false">IF(N11="",M11,N11)</f>
        <v>1</v>
      </c>
      <c r="P11" s="34" t="s">
        <v>830</v>
      </c>
    </row>
    <row r="12" customFormat="false" ht="32.25" hidden="false" customHeight="true" outlineLevel="0" collapsed="false">
      <c r="A12" s="12" t="s">
        <v>278</v>
      </c>
      <c r="B12" s="11" t="s">
        <v>279</v>
      </c>
      <c r="C12" s="11" t="s">
        <v>281</v>
      </c>
      <c r="D12" s="11" t="s">
        <v>207</v>
      </c>
      <c r="E12" s="21" t="n">
        <v>-1</v>
      </c>
      <c r="F12" s="23"/>
      <c r="G12" s="11" t="n">
        <f aca="false">IF(F12="",E12,F12)</f>
        <v>-1</v>
      </c>
      <c r="H12" s="11" t="s">
        <v>831</v>
      </c>
      <c r="I12" s="21" t="n">
        <v>-1</v>
      </c>
      <c r="J12" s="23"/>
      <c r="K12" s="11" t="n">
        <f aca="false">IF(J12="",I12,J12)</f>
        <v>-1</v>
      </c>
      <c r="L12" s="11" t="s">
        <v>832</v>
      </c>
      <c r="M12" s="21" t="n">
        <v>-1</v>
      </c>
      <c r="N12" s="23"/>
      <c r="O12" s="11" t="n">
        <f aca="false">IF(N12="",M12,N12)</f>
        <v>-1</v>
      </c>
      <c r="P12" s="11" t="s">
        <v>833</v>
      </c>
    </row>
    <row r="13" customFormat="false" ht="32.25" hidden="false" customHeight="true" outlineLevel="0" collapsed="false">
      <c r="A13" s="12" t="s">
        <v>286</v>
      </c>
      <c r="B13" s="11" t="s">
        <v>279</v>
      </c>
      <c r="C13" s="11" t="s">
        <v>281</v>
      </c>
      <c r="D13" s="11" t="s">
        <v>215</v>
      </c>
      <c r="E13" s="21" t="n">
        <v>1</v>
      </c>
      <c r="F13" s="23"/>
      <c r="G13" s="11" t="n">
        <f aca="false">IF(F13="",E13,F13)</f>
        <v>1</v>
      </c>
      <c r="H13" s="11" t="s">
        <v>834</v>
      </c>
      <c r="I13" s="21" t="n">
        <v>-1</v>
      </c>
      <c r="J13" s="23"/>
      <c r="K13" s="11" t="n">
        <f aca="false">IF(J13="",I13,J13)</f>
        <v>-1</v>
      </c>
      <c r="L13" s="11" t="s">
        <v>835</v>
      </c>
      <c r="M13" s="21" t="n">
        <v>1</v>
      </c>
      <c r="N13" s="23"/>
      <c r="O13" s="11" t="n">
        <f aca="false">IF(N13="",M13,N13)</f>
        <v>1</v>
      </c>
      <c r="P13" s="11" t="s">
        <v>836</v>
      </c>
    </row>
    <row r="14" customFormat="false" ht="32.25" hidden="false" customHeight="true" outlineLevel="0" collapsed="false">
      <c r="A14" s="12" t="s">
        <v>291</v>
      </c>
      <c r="B14" s="11" t="s">
        <v>292</v>
      </c>
      <c r="C14" s="11" t="s">
        <v>294</v>
      </c>
      <c r="D14" s="11" t="s">
        <v>207</v>
      </c>
      <c r="E14" s="21" t="n">
        <v>1</v>
      </c>
      <c r="F14" s="23"/>
      <c r="G14" s="11" t="n">
        <f aca="false">IF(F14="",E14,F14)</f>
        <v>1</v>
      </c>
      <c r="H14" s="11" t="s">
        <v>837</v>
      </c>
      <c r="I14" s="21" t="n">
        <v>1</v>
      </c>
      <c r="J14" s="23"/>
      <c r="K14" s="11" t="n">
        <f aca="false">IF(J14="",I14,J14)</f>
        <v>1</v>
      </c>
      <c r="L14" s="11" t="s">
        <v>838</v>
      </c>
      <c r="M14" s="21" t="n">
        <v>1</v>
      </c>
      <c r="N14" s="23"/>
      <c r="O14" s="11" t="n">
        <f aca="false">IF(N14="",M14,N14)</f>
        <v>1</v>
      </c>
      <c r="P14" s="11" t="s">
        <v>839</v>
      </c>
    </row>
    <row r="15" customFormat="false" ht="32.25" hidden="false" customHeight="true" outlineLevel="0" collapsed="false">
      <c r="A15" s="12" t="s">
        <v>299</v>
      </c>
      <c r="B15" s="11" t="s">
        <v>292</v>
      </c>
      <c r="C15" s="11" t="s">
        <v>294</v>
      </c>
      <c r="D15" s="11" t="s">
        <v>215</v>
      </c>
      <c r="E15" s="21" t="n">
        <v>-1</v>
      </c>
      <c r="F15" s="23"/>
      <c r="G15" s="11" t="n">
        <f aca="false">IF(F15="",E15,F15)</f>
        <v>-1</v>
      </c>
      <c r="H15" s="11" t="s">
        <v>840</v>
      </c>
      <c r="I15" s="33" t="n">
        <v>1</v>
      </c>
      <c r="J15" s="23"/>
      <c r="K15" s="11" t="n">
        <f aca="false">IF(J15="",I15,J15)</f>
        <v>1</v>
      </c>
      <c r="L15" s="34" t="s">
        <v>841</v>
      </c>
      <c r="M15" s="33" t="n">
        <v>1</v>
      </c>
      <c r="N15" s="23"/>
      <c r="O15" s="11" t="n">
        <f aca="false">IF(N15="",M15,N15)</f>
        <v>1</v>
      </c>
      <c r="P15" s="34" t="s">
        <v>842</v>
      </c>
    </row>
    <row r="16" customFormat="false" ht="32.25" hidden="false" customHeight="true" outlineLevel="0" collapsed="false">
      <c r="A16" s="12" t="s">
        <v>304</v>
      </c>
      <c r="B16" s="11" t="s">
        <v>305</v>
      </c>
      <c r="C16" s="11" t="s">
        <v>307</v>
      </c>
      <c r="D16" s="11" t="s">
        <v>207</v>
      </c>
      <c r="E16" s="21" t="n">
        <v>2</v>
      </c>
      <c r="F16" s="23"/>
      <c r="G16" s="11" t="n">
        <f aca="false">IF(F16="",E16,F16)</f>
        <v>2</v>
      </c>
      <c r="H16" s="11" t="s">
        <v>843</v>
      </c>
      <c r="I16" s="21" t="n">
        <v>2</v>
      </c>
      <c r="J16" s="23"/>
      <c r="K16" s="11" t="n">
        <f aca="false">IF(J16="",I16,J16)</f>
        <v>2</v>
      </c>
      <c r="L16" s="11" t="s">
        <v>844</v>
      </c>
      <c r="M16" s="21" t="n">
        <v>2</v>
      </c>
      <c r="N16" s="23"/>
      <c r="O16" s="11" t="n">
        <f aca="false">IF(N16="",M16,N16)</f>
        <v>2</v>
      </c>
      <c r="P16" s="11" t="s">
        <v>845</v>
      </c>
    </row>
    <row r="17" customFormat="false" ht="32.25" hidden="false" customHeight="true" outlineLevel="0" collapsed="false">
      <c r="A17" s="12" t="s">
        <v>312</v>
      </c>
      <c r="B17" s="11" t="s">
        <v>305</v>
      </c>
      <c r="C17" s="11" t="s">
        <v>307</v>
      </c>
      <c r="D17" s="11" t="s">
        <v>215</v>
      </c>
      <c r="E17" s="21" t="n">
        <v>-2</v>
      </c>
      <c r="F17" s="23"/>
      <c r="G17" s="11" t="n">
        <f aca="false">IF(F17="",E17,F17)</f>
        <v>-2</v>
      </c>
      <c r="H17" s="11" t="s">
        <v>846</v>
      </c>
      <c r="I17" s="21" t="n">
        <v>-2</v>
      </c>
      <c r="J17" s="23"/>
      <c r="K17" s="11" t="n">
        <f aca="false">IF(J17="",I17,J17)</f>
        <v>-2</v>
      </c>
      <c r="L17" s="11" t="s">
        <v>847</v>
      </c>
      <c r="M17" s="21" t="n">
        <v>-2</v>
      </c>
      <c r="N17" s="23"/>
      <c r="O17" s="11" t="n">
        <f aca="false">IF(N17="",M17,N17)</f>
        <v>-2</v>
      </c>
      <c r="P17" s="11" t="s">
        <v>848</v>
      </c>
    </row>
    <row r="18" customFormat="false" ht="32.25" hidden="false" customHeight="true" outlineLevel="0" collapsed="false">
      <c r="A18" s="12" t="s">
        <v>317</v>
      </c>
      <c r="B18" s="11" t="s">
        <v>318</v>
      </c>
      <c r="C18" s="11" t="s">
        <v>320</v>
      </c>
      <c r="D18" s="11" t="s">
        <v>207</v>
      </c>
      <c r="E18" s="21" t="n">
        <v>-1</v>
      </c>
      <c r="F18" s="23"/>
      <c r="G18" s="11" t="n">
        <f aca="false">IF(F18="",E18,F18)</f>
        <v>-1</v>
      </c>
      <c r="H18" s="11" t="s">
        <v>849</v>
      </c>
      <c r="I18" s="21" t="n">
        <v>1</v>
      </c>
      <c r="J18" s="23"/>
      <c r="K18" s="11" t="n">
        <f aca="false">IF(J18="",I18,J18)</f>
        <v>1</v>
      </c>
      <c r="L18" s="11" t="s">
        <v>850</v>
      </c>
      <c r="M18" s="21" t="n">
        <v>-1</v>
      </c>
      <c r="N18" s="23"/>
      <c r="O18" s="11" t="n">
        <f aca="false">IF(N18="",M18,N18)</f>
        <v>-1</v>
      </c>
      <c r="P18" s="11" t="s">
        <v>851</v>
      </c>
    </row>
    <row r="19" customFormat="false" ht="32.25" hidden="false" customHeight="true" outlineLevel="0" collapsed="false">
      <c r="A19" s="12" t="s">
        <v>325</v>
      </c>
      <c r="B19" s="11" t="s">
        <v>318</v>
      </c>
      <c r="C19" s="11" t="s">
        <v>320</v>
      </c>
      <c r="D19" s="11" t="s">
        <v>215</v>
      </c>
      <c r="E19" s="21" t="n">
        <v>1</v>
      </c>
      <c r="F19" s="23"/>
      <c r="G19" s="11" t="n">
        <f aca="false">IF(F19="",E19,F19)</f>
        <v>1</v>
      </c>
      <c r="H19" s="11" t="s">
        <v>852</v>
      </c>
      <c r="I19" s="33" t="n">
        <v>1</v>
      </c>
      <c r="J19" s="23"/>
      <c r="K19" s="11" t="n">
        <f aca="false">IF(J19="",I19,J19)</f>
        <v>1</v>
      </c>
      <c r="L19" s="34" t="s">
        <v>853</v>
      </c>
      <c r="M19" s="21" t="n">
        <v>1</v>
      </c>
      <c r="N19" s="23"/>
      <c r="O19" s="11" t="n">
        <f aca="false">IF(N19="",M19,N19)</f>
        <v>1</v>
      </c>
      <c r="P19" s="11" t="s">
        <v>854</v>
      </c>
    </row>
    <row r="20" customFormat="false" ht="32.25" hidden="false" customHeight="true" outlineLevel="0" collapsed="false">
      <c r="A20" s="12" t="s">
        <v>330</v>
      </c>
      <c r="B20" s="11" t="s">
        <v>331</v>
      </c>
      <c r="C20" s="11" t="s">
        <v>333</v>
      </c>
      <c r="D20" s="11" t="s">
        <v>207</v>
      </c>
      <c r="E20" s="21" t="n">
        <v>-1</v>
      </c>
      <c r="F20" s="23"/>
      <c r="G20" s="11" t="n">
        <f aca="false">IF(F20="",E20,F20)</f>
        <v>-1</v>
      </c>
      <c r="H20" s="11" t="s">
        <v>855</v>
      </c>
      <c r="I20" s="21" t="n">
        <v>-2</v>
      </c>
      <c r="J20" s="23"/>
      <c r="K20" s="11" t="n">
        <f aca="false">IF(J20="",I20,J20)</f>
        <v>-2</v>
      </c>
      <c r="L20" s="11" t="s">
        <v>856</v>
      </c>
      <c r="M20" s="21" t="n">
        <v>-2</v>
      </c>
      <c r="N20" s="23"/>
      <c r="O20" s="11" t="n">
        <f aca="false">IF(N20="",M20,N20)</f>
        <v>-2</v>
      </c>
      <c r="P20" s="11" t="s">
        <v>857</v>
      </c>
    </row>
    <row r="21" customFormat="false" ht="32.25" hidden="false" customHeight="true" outlineLevel="0" collapsed="false">
      <c r="A21" s="12" t="s">
        <v>338</v>
      </c>
      <c r="B21" s="11" t="s">
        <v>331</v>
      </c>
      <c r="C21" s="11" t="s">
        <v>333</v>
      </c>
      <c r="D21" s="11" t="s">
        <v>215</v>
      </c>
      <c r="E21" s="21" t="n">
        <v>1</v>
      </c>
      <c r="F21" s="23"/>
      <c r="G21" s="11" t="n">
        <f aca="false">IF(F21="",E21,F21)</f>
        <v>1</v>
      </c>
      <c r="H21" s="11" t="s">
        <v>858</v>
      </c>
      <c r="I21" s="21" t="n">
        <v>-1</v>
      </c>
      <c r="J21" s="23"/>
      <c r="K21" s="11" t="n">
        <f aca="false">IF(J21="",I21,J21)</f>
        <v>-1</v>
      </c>
      <c r="L21" s="11" t="s">
        <v>859</v>
      </c>
      <c r="M21" s="21" t="n">
        <v>1</v>
      </c>
      <c r="N21" s="23"/>
      <c r="O21" s="11" t="n">
        <f aca="false">IF(N21="",M21,N21)</f>
        <v>1</v>
      </c>
      <c r="P21" s="11" t="s">
        <v>860</v>
      </c>
    </row>
    <row r="22" customFormat="false" ht="32.25" hidden="false" customHeight="true" outlineLevel="0" collapsed="false">
      <c r="A22" s="12" t="s">
        <v>343</v>
      </c>
      <c r="B22" s="11" t="s">
        <v>344</v>
      </c>
      <c r="C22" s="11" t="s">
        <v>346</v>
      </c>
      <c r="D22" s="11" t="s">
        <v>207</v>
      </c>
      <c r="E22" s="21" t="n">
        <v>2</v>
      </c>
      <c r="F22" s="23"/>
      <c r="G22" s="11" t="n">
        <f aca="false">IF(F22="",E22,F22)</f>
        <v>2</v>
      </c>
      <c r="H22" s="11" t="s">
        <v>861</v>
      </c>
      <c r="I22" s="21" t="n">
        <v>2</v>
      </c>
      <c r="J22" s="23"/>
      <c r="K22" s="11" t="n">
        <f aca="false">IF(J22="",I22,J22)</f>
        <v>2</v>
      </c>
      <c r="L22" s="11" t="s">
        <v>862</v>
      </c>
      <c r="M22" s="21" t="n">
        <v>2</v>
      </c>
      <c r="N22" s="23"/>
      <c r="O22" s="11" t="n">
        <f aca="false">IF(N22="",M22,N22)</f>
        <v>2</v>
      </c>
      <c r="P22" s="11" t="s">
        <v>863</v>
      </c>
    </row>
    <row r="23" customFormat="false" ht="32.25" hidden="false" customHeight="true" outlineLevel="0" collapsed="false">
      <c r="A23" s="12" t="s">
        <v>351</v>
      </c>
      <c r="B23" s="11" t="s">
        <v>344</v>
      </c>
      <c r="C23" s="11" t="s">
        <v>346</v>
      </c>
      <c r="D23" s="11" t="s">
        <v>215</v>
      </c>
      <c r="E23" s="21" t="n">
        <v>-1</v>
      </c>
      <c r="F23" s="23"/>
      <c r="G23" s="11" t="n">
        <f aca="false">IF(F23="",E23,F23)</f>
        <v>-1</v>
      </c>
      <c r="H23" s="11" t="s">
        <v>864</v>
      </c>
      <c r="I23" s="21" t="n">
        <v>-1</v>
      </c>
      <c r="J23" s="23"/>
      <c r="K23" s="11" t="n">
        <f aca="false">IF(J23="",I23,J23)</f>
        <v>-1</v>
      </c>
      <c r="L23" s="11" t="s">
        <v>865</v>
      </c>
      <c r="M23" s="21" t="n">
        <v>-1</v>
      </c>
      <c r="N23" s="23"/>
      <c r="O23" s="11" t="n">
        <f aca="false">IF(N23="",M23,N23)</f>
        <v>-1</v>
      </c>
      <c r="P23" s="11" t="s">
        <v>866</v>
      </c>
    </row>
    <row r="24" customFormat="false" ht="32.25" hidden="false" customHeight="true" outlineLevel="0" collapsed="false">
      <c r="A24" s="12" t="s">
        <v>356</v>
      </c>
      <c r="B24" s="11" t="s">
        <v>357</v>
      </c>
      <c r="C24" s="11" t="s">
        <v>359</v>
      </c>
      <c r="D24" s="11" t="s">
        <v>207</v>
      </c>
      <c r="E24" s="21" t="n">
        <v>-1</v>
      </c>
      <c r="F24" s="23"/>
      <c r="G24" s="11" t="n">
        <f aca="false">IF(F24="",E24,F24)</f>
        <v>-1</v>
      </c>
      <c r="H24" s="11" t="s">
        <v>867</v>
      </c>
      <c r="I24" s="21" t="n">
        <v>-1</v>
      </c>
      <c r="J24" s="23"/>
      <c r="K24" s="11" t="n">
        <f aca="false">IF(J24="",I24,J24)</f>
        <v>-1</v>
      </c>
      <c r="L24" s="11" t="s">
        <v>868</v>
      </c>
      <c r="M24" s="21" t="n">
        <v>-1</v>
      </c>
      <c r="N24" s="23"/>
      <c r="O24" s="11" t="n">
        <f aca="false">IF(N24="",M24,N24)</f>
        <v>-1</v>
      </c>
      <c r="P24" s="11" t="s">
        <v>869</v>
      </c>
    </row>
    <row r="25" customFormat="false" ht="32.25" hidden="false" customHeight="true" outlineLevel="0" collapsed="false">
      <c r="A25" s="12" t="s">
        <v>364</v>
      </c>
      <c r="B25" s="11" t="s">
        <v>357</v>
      </c>
      <c r="C25" s="11" t="s">
        <v>359</v>
      </c>
      <c r="D25" s="11" t="s">
        <v>215</v>
      </c>
      <c r="E25" s="21" t="n">
        <v>-1</v>
      </c>
      <c r="F25" s="23"/>
      <c r="G25" s="11" t="n">
        <f aca="false">IF(F25="",E25,F25)</f>
        <v>-1</v>
      </c>
      <c r="H25" s="11" t="s">
        <v>870</v>
      </c>
      <c r="I25" s="21" t="n">
        <v>-1</v>
      </c>
      <c r="J25" s="23"/>
      <c r="K25" s="11" t="n">
        <f aca="false">IF(J25="",I25,J25)</f>
        <v>-1</v>
      </c>
      <c r="L25" s="11" t="s">
        <v>871</v>
      </c>
      <c r="M25" s="21" t="n">
        <v>-1</v>
      </c>
      <c r="N25" s="23"/>
      <c r="O25" s="11" t="n">
        <f aca="false">IF(N25="",M25,N25)</f>
        <v>-1</v>
      </c>
      <c r="P25" s="11" t="s">
        <v>872</v>
      </c>
    </row>
    <row r="26" customFormat="false" ht="32.25" hidden="false" customHeight="true" outlineLevel="0" collapsed="false">
      <c r="A26" s="12" t="s">
        <v>369</v>
      </c>
      <c r="B26" s="11" t="s">
        <v>370</v>
      </c>
      <c r="C26" s="11" t="s">
        <v>372</v>
      </c>
      <c r="D26" s="11" t="s">
        <v>207</v>
      </c>
      <c r="E26" s="21" t="n">
        <v>-2</v>
      </c>
      <c r="F26" s="23"/>
      <c r="G26" s="11" t="n">
        <f aca="false">IF(F26="",E26,F26)</f>
        <v>-2</v>
      </c>
      <c r="H26" s="11" t="s">
        <v>873</v>
      </c>
      <c r="I26" s="21" t="n">
        <v>-2</v>
      </c>
      <c r="J26" s="23"/>
      <c r="K26" s="11" t="n">
        <f aca="false">IF(J26="",I26,J26)</f>
        <v>-2</v>
      </c>
      <c r="L26" s="11" t="s">
        <v>874</v>
      </c>
      <c r="M26" s="21" t="n">
        <v>-2</v>
      </c>
      <c r="N26" s="23"/>
      <c r="O26" s="11" t="n">
        <f aca="false">IF(N26="",M26,N26)</f>
        <v>-2</v>
      </c>
      <c r="P26" s="11" t="s">
        <v>875</v>
      </c>
    </row>
    <row r="27" customFormat="false" ht="32.25" hidden="false" customHeight="true" outlineLevel="0" collapsed="false">
      <c r="A27" s="12" t="s">
        <v>377</v>
      </c>
      <c r="B27" s="11" t="s">
        <v>370</v>
      </c>
      <c r="C27" s="11" t="s">
        <v>372</v>
      </c>
      <c r="D27" s="11" t="s">
        <v>215</v>
      </c>
      <c r="E27" s="33" t="n">
        <v>1</v>
      </c>
      <c r="F27" s="23"/>
      <c r="G27" s="11" t="n">
        <f aca="false">IF(F27="",E27,F27)</f>
        <v>1</v>
      </c>
      <c r="H27" s="34" t="s">
        <v>876</v>
      </c>
      <c r="I27" s="33" t="n">
        <v>1</v>
      </c>
      <c r="J27" s="23"/>
      <c r="K27" s="11" t="n">
        <f aca="false">IF(J27="",I27,J27)</f>
        <v>1</v>
      </c>
      <c r="L27" s="34" t="s">
        <v>877</v>
      </c>
      <c r="M27" s="33" t="n">
        <v>1</v>
      </c>
      <c r="N27" s="23"/>
      <c r="O27" s="11" t="n">
        <f aca="false">IF(N27="",M27,N27)</f>
        <v>1</v>
      </c>
      <c r="P27" s="34" t="s">
        <v>878</v>
      </c>
    </row>
    <row r="28" customFormat="false" ht="32.25" hidden="false" customHeight="true" outlineLevel="0" collapsed="false">
      <c r="A28" s="12" t="s">
        <v>382</v>
      </c>
      <c r="B28" s="11" t="s">
        <v>383</v>
      </c>
      <c r="C28" s="11" t="s">
        <v>385</v>
      </c>
      <c r="D28" s="11" t="s">
        <v>207</v>
      </c>
      <c r="E28" s="21" t="n">
        <v>2</v>
      </c>
      <c r="F28" s="23"/>
      <c r="G28" s="11" t="n">
        <f aca="false">IF(F28="",E28,F28)</f>
        <v>2</v>
      </c>
      <c r="H28" s="11" t="s">
        <v>879</v>
      </c>
      <c r="I28" s="21" t="n">
        <v>1</v>
      </c>
      <c r="J28" s="23"/>
      <c r="K28" s="11" t="n">
        <f aca="false">IF(J28="",I28,J28)</f>
        <v>1</v>
      </c>
      <c r="L28" s="11" t="s">
        <v>880</v>
      </c>
      <c r="M28" s="21" t="n">
        <v>2</v>
      </c>
      <c r="N28" s="23"/>
      <c r="O28" s="11" t="n">
        <f aca="false">IF(N28="",M28,N28)</f>
        <v>2</v>
      </c>
      <c r="P28" s="11" t="s">
        <v>881</v>
      </c>
    </row>
    <row r="29" customFormat="false" ht="32.25" hidden="false" customHeight="true" outlineLevel="0" collapsed="false">
      <c r="A29" s="12" t="s">
        <v>391</v>
      </c>
      <c r="B29" s="11" t="s">
        <v>383</v>
      </c>
      <c r="C29" s="11" t="s">
        <v>385</v>
      </c>
      <c r="D29" s="11" t="s">
        <v>215</v>
      </c>
      <c r="E29" s="21" t="n">
        <v>-2</v>
      </c>
      <c r="F29" s="23"/>
      <c r="G29" s="11" t="n">
        <f aca="false">IF(F29="",E29,F29)</f>
        <v>-2</v>
      </c>
      <c r="H29" s="11" t="s">
        <v>882</v>
      </c>
      <c r="I29" s="33" t="n">
        <v>1</v>
      </c>
      <c r="J29" s="23"/>
      <c r="K29" s="11" t="n">
        <f aca="false">IF(J29="",I29,J29)</f>
        <v>1</v>
      </c>
      <c r="L29" s="34" t="s">
        <v>883</v>
      </c>
      <c r="M29" s="21" t="n">
        <v>-2</v>
      </c>
      <c r="N29" s="23"/>
      <c r="O29" s="11" t="n">
        <f aca="false">IF(N29="",M29,N29)</f>
        <v>-2</v>
      </c>
      <c r="P29" s="11" t="s">
        <v>884</v>
      </c>
    </row>
    <row r="30" customFormat="false" ht="32.25" hidden="false" customHeight="true" outlineLevel="0" collapsed="false">
      <c r="A30" s="12" t="s">
        <v>396</v>
      </c>
      <c r="B30" s="11" t="s">
        <v>397</v>
      </c>
      <c r="C30" s="11" t="s">
        <v>399</v>
      </c>
      <c r="D30" s="11" t="s">
        <v>207</v>
      </c>
      <c r="E30" s="21" t="n">
        <v>-1</v>
      </c>
      <c r="F30" s="23"/>
      <c r="G30" s="11" t="n">
        <f aca="false">IF(F30="",E30,F30)</f>
        <v>-1</v>
      </c>
      <c r="H30" s="11" t="s">
        <v>885</v>
      </c>
      <c r="I30" s="21" t="n">
        <v>1</v>
      </c>
      <c r="J30" s="23"/>
      <c r="K30" s="11" t="n">
        <f aca="false">IF(J30="",I30,J30)</f>
        <v>1</v>
      </c>
      <c r="L30" s="11" t="s">
        <v>886</v>
      </c>
      <c r="M30" s="21" t="n">
        <v>-1</v>
      </c>
      <c r="N30" s="23"/>
      <c r="O30" s="11" t="n">
        <f aca="false">IF(N30="",M30,N30)</f>
        <v>-1</v>
      </c>
      <c r="P30" s="11" t="s">
        <v>887</v>
      </c>
    </row>
    <row r="31" customFormat="false" ht="32.25" hidden="false" customHeight="true" outlineLevel="0" collapsed="false">
      <c r="A31" s="12" t="s">
        <v>404</v>
      </c>
      <c r="B31" s="11" t="s">
        <v>397</v>
      </c>
      <c r="C31" s="11" t="s">
        <v>399</v>
      </c>
      <c r="D31" s="11" t="s">
        <v>215</v>
      </c>
      <c r="E31" s="21" t="n">
        <v>1</v>
      </c>
      <c r="F31" s="23"/>
      <c r="G31" s="11" t="n">
        <f aca="false">IF(F31="",E31,F31)</f>
        <v>1</v>
      </c>
      <c r="H31" s="11" t="s">
        <v>888</v>
      </c>
      <c r="I31" s="21" t="n">
        <v>-1</v>
      </c>
      <c r="J31" s="23"/>
      <c r="K31" s="11" t="n">
        <f aca="false">IF(J31="",I31,J31)</f>
        <v>-1</v>
      </c>
      <c r="L31" s="11" t="s">
        <v>889</v>
      </c>
      <c r="M31" s="21" t="n">
        <v>-1</v>
      </c>
      <c r="N31" s="23"/>
      <c r="O31" s="11" t="n">
        <f aca="false">IF(N31="",M31,N31)</f>
        <v>-1</v>
      </c>
      <c r="P31" s="11" t="s">
        <v>890</v>
      </c>
    </row>
    <row r="32" customFormat="false" ht="32.25" hidden="false" customHeight="true" outlineLevel="0" collapsed="false">
      <c r="A32" s="12" t="s">
        <v>409</v>
      </c>
      <c r="B32" s="11" t="s">
        <v>410</v>
      </c>
      <c r="C32" s="11" t="s">
        <v>412</v>
      </c>
      <c r="D32" s="11" t="s">
        <v>207</v>
      </c>
      <c r="E32" s="33" t="n">
        <v>1</v>
      </c>
      <c r="F32" s="23"/>
      <c r="G32" s="11" t="n">
        <f aca="false">IF(F32="",E32,F32)</f>
        <v>1</v>
      </c>
      <c r="H32" s="34" t="s">
        <v>891</v>
      </c>
      <c r="I32" s="21" t="n">
        <v>-2</v>
      </c>
      <c r="J32" s="23"/>
      <c r="K32" s="11" t="n">
        <f aca="false">IF(J32="",I32,J32)</f>
        <v>-2</v>
      </c>
      <c r="L32" s="11" t="s">
        <v>892</v>
      </c>
      <c r="M32" s="21" t="n">
        <v>-1</v>
      </c>
      <c r="N32" s="23"/>
      <c r="O32" s="11" t="n">
        <f aca="false">IF(N32="",M32,N32)</f>
        <v>-1</v>
      </c>
      <c r="P32" s="11" t="s">
        <v>893</v>
      </c>
    </row>
    <row r="33" customFormat="false" ht="32.25" hidden="false" customHeight="true" outlineLevel="0" collapsed="false">
      <c r="A33" s="12" t="s">
        <v>417</v>
      </c>
      <c r="B33" s="11" t="s">
        <v>410</v>
      </c>
      <c r="C33" s="11" t="s">
        <v>412</v>
      </c>
      <c r="D33" s="11" t="s">
        <v>215</v>
      </c>
      <c r="E33" s="21" t="n">
        <v>2</v>
      </c>
      <c r="F33" s="23"/>
      <c r="G33" s="11" t="n">
        <f aca="false">IF(F33="",E33,F33)</f>
        <v>2</v>
      </c>
      <c r="H33" s="11" t="s">
        <v>894</v>
      </c>
      <c r="I33" s="21" t="n">
        <v>1</v>
      </c>
      <c r="J33" s="23"/>
      <c r="K33" s="11" t="n">
        <f aca="false">IF(J33="",I33,J33)</f>
        <v>1</v>
      </c>
      <c r="L33" s="11" t="s">
        <v>895</v>
      </c>
      <c r="M33" s="21" t="n">
        <v>2</v>
      </c>
      <c r="N33" s="23"/>
      <c r="O33" s="11" t="n">
        <f aca="false">IF(N33="",M33,N33)</f>
        <v>2</v>
      </c>
      <c r="P33" s="11" t="s">
        <v>896</v>
      </c>
    </row>
    <row r="34" customFormat="false" ht="32.25" hidden="false" customHeight="true" outlineLevel="0" collapsed="false">
      <c r="A34" s="12" t="s">
        <v>422</v>
      </c>
      <c r="B34" s="11" t="s">
        <v>423</v>
      </c>
      <c r="C34" s="11" t="s">
        <v>425</v>
      </c>
      <c r="D34" s="11" t="s">
        <v>207</v>
      </c>
      <c r="E34" s="21" t="n">
        <v>2</v>
      </c>
      <c r="F34" s="23"/>
      <c r="G34" s="11" t="n">
        <f aca="false">IF(F34="",E34,F34)</f>
        <v>2</v>
      </c>
      <c r="H34" s="11" t="s">
        <v>897</v>
      </c>
      <c r="I34" s="21" t="n">
        <v>-2</v>
      </c>
      <c r="J34" s="23"/>
      <c r="K34" s="11" t="n">
        <f aca="false">IF(J34="",I34,J34)</f>
        <v>-2</v>
      </c>
      <c r="L34" s="11" t="s">
        <v>898</v>
      </c>
      <c r="M34" s="21" t="n">
        <v>1</v>
      </c>
      <c r="N34" s="23"/>
      <c r="O34" s="11" t="n">
        <f aca="false">IF(N34="",M34,N34)</f>
        <v>1</v>
      </c>
      <c r="P34" s="11" t="s">
        <v>899</v>
      </c>
    </row>
    <row r="35" customFormat="false" ht="32.25" hidden="false" customHeight="true" outlineLevel="0" collapsed="false">
      <c r="A35" s="12" t="s">
        <v>430</v>
      </c>
      <c r="B35" s="11" t="s">
        <v>423</v>
      </c>
      <c r="C35" s="11" t="s">
        <v>425</v>
      </c>
      <c r="D35" s="11" t="s">
        <v>215</v>
      </c>
      <c r="E35" s="33" t="n">
        <v>1</v>
      </c>
      <c r="F35" s="23"/>
      <c r="G35" s="11" t="n">
        <f aca="false">IF(F35="",E35,F35)</f>
        <v>1</v>
      </c>
      <c r="H35" s="34" t="s">
        <v>900</v>
      </c>
      <c r="I35" s="21" t="n">
        <v>-1</v>
      </c>
      <c r="J35" s="23"/>
      <c r="K35" s="11" t="n">
        <f aca="false">IF(J35="",I35,J35)</f>
        <v>-1</v>
      </c>
      <c r="L35" s="11" t="s">
        <v>901</v>
      </c>
      <c r="M35" s="33" t="n">
        <v>1</v>
      </c>
      <c r="N35" s="23"/>
      <c r="O35" s="11" t="n">
        <f aca="false">IF(N35="",M35,N35)</f>
        <v>1</v>
      </c>
      <c r="P35" s="34" t="s">
        <v>902</v>
      </c>
    </row>
    <row r="36" customFormat="false" ht="32.25" hidden="false" customHeight="true" outlineLevel="0" collapsed="false">
      <c r="A36" s="12" t="s">
        <v>435</v>
      </c>
      <c r="B36" s="11" t="s">
        <v>436</v>
      </c>
      <c r="C36" s="11" t="s">
        <v>438</v>
      </c>
      <c r="D36" s="11" t="s">
        <v>207</v>
      </c>
      <c r="E36" s="21" t="n">
        <v>1</v>
      </c>
      <c r="F36" s="23"/>
      <c r="G36" s="11" t="n">
        <f aca="false">IF(F36="",E36,F36)</f>
        <v>1</v>
      </c>
      <c r="H36" s="11" t="s">
        <v>903</v>
      </c>
      <c r="I36" s="21" t="n">
        <v>1</v>
      </c>
      <c r="J36" s="23"/>
      <c r="K36" s="11" t="n">
        <f aca="false">IF(J36="",I36,J36)</f>
        <v>1</v>
      </c>
      <c r="L36" s="11" t="s">
        <v>904</v>
      </c>
      <c r="M36" s="21" t="n">
        <v>1</v>
      </c>
      <c r="N36" s="23"/>
      <c r="O36" s="11" t="n">
        <f aca="false">IF(N36="",M36,N36)</f>
        <v>1</v>
      </c>
      <c r="P36" s="11" t="s">
        <v>905</v>
      </c>
    </row>
    <row r="37" customFormat="false" ht="32.25" hidden="false" customHeight="true" outlineLevel="0" collapsed="false">
      <c r="A37" s="12" t="s">
        <v>443</v>
      </c>
      <c r="B37" s="11" t="s">
        <v>436</v>
      </c>
      <c r="C37" s="11" t="s">
        <v>438</v>
      </c>
      <c r="D37" s="11" t="s">
        <v>215</v>
      </c>
      <c r="E37" s="33" t="n">
        <v>1</v>
      </c>
      <c r="F37" s="23"/>
      <c r="G37" s="11" t="n">
        <f aca="false">IF(F37="",E37,F37)</f>
        <v>1</v>
      </c>
      <c r="H37" s="34" t="s">
        <v>906</v>
      </c>
      <c r="I37" s="33" t="n">
        <v>1</v>
      </c>
      <c r="J37" s="23"/>
      <c r="K37" s="11" t="n">
        <f aca="false">IF(J37="",I37,J37)</f>
        <v>1</v>
      </c>
      <c r="L37" s="34" t="s">
        <v>907</v>
      </c>
      <c r="M37" s="33" t="n">
        <v>1</v>
      </c>
      <c r="N37" s="23"/>
      <c r="O37" s="11" t="n">
        <f aca="false">IF(N37="",M37,N37)</f>
        <v>1</v>
      </c>
      <c r="P37" s="34" t="s">
        <v>908</v>
      </c>
    </row>
    <row r="38" customFormat="false" ht="32.25" hidden="false" customHeight="true" outlineLevel="0" collapsed="false">
      <c r="A38" s="12" t="s">
        <v>448</v>
      </c>
      <c r="B38" s="11" t="s">
        <v>449</v>
      </c>
      <c r="C38" s="11" t="s">
        <v>451</v>
      </c>
      <c r="D38" s="11" t="s">
        <v>207</v>
      </c>
      <c r="E38" s="21" t="n">
        <v>-2</v>
      </c>
      <c r="F38" s="23"/>
      <c r="G38" s="11" t="n">
        <f aca="false">IF(F38="",E38,F38)</f>
        <v>-2</v>
      </c>
      <c r="H38" s="11" t="s">
        <v>909</v>
      </c>
      <c r="I38" s="21" t="n">
        <v>-2</v>
      </c>
      <c r="J38" s="23"/>
      <c r="K38" s="11" t="n">
        <f aca="false">IF(J38="",I38,J38)</f>
        <v>-2</v>
      </c>
      <c r="L38" s="11" t="s">
        <v>910</v>
      </c>
      <c r="M38" s="21" t="n">
        <v>-2</v>
      </c>
      <c r="N38" s="23"/>
      <c r="O38" s="11" t="n">
        <f aca="false">IF(N38="",M38,N38)</f>
        <v>-2</v>
      </c>
      <c r="P38" s="11" t="s">
        <v>911</v>
      </c>
    </row>
    <row r="39" customFormat="false" ht="32.25" hidden="false" customHeight="true" outlineLevel="0" collapsed="false">
      <c r="A39" s="12" t="s">
        <v>456</v>
      </c>
      <c r="B39" s="11" t="s">
        <v>449</v>
      </c>
      <c r="C39" s="11" t="s">
        <v>451</v>
      </c>
      <c r="D39" s="11" t="s">
        <v>215</v>
      </c>
      <c r="E39" s="21" t="n">
        <v>1</v>
      </c>
      <c r="F39" s="23"/>
      <c r="G39" s="11" t="n">
        <f aca="false">IF(F39="",E39,F39)</f>
        <v>1</v>
      </c>
      <c r="H39" s="11" t="s">
        <v>912</v>
      </c>
      <c r="I39" s="21" t="n">
        <v>1</v>
      </c>
      <c r="J39" s="23"/>
      <c r="K39" s="11" t="n">
        <f aca="false">IF(J39="",I39,J39)</f>
        <v>1</v>
      </c>
      <c r="L39" s="11" t="s">
        <v>913</v>
      </c>
      <c r="M39" s="21" t="n">
        <v>1</v>
      </c>
      <c r="N39" s="23"/>
      <c r="O39" s="11" t="n">
        <f aca="false">IF(N39="",M39,N39)</f>
        <v>1</v>
      </c>
      <c r="P39" s="11" t="s">
        <v>914</v>
      </c>
    </row>
    <row r="40" customFormat="false" ht="32.25" hidden="false" customHeight="true" outlineLevel="0" collapsed="false">
      <c r="A40" s="12" t="s">
        <v>461</v>
      </c>
      <c r="B40" s="11" t="s">
        <v>462</v>
      </c>
      <c r="C40" s="11" t="s">
        <v>464</v>
      </c>
      <c r="D40" s="11" t="s">
        <v>207</v>
      </c>
      <c r="E40" s="21" t="n">
        <v>1</v>
      </c>
      <c r="F40" s="23"/>
      <c r="G40" s="11" t="n">
        <f aca="false">IF(F40="",E40,F40)</f>
        <v>1</v>
      </c>
      <c r="H40" s="11" t="s">
        <v>915</v>
      </c>
      <c r="I40" s="21" t="n">
        <v>2</v>
      </c>
      <c r="J40" s="23"/>
      <c r="K40" s="11" t="n">
        <f aca="false">IF(J40="",I40,J40)</f>
        <v>2</v>
      </c>
      <c r="L40" s="11" t="s">
        <v>916</v>
      </c>
      <c r="M40" s="21" t="n">
        <v>1</v>
      </c>
      <c r="N40" s="23"/>
      <c r="O40" s="11" t="n">
        <f aca="false">IF(N40="",M40,N40)</f>
        <v>1</v>
      </c>
      <c r="P40" s="11" t="s">
        <v>917</v>
      </c>
    </row>
    <row r="41" customFormat="false" ht="32.25" hidden="false" customHeight="true" outlineLevel="0" collapsed="false">
      <c r="A41" s="12" t="s">
        <v>469</v>
      </c>
      <c r="B41" s="11" t="s">
        <v>462</v>
      </c>
      <c r="C41" s="11" t="s">
        <v>464</v>
      </c>
      <c r="D41" s="11" t="s">
        <v>215</v>
      </c>
      <c r="E41" s="21" t="n">
        <v>1</v>
      </c>
      <c r="F41" s="23"/>
      <c r="G41" s="11" t="n">
        <f aca="false">IF(F41="",E41,F41)</f>
        <v>1</v>
      </c>
      <c r="H41" s="11" t="s">
        <v>918</v>
      </c>
      <c r="I41" s="33" t="n">
        <v>1</v>
      </c>
      <c r="J41" s="23"/>
      <c r="K41" s="11" t="n">
        <f aca="false">IF(J41="",I41,J41)</f>
        <v>1</v>
      </c>
      <c r="L41" s="34" t="s">
        <v>919</v>
      </c>
      <c r="M41" s="21" t="n">
        <v>1</v>
      </c>
      <c r="N41" s="23"/>
      <c r="O41" s="11" t="n">
        <f aca="false">IF(N41="",M41,N41)</f>
        <v>1</v>
      </c>
      <c r="P41" s="11" t="s">
        <v>920</v>
      </c>
    </row>
    <row r="42" customFormat="false" ht="32.25" hidden="false" customHeight="true" outlineLevel="0" collapsed="false">
      <c r="A42" s="12" t="s">
        <v>474</v>
      </c>
      <c r="B42" s="11" t="s">
        <v>475</v>
      </c>
      <c r="C42" s="11" t="s">
        <v>477</v>
      </c>
      <c r="D42" s="11" t="s">
        <v>207</v>
      </c>
      <c r="E42" s="21" t="n">
        <v>2</v>
      </c>
      <c r="F42" s="23"/>
      <c r="G42" s="11" t="n">
        <f aca="false">IF(F42="",E42,F42)</f>
        <v>2</v>
      </c>
      <c r="H42" s="11" t="s">
        <v>921</v>
      </c>
      <c r="I42" s="21" t="n">
        <v>2</v>
      </c>
      <c r="J42" s="23"/>
      <c r="K42" s="11" t="n">
        <f aca="false">IF(J42="",I42,J42)</f>
        <v>2</v>
      </c>
      <c r="L42" s="11" t="s">
        <v>922</v>
      </c>
      <c r="M42" s="21" t="n">
        <v>2</v>
      </c>
      <c r="N42" s="23"/>
      <c r="O42" s="11" t="n">
        <f aca="false">IF(N42="",M42,N42)</f>
        <v>2</v>
      </c>
      <c r="P42" s="11" t="s">
        <v>923</v>
      </c>
    </row>
    <row r="43" customFormat="false" ht="32.25" hidden="false" customHeight="true" outlineLevel="0" collapsed="false">
      <c r="A43" s="12" t="s">
        <v>482</v>
      </c>
      <c r="B43" s="11" t="s">
        <v>475</v>
      </c>
      <c r="C43" s="11" t="s">
        <v>477</v>
      </c>
      <c r="D43" s="11" t="s">
        <v>215</v>
      </c>
      <c r="E43" s="21" t="n">
        <v>-1</v>
      </c>
      <c r="F43" s="23"/>
      <c r="G43" s="11" t="n">
        <f aca="false">IF(F43="",E43,F43)</f>
        <v>-1</v>
      </c>
      <c r="H43" s="11" t="s">
        <v>924</v>
      </c>
      <c r="I43" s="21" t="n">
        <v>-1</v>
      </c>
      <c r="J43" s="23"/>
      <c r="K43" s="11" t="n">
        <f aca="false">IF(J43="",I43,J43)</f>
        <v>-1</v>
      </c>
      <c r="L43" s="11" t="s">
        <v>925</v>
      </c>
      <c r="M43" s="21" t="n">
        <v>-1</v>
      </c>
      <c r="N43" s="23"/>
      <c r="O43" s="11" t="n">
        <f aca="false">IF(N43="",M43,N43)</f>
        <v>-1</v>
      </c>
      <c r="P43" s="11" t="s">
        <v>924</v>
      </c>
    </row>
    <row r="44" customFormat="false" ht="32.25" hidden="false" customHeight="true" outlineLevel="0" collapsed="false">
      <c r="A44" s="12" t="s">
        <v>487</v>
      </c>
      <c r="B44" s="11" t="s">
        <v>488</v>
      </c>
      <c r="C44" s="11" t="s">
        <v>490</v>
      </c>
      <c r="D44" s="11" t="s">
        <v>207</v>
      </c>
      <c r="E44" s="21" t="n">
        <v>1</v>
      </c>
      <c r="F44" s="23"/>
      <c r="G44" s="11" t="n">
        <f aca="false">IF(F44="",E44,F44)</f>
        <v>1</v>
      </c>
      <c r="H44" s="11" t="s">
        <v>926</v>
      </c>
      <c r="I44" s="21" t="n">
        <v>1</v>
      </c>
      <c r="J44" s="23"/>
      <c r="K44" s="11" t="n">
        <f aca="false">IF(J44="",I44,J44)</f>
        <v>1</v>
      </c>
      <c r="L44" s="11" t="s">
        <v>927</v>
      </c>
      <c r="M44" s="21" t="n">
        <v>2</v>
      </c>
      <c r="N44" s="23"/>
      <c r="O44" s="11" t="n">
        <f aca="false">IF(N44="",M44,N44)</f>
        <v>2</v>
      </c>
      <c r="P44" s="11" t="s">
        <v>928</v>
      </c>
    </row>
    <row r="45" customFormat="false" ht="32.25" hidden="false" customHeight="true" outlineLevel="0" collapsed="false">
      <c r="A45" s="12" t="s">
        <v>495</v>
      </c>
      <c r="B45" s="11" t="s">
        <v>488</v>
      </c>
      <c r="C45" s="11" t="s">
        <v>490</v>
      </c>
      <c r="D45" s="11" t="s">
        <v>215</v>
      </c>
      <c r="E45" s="33" t="n">
        <v>1</v>
      </c>
      <c r="F45" s="23"/>
      <c r="G45" s="11" t="n">
        <f aca="false">IF(F45="",E45,F45)</f>
        <v>1</v>
      </c>
      <c r="H45" s="34" t="s">
        <v>929</v>
      </c>
      <c r="I45" s="33" t="n">
        <v>1</v>
      </c>
      <c r="J45" s="23"/>
      <c r="K45" s="11" t="n">
        <f aca="false">IF(J45="",I45,J45)</f>
        <v>1</v>
      </c>
      <c r="L45" s="34" t="s">
        <v>930</v>
      </c>
      <c r="M45" s="33" t="n">
        <v>1</v>
      </c>
      <c r="N45" s="23"/>
      <c r="O45" s="11" t="n">
        <f aca="false">IF(N45="",M45,N45)</f>
        <v>1</v>
      </c>
      <c r="P45" s="34" t="s">
        <v>931</v>
      </c>
    </row>
    <row r="47" customFormat="false" ht="16.5" hidden="false" customHeight="true" outlineLevel="0" collapsed="false">
      <c r="A47" s="35" t="s">
        <v>575</v>
      </c>
      <c r="G47" s="15" t="str">
        <f aca="false">COUNTIF(G2:G45,"&gt;0")&amp;" / "&amp;COUNTIF(G2:G45,"&lt;0")</f>
        <v>26 / 18</v>
      </c>
      <c r="K47" s="15" t="str">
        <f aca="false">COUNTIF(K2:K45,"&gt;0")&amp;" / "&amp;COUNTIF(K2:K45,"&lt;0")</f>
        <v>26 / 18</v>
      </c>
      <c r="O47" s="15" t="str">
        <f aca="false">COUNTIF(O2:O45,"&gt;0")&amp;" / "&amp;COUNTIF(O2:O45,"&lt;0")</f>
        <v>26 / 18</v>
      </c>
    </row>
    <row r="48" customFormat="false" ht="16.5" hidden="false" customHeight="true" outlineLevel="0" collapsed="false">
      <c r="A48" s="31" t="s">
        <v>577</v>
      </c>
    </row>
  </sheetData>
  <dataValidations count="1">
    <dataValidation allowBlank="true" errorStyle="stop" operator="between" showDropDown="false" showErrorMessage="false" showInputMessage="false" sqref="F2:F45 J2:J45 N2:N45" type="list">
      <formula1>"-2,-1,1,2"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7" min="4" style="0" width="8"/>
    <col collapsed="false" customWidth="true" hidden="false" outlineLevel="0" max="8" min="8" style="0" width="30"/>
    <col collapsed="false" customWidth="true" hidden="false" outlineLevel="0" max="11" min="9" style="0" width="8"/>
    <col collapsed="false" customWidth="true" hidden="false" outlineLevel="0" max="12" min="12" style="0" width="30"/>
  </cols>
  <sheetData>
    <row r="1" customFormat="false" ht="32.8" hidden="false" customHeight="false" outlineLevel="0" collapsed="false">
      <c r="A1" s="40" t="s">
        <v>186</v>
      </c>
      <c r="B1" s="40" t="s">
        <v>188</v>
      </c>
      <c r="C1" s="40" t="s">
        <v>190</v>
      </c>
      <c r="D1" s="40" t="s">
        <v>191</v>
      </c>
      <c r="E1" s="40" t="s">
        <v>932</v>
      </c>
      <c r="F1" s="40" t="s">
        <v>933</v>
      </c>
      <c r="G1" s="40" t="s">
        <v>934</v>
      </c>
      <c r="H1" s="40" t="s">
        <v>935</v>
      </c>
      <c r="I1" s="40" t="s">
        <v>936</v>
      </c>
      <c r="J1" s="40" t="s">
        <v>937</v>
      </c>
      <c r="K1" s="40" t="s">
        <v>938</v>
      </c>
      <c r="L1" s="40" t="s">
        <v>939</v>
      </c>
    </row>
    <row r="2" customFormat="false" ht="32.8" hidden="false" customHeight="false" outlineLevel="0" collapsed="false">
      <c r="A2" s="12" t="s">
        <v>203</v>
      </c>
      <c r="B2" s="14" t="s">
        <v>204</v>
      </c>
      <c r="C2" s="14" t="s">
        <v>940</v>
      </c>
      <c r="D2" s="14" t="s">
        <v>207</v>
      </c>
      <c r="E2" s="21" t="n">
        <v>2</v>
      </c>
      <c r="F2" s="23"/>
      <c r="G2" s="12" t="n">
        <f aca="false">IF(F2="",E2,F2)</f>
        <v>2</v>
      </c>
      <c r="H2" s="14" t="s">
        <v>613</v>
      </c>
      <c r="I2" s="21" t="n">
        <v>-1</v>
      </c>
      <c r="J2" s="23"/>
      <c r="K2" s="12" t="n">
        <f aca="false">IF(J2="",I2,J2)</f>
        <v>-1</v>
      </c>
      <c r="L2" s="14" t="s">
        <v>941</v>
      </c>
    </row>
    <row r="3" customFormat="false" ht="32.8" hidden="false" customHeight="false" outlineLevel="0" collapsed="false">
      <c r="A3" s="12" t="s">
        <v>214</v>
      </c>
      <c r="B3" s="14" t="s">
        <v>204</v>
      </c>
      <c r="C3" s="14" t="s">
        <v>940</v>
      </c>
      <c r="D3" s="14" t="s">
        <v>215</v>
      </c>
      <c r="E3" s="21" t="n">
        <v>1</v>
      </c>
      <c r="F3" s="23"/>
      <c r="G3" s="12" t="n">
        <f aca="false">IF(F3="",E3,F3)</f>
        <v>1</v>
      </c>
      <c r="H3" s="14" t="s">
        <v>617</v>
      </c>
      <c r="I3" s="21" t="n">
        <v>1</v>
      </c>
      <c r="J3" s="23"/>
      <c r="K3" s="12" t="n">
        <f aca="false">IF(J3="",I3,J3)</f>
        <v>1</v>
      </c>
      <c r="L3" s="14" t="s">
        <v>942</v>
      </c>
    </row>
    <row r="4" customFormat="false" ht="32.8" hidden="false" customHeight="false" outlineLevel="0" collapsed="false">
      <c r="A4" s="12" t="s">
        <v>222</v>
      </c>
      <c r="B4" s="14" t="s">
        <v>223</v>
      </c>
      <c r="C4" s="14" t="s">
        <v>943</v>
      </c>
      <c r="D4" s="14" t="s">
        <v>207</v>
      </c>
      <c r="E4" s="21" t="n">
        <v>2</v>
      </c>
      <c r="F4" s="23"/>
      <c r="G4" s="12" t="n">
        <f aca="false">IF(F4="",E4,F4)</f>
        <v>2</v>
      </c>
      <c r="H4" s="14" t="s">
        <v>621</v>
      </c>
      <c r="I4" s="21" t="n">
        <v>-1</v>
      </c>
      <c r="J4" s="23"/>
      <c r="K4" s="12" t="n">
        <f aca="false">IF(J4="",I4,J4)</f>
        <v>-1</v>
      </c>
      <c r="L4" s="14" t="s">
        <v>944</v>
      </c>
    </row>
    <row r="5" customFormat="false" ht="32.8" hidden="false" customHeight="false" outlineLevel="0" collapsed="false">
      <c r="A5" s="12" t="s">
        <v>230</v>
      </c>
      <c r="B5" s="14" t="s">
        <v>223</v>
      </c>
      <c r="C5" s="14" t="s">
        <v>943</v>
      </c>
      <c r="D5" s="14" t="s">
        <v>215</v>
      </c>
      <c r="E5" s="21" t="n">
        <v>1</v>
      </c>
      <c r="F5" s="23"/>
      <c r="G5" s="12" t="n">
        <f aca="false">IF(F5="",E5,F5)</f>
        <v>1</v>
      </c>
      <c r="H5" s="14" t="s">
        <v>625</v>
      </c>
      <c r="I5" s="21" t="n">
        <v>1</v>
      </c>
      <c r="J5" s="23"/>
      <c r="K5" s="12" t="n">
        <f aca="false">IF(J5="",I5,J5)</f>
        <v>1</v>
      </c>
      <c r="L5" s="14" t="s">
        <v>945</v>
      </c>
    </row>
    <row r="6" customFormat="false" ht="32.8" hidden="false" customHeight="false" outlineLevel="0" collapsed="false">
      <c r="A6" s="12" t="s">
        <v>236</v>
      </c>
      <c r="B6" s="14" t="s">
        <v>237</v>
      </c>
      <c r="C6" s="14" t="s">
        <v>946</v>
      </c>
      <c r="D6" s="14" t="s">
        <v>207</v>
      </c>
      <c r="E6" s="21" t="n">
        <v>-2</v>
      </c>
      <c r="F6" s="23"/>
      <c r="G6" s="12" t="n">
        <f aca="false">IF(F6="",E6,F6)</f>
        <v>-2</v>
      </c>
      <c r="H6" s="14" t="s">
        <v>629</v>
      </c>
      <c r="I6" s="21" t="n">
        <v>1</v>
      </c>
      <c r="J6" s="23"/>
      <c r="K6" s="12" t="n">
        <f aca="false">IF(J6="",I6,J6)</f>
        <v>1</v>
      </c>
      <c r="L6" s="14" t="s">
        <v>947</v>
      </c>
    </row>
    <row r="7" customFormat="false" ht="32.8" hidden="false" customHeight="false" outlineLevel="0" collapsed="false">
      <c r="A7" s="12" t="s">
        <v>245</v>
      </c>
      <c r="B7" s="14" t="s">
        <v>237</v>
      </c>
      <c r="C7" s="14" t="s">
        <v>946</v>
      </c>
      <c r="D7" s="14" t="s">
        <v>215</v>
      </c>
      <c r="E7" s="21" t="n">
        <v>1</v>
      </c>
      <c r="F7" s="23"/>
      <c r="G7" s="12" t="n">
        <f aca="false">IF(F7="",E7,F7)</f>
        <v>1</v>
      </c>
      <c r="H7" s="14" t="s">
        <v>633</v>
      </c>
      <c r="I7" s="21" t="n">
        <v>-1</v>
      </c>
      <c r="J7" s="23"/>
      <c r="K7" s="12" t="n">
        <f aca="false">IF(J7="",I7,J7)</f>
        <v>-1</v>
      </c>
      <c r="L7" s="14" t="s">
        <v>948</v>
      </c>
    </row>
    <row r="8" customFormat="false" ht="32.8" hidden="false" customHeight="false" outlineLevel="0" collapsed="false">
      <c r="A8" s="12" t="s">
        <v>251</v>
      </c>
      <c r="B8" s="14" t="s">
        <v>252</v>
      </c>
      <c r="C8" s="14" t="s">
        <v>949</v>
      </c>
      <c r="D8" s="14" t="s">
        <v>207</v>
      </c>
      <c r="E8" s="21" t="n">
        <v>1</v>
      </c>
      <c r="F8" s="23"/>
      <c r="G8" s="12" t="n">
        <f aca="false">IF(F8="",E8,F8)</f>
        <v>1</v>
      </c>
      <c r="H8" s="14" t="s">
        <v>950</v>
      </c>
      <c r="I8" s="21" t="n">
        <v>-2</v>
      </c>
      <c r="J8" s="23"/>
      <c r="K8" s="12" t="n">
        <f aca="false">IF(J8="",I8,J8)</f>
        <v>-2</v>
      </c>
      <c r="L8" s="14" t="s">
        <v>951</v>
      </c>
    </row>
    <row r="9" customFormat="false" ht="32.8" hidden="false" customHeight="false" outlineLevel="0" collapsed="false">
      <c r="A9" s="12" t="s">
        <v>260</v>
      </c>
      <c r="B9" s="14" t="s">
        <v>252</v>
      </c>
      <c r="C9" s="14" t="s">
        <v>949</v>
      </c>
      <c r="D9" s="14" t="s">
        <v>215</v>
      </c>
      <c r="E9" s="21" t="n">
        <v>-1</v>
      </c>
      <c r="F9" s="23"/>
      <c r="G9" s="12" t="n">
        <f aca="false">IF(F9="",E9,F9)</f>
        <v>-1</v>
      </c>
      <c r="H9" s="14" t="s">
        <v>952</v>
      </c>
      <c r="I9" s="21" t="n">
        <v>2</v>
      </c>
      <c r="J9" s="23"/>
      <c r="K9" s="12" t="n">
        <f aca="false">IF(J9="",I9,J9)</f>
        <v>2</v>
      </c>
      <c r="L9" s="14" t="s">
        <v>953</v>
      </c>
    </row>
    <row r="10" customFormat="false" ht="32.8" hidden="false" customHeight="false" outlineLevel="0" collapsed="false">
      <c r="A10" s="12" t="s">
        <v>265</v>
      </c>
      <c r="B10" s="14" t="s">
        <v>266</v>
      </c>
      <c r="C10" s="14" t="s">
        <v>954</v>
      </c>
      <c r="D10" s="14" t="s">
        <v>207</v>
      </c>
      <c r="E10" s="21" t="n">
        <v>1</v>
      </c>
      <c r="F10" s="23"/>
      <c r="G10" s="12" t="n">
        <f aca="false">IF(F10="",E10,F10)</f>
        <v>1</v>
      </c>
      <c r="H10" s="14" t="s">
        <v>645</v>
      </c>
      <c r="I10" s="21" t="n">
        <v>1</v>
      </c>
      <c r="J10" s="23"/>
      <c r="K10" s="12" t="n">
        <f aca="false">IF(J10="",I10,J10)</f>
        <v>1</v>
      </c>
      <c r="L10" s="14" t="s">
        <v>955</v>
      </c>
    </row>
    <row r="11" customFormat="false" ht="32.8" hidden="false" customHeight="false" outlineLevel="0" collapsed="false">
      <c r="A11" s="12" t="s">
        <v>273</v>
      </c>
      <c r="B11" s="14" t="s">
        <v>266</v>
      </c>
      <c r="C11" s="14" t="s">
        <v>954</v>
      </c>
      <c r="D11" s="14" t="s">
        <v>215</v>
      </c>
      <c r="E11" s="21" t="n">
        <v>-1</v>
      </c>
      <c r="F11" s="23"/>
      <c r="G11" s="12" t="n">
        <f aca="false">IF(F11="",E11,F11)</f>
        <v>-1</v>
      </c>
      <c r="H11" s="14" t="s">
        <v>649</v>
      </c>
      <c r="I11" s="21" t="n">
        <v>1</v>
      </c>
      <c r="J11" s="23"/>
      <c r="K11" s="12" t="n">
        <f aca="false">IF(J11="",I11,J11)</f>
        <v>1</v>
      </c>
      <c r="L11" s="14" t="s">
        <v>956</v>
      </c>
    </row>
    <row r="12" customFormat="false" ht="32.8" hidden="false" customHeight="false" outlineLevel="0" collapsed="false">
      <c r="A12" s="12" t="s">
        <v>278</v>
      </c>
      <c r="B12" s="14" t="s">
        <v>279</v>
      </c>
      <c r="C12" s="14" t="s">
        <v>957</v>
      </c>
      <c r="D12" s="14" t="s">
        <v>207</v>
      </c>
      <c r="E12" s="21" t="n">
        <v>1</v>
      </c>
      <c r="F12" s="23"/>
      <c r="G12" s="12" t="n">
        <f aca="false">IF(F12="",E12,F12)</f>
        <v>1</v>
      </c>
      <c r="H12" s="14" t="s">
        <v>653</v>
      </c>
      <c r="I12" s="21" t="n">
        <v>-2</v>
      </c>
      <c r="J12" s="23"/>
      <c r="K12" s="12" t="n">
        <f aca="false">IF(J12="",I12,J12)</f>
        <v>-2</v>
      </c>
      <c r="L12" s="14" t="s">
        <v>958</v>
      </c>
    </row>
    <row r="13" customFormat="false" ht="32.8" hidden="false" customHeight="false" outlineLevel="0" collapsed="false">
      <c r="A13" s="12" t="s">
        <v>286</v>
      </c>
      <c r="B13" s="14" t="s">
        <v>279</v>
      </c>
      <c r="C13" s="14" t="s">
        <v>957</v>
      </c>
      <c r="D13" s="14" t="s">
        <v>215</v>
      </c>
      <c r="E13" s="21" t="n">
        <v>1</v>
      </c>
      <c r="F13" s="23"/>
      <c r="G13" s="12" t="n">
        <f aca="false">IF(F13="",E13,F13)</f>
        <v>1</v>
      </c>
      <c r="H13" s="14" t="s">
        <v>657</v>
      </c>
      <c r="I13" s="21" t="n">
        <v>1</v>
      </c>
      <c r="J13" s="23"/>
      <c r="K13" s="12" t="n">
        <f aca="false">IF(J13="",I13,J13)</f>
        <v>1</v>
      </c>
      <c r="L13" s="14" t="s">
        <v>959</v>
      </c>
    </row>
    <row r="14" customFormat="false" ht="32.8" hidden="false" customHeight="false" outlineLevel="0" collapsed="false">
      <c r="A14" s="12" t="s">
        <v>291</v>
      </c>
      <c r="B14" s="14" t="s">
        <v>292</v>
      </c>
      <c r="C14" s="14" t="s">
        <v>960</v>
      </c>
      <c r="D14" s="14" t="s">
        <v>207</v>
      </c>
      <c r="E14" s="21" t="n">
        <v>2</v>
      </c>
      <c r="F14" s="23"/>
      <c r="G14" s="12" t="n">
        <f aca="false">IF(F14="",E14,F14)</f>
        <v>2</v>
      </c>
      <c r="H14" s="14" t="s">
        <v>961</v>
      </c>
      <c r="I14" s="21" t="n">
        <v>-1</v>
      </c>
      <c r="J14" s="23"/>
      <c r="K14" s="12" t="n">
        <f aca="false">IF(J14="",I14,J14)</f>
        <v>-1</v>
      </c>
      <c r="L14" s="14" t="s">
        <v>962</v>
      </c>
    </row>
    <row r="15" customFormat="false" ht="32.8" hidden="false" customHeight="false" outlineLevel="0" collapsed="false">
      <c r="A15" s="12" t="s">
        <v>299</v>
      </c>
      <c r="B15" s="14" t="s">
        <v>292</v>
      </c>
      <c r="C15" s="14" t="s">
        <v>960</v>
      </c>
      <c r="D15" s="14" t="s">
        <v>215</v>
      </c>
      <c r="E15" s="21" t="n">
        <v>1</v>
      </c>
      <c r="F15" s="23"/>
      <c r="G15" s="12" t="n">
        <f aca="false">IF(F15="",E15,F15)</f>
        <v>1</v>
      </c>
      <c r="H15" s="14" t="s">
        <v>963</v>
      </c>
      <c r="I15" s="21" t="n">
        <v>-1</v>
      </c>
      <c r="J15" s="23"/>
      <c r="K15" s="12" t="n">
        <f aca="false">IF(J15="",I15,J15)</f>
        <v>-1</v>
      </c>
      <c r="L15" s="14" t="s">
        <v>964</v>
      </c>
    </row>
    <row r="16" customFormat="false" ht="32.8" hidden="false" customHeight="false" outlineLevel="0" collapsed="false">
      <c r="A16" s="12" t="s">
        <v>304</v>
      </c>
      <c r="B16" s="14" t="s">
        <v>305</v>
      </c>
      <c r="C16" s="14" t="s">
        <v>965</v>
      </c>
      <c r="D16" s="14" t="s">
        <v>207</v>
      </c>
      <c r="E16" s="21" t="n">
        <v>2</v>
      </c>
      <c r="F16" s="23"/>
      <c r="G16" s="12" t="n">
        <f aca="false">IF(F16="",E16,F16)</f>
        <v>2</v>
      </c>
      <c r="H16" s="14" t="s">
        <v>669</v>
      </c>
      <c r="I16" s="21" t="n">
        <v>1</v>
      </c>
      <c r="J16" s="23"/>
      <c r="K16" s="12" t="n">
        <f aca="false">IF(J16="",I16,J16)</f>
        <v>1</v>
      </c>
      <c r="L16" s="14" t="s">
        <v>966</v>
      </c>
    </row>
    <row r="17" customFormat="false" ht="32.8" hidden="false" customHeight="false" outlineLevel="0" collapsed="false">
      <c r="A17" s="12" t="s">
        <v>312</v>
      </c>
      <c r="B17" s="14" t="s">
        <v>305</v>
      </c>
      <c r="C17" s="14" t="s">
        <v>965</v>
      </c>
      <c r="D17" s="14" t="s">
        <v>215</v>
      </c>
      <c r="E17" s="21" t="n">
        <v>-1</v>
      </c>
      <c r="F17" s="23"/>
      <c r="G17" s="12" t="n">
        <f aca="false">IF(F17="",E17,F17)</f>
        <v>-1</v>
      </c>
      <c r="H17" s="14" t="s">
        <v>673</v>
      </c>
      <c r="I17" s="21" t="n">
        <v>1</v>
      </c>
      <c r="J17" s="23"/>
      <c r="K17" s="12" t="n">
        <f aca="false">IF(J17="",I17,J17)</f>
        <v>1</v>
      </c>
      <c r="L17" s="14" t="s">
        <v>967</v>
      </c>
    </row>
    <row r="18" customFormat="false" ht="32.8" hidden="false" customHeight="false" outlineLevel="0" collapsed="false">
      <c r="A18" s="12" t="s">
        <v>317</v>
      </c>
      <c r="B18" s="14" t="s">
        <v>318</v>
      </c>
      <c r="C18" s="14" t="s">
        <v>968</v>
      </c>
      <c r="D18" s="14" t="s">
        <v>207</v>
      </c>
      <c r="E18" s="21" t="n">
        <v>1</v>
      </c>
      <c r="F18" s="23"/>
      <c r="G18" s="12" t="n">
        <f aca="false">IF(F18="",E18,F18)</f>
        <v>1</v>
      </c>
      <c r="H18" s="14" t="s">
        <v>677</v>
      </c>
      <c r="I18" s="21" t="n">
        <v>-2</v>
      </c>
      <c r="J18" s="23"/>
      <c r="K18" s="12" t="n">
        <f aca="false">IF(J18="",I18,J18)</f>
        <v>-2</v>
      </c>
      <c r="L18" s="14" t="s">
        <v>969</v>
      </c>
    </row>
    <row r="19" customFormat="false" ht="32.8" hidden="false" customHeight="false" outlineLevel="0" collapsed="false">
      <c r="A19" s="12" t="s">
        <v>325</v>
      </c>
      <c r="B19" s="14" t="s">
        <v>318</v>
      </c>
      <c r="C19" s="14" t="s">
        <v>968</v>
      </c>
      <c r="D19" s="14" t="s">
        <v>215</v>
      </c>
      <c r="E19" s="21" t="n">
        <v>1</v>
      </c>
      <c r="F19" s="23"/>
      <c r="G19" s="12" t="n">
        <f aca="false">IF(F19="",E19,F19)</f>
        <v>1</v>
      </c>
      <c r="H19" s="14" t="s">
        <v>681</v>
      </c>
      <c r="I19" s="21" t="n">
        <v>2</v>
      </c>
      <c r="J19" s="23"/>
      <c r="K19" s="12" t="n">
        <f aca="false">IF(J19="",I19,J19)</f>
        <v>2</v>
      </c>
      <c r="L19" s="14" t="s">
        <v>970</v>
      </c>
    </row>
    <row r="20" customFormat="false" ht="32.8" hidden="false" customHeight="false" outlineLevel="0" collapsed="false">
      <c r="A20" s="12" t="s">
        <v>330</v>
      </c>
      <c r="B20" s="14" t="s">
        <v>331</v>
      </c>
      <c r="C20" s="14" t="s">
        <v>971</v>
      </c>
      <c r="D20" s="14" t="s">
        <v>207</v>
      </c>
      <c r="E20" s="21" t="n">
        <v>-2</v>
      </c>
      <c r="F20" s="23"/>
      <c r="G20" s="12" t="n">
        <f aca="false">IF(F20="",E20,F20)</f>
        <v>-2</v>
      </c>
      <c r="H20" s="14" t="s">
        <v>685</v>
      </c>
      <c r="I20" s="21" t="n">
        <v>2</v>
      </c>
      <c r="J20" s="23"/>
      <c r="K20" s="12" t="n">
        <f aca="false">IF(J20="",I20,J20)</f>
        <v>2</v>
      </c>
      <c r="L20" s="14" t="s">
        <v>972</v>
      </c>
    </row>
    <row r="21" customFormat="false" ht="32.8" hidden="false" customHeight="false" outlineLevel="0" collapsed="false">
      <c r="A21" s="12" t="s">
        <v>338</v>
      </c>
      <c r="B21" s="14" t="s">
        <v>331</v>
      </c>
      <c r="C21" s="14" t="s">
        <v>971</v>
      </c>
      <c r="D21" s="14" t="s">
        <v>215</v>
      </c>
      <c r="E21" s="21" t="n">
        <v>1</v>
      </c>
      <c r="F21" s="23"/>
      <c r="G21" s="12" t="n">
        <f aca="false">IF(F21="",E21,F21)</f>
        <v>1</v>
      </c>
      <c r="H21" s="14" t="s">
        <v>689</v>
      </c>
      <c r="I21" s="21" t="n">
        <v>1</v>
      </c>
      <c r="J21" s="23"/>
      <c r="K21" s="12" t="n">
        <f aca="false">IF(J21="",I21,J21)</f>
        <v>1</v>
      </c>
      <c r="L21" s="14" t="s">
        <v>973</v>
      </c>
    </row>
    <row r="22" customFormat="false" ht="32.8" hidden="false" customHeight="false" outlineLevel="0" collapsed="false">
      <c r="A22" s="12" t="s">
        <v>343</v>
      </c>
      <c r="B22" s="14" t="s">
        <v>344</v>
      </c>
      <c r="C22" s="14" t="s">
        <v>974</v>
      </c>
      <c r="D22" s="14" t="s">
        <v>207</v>
      </c>
      <c r="E22" s="21" t="n">
        <v>1</v>
      </c>
      <c r="F22" s="23"/>
      <c r="G22" s="12" t="n">
        <f aca="false">IF(F22="",E22,F22)</f>
        <v>1</v>
      </c>
      <c r="H22" s="14" t="s">
        <v>693</v>
      </c>
      <c r="I22" s="21" t="n">
        <v>-1</v>
      </c>
      <c r="J22" s="23"/>
      <c r="K22" s="12" t="n">
        <f aca="false">IF(J22="",I22,J22)</f>
        <v>-1</v>
      </c>
      <c r="L22" s="14" t="s">
        <v>975</v>
      </c>
    </row>
    <row r="23" customFormat="false" ht="32.8" hidden="false" customHeight="false" outlineLevel="0" collapsed="false">
      <c r="A23" s="12" t="s">
        <v>351</v>
      </c>
      <c r="B23" s="14" t="s">
        <v>344</v>
      </c>
      <c r="C23" s="14" t="s">
        <v>974</v>
      </c>
      <c r="D23" s="14" t="s">
        <v>215</v>
      </c>
      <c r="E23" s="21" t="n">
        <v>-1</v>
      </c>
      <c r="F23" s="23"/>
      <c r="G23" s="12" t="n">
        <f aca="false">IF(F23="",E23,F23)</f>
        <v>-1</v>
      </c>
      <c r="H23" s="14" t="s">
        <v>697</v>
      </c>
      <c r="I23" s="21" t="n">
        <v>1</v>
      </c>
      <c r="J23" s="23"/>
      <c r="K23" s="12" t="n">
        <f aca="false">IF(J23="",I23,J23)</f>
        <v>1</v>
      </c>
      <c r="L23" s="14" t="s">
        <v>976</v>
      </c>
    </row>
    <row r="24" customFormat="false" ht="32.8" hidden="false" customHeight="false" outlineLevel="0" collapsed="false">
      <c r="A24" s="12" t="s">
        <v>356</v>
      </c>
      <c r="B24" s="14" t="s">
        <v>357</v>
      </c>
      <c r="C24" s="14" t="s">
        <v>977</v>
      </c>
      <c r="D24" s="14" t="s">
        <v>207</v>
      </c>
      <c r="E24" s="21" t="n">
        <v>1</v>
      </c>
      <c r="F24" s="23"/>
      <c r="G24" s="12" t="n">
        <f aca="false">IF(F24="",E24,F24)</f>
        <v>1</v>
      </c>
      <c r="H24" s="14" t="s">
        <v>978</v>
      </c>
      <c r="I24" s="21" t="n">
        <v>1</v>
      </c>
      <c r="J24" s="23"/>
      <c r="K24" s="12" t="n">
        <f aca="false">IF(J24="",I24,J24)</f>
        <v>1</v>
      </c>
      <c r="L24" s="14" t="s">
        <v>979</v>
      </c>
    </row>
    <row r="25" customFormat="false" ht="32.8" hidden="false" customHeight="false" outlineLevel="0" collapsed="false">
      <c r="A25" s="12" t="s">
        <v>364</v>
      </c>
      <c r="B25" s="14" t="s">
        <v>357</v>
      </c>
      <c r="C25" s="14" t="s">
        <v>977</v>
      </c>
      <c r="D25" s="14" t="s">
        <v>215</v>
      </c>
      <c r="E25" s="21" t="n">
        <v>-1</v>
      </c>
      <c r="F25" s="23"/>
      <c r="G25" s="12" t="n">
        <f aca="false">IF(F25="",E25,F25)</f>
        <v>-1</v>
      </c>
      <c r="H25" s="14" t="s">
        <v>705</v>
      </c>
      <c r="I25" s="21" t="n">
        <v>-1</v>
      </c>
      <c r="J25" s="23"/>
      <c r="K25" s="12" t="n">
        <f aca="false">IF(J25="",I25,J25)</f>
        <v>-1</v>
      </c>
      <c r="L25" s="14" t="s">
        <v>980</v>
      </c>
    </row>
    <row r="26" customFormat="false" ht="32.8" hidden="false" customHeight="false" outlineLevel="0" collapsed="false">
      <c r="A26" s="12" t="s">
        <v>369</v>
      </c>
      <c r="B26" s="14" t="s">
        <v>370</v>
      </c>
      <c r="C26" s="14" t="s">
        <v>981</v>
      </c>
      <c r="D26" s="14" t="s">
        <v>207</v>
      </c>
      <c r="E26" s="21" t="n">
        <v>-2</v>
      </c>
      <c r="F26" s="23"/>
      <c r="G26" s="12" t="n">
        <f aca="false">IF(F26="",E26,F26)</f>
        <v>-2</v>
      </c>
      <c r="H26" s="14" t="s">
        <v>709</v>
      </c>
      <c r="I26" s="21" t="n">
        <v>2</v>
      </c>
      <c r="J26" s="23"/>
      <c r="K26" s="12" t="n">
        <f aca="false">IF(J26="",I26,J26)</f>
        <v>2</v>
      </c>
      <c r="L26" s="14" t="s">
        <v>982</v>
      </c>
    </row>
    <row r="27" customFormat="false" ht="32.8" hidden="false" customHeight="false" outlineLevel="0" collapsed="false">
      <c r="A27" s="12" t="s">
        <v>377</v>
      </c>
      <c r="B27" s="14" t="s">
        <v>370</v>
      </c>
      <c r="C27" s="14" t="s">
        <v>981</v>
      </c>
      <c r="D27" s="14" t="s">
        <v>215</v>
      </c>
      <c r="E27" s="21" t="n">
        <v>1</v>
      </c>
      <c r="F27" s="23"/>
      <c r="G27" s="12" t="n">
        <f aca="false">IF(F27="",E27,F27)</f>
        <v>1</v>
      </c>
      <c r="H27" s="14" t="s">
        <v>713</v>
      </c>
      <c r="I27" s="21" t="n">
        <v>-1</v>
      </c>
      <c r="J27" s="23"/>
      <c r="K27" s="12" t="n">
        <f aca="false">IF(J27="",I27,J27)</f>
        <v>-1</v>
      </c>
      <c r="L27" s="14" t="s">
        <v>983</v>
      </c>
    </row>
    <row r="28" customFormat="false" ht="32.8" hidden="false" customHeight="false" outlineLevel="0" collapsed="false">
      <c r="A28" s="12" t="s">
        <v>382</v>
      </c>
      <c r="B28" s="14" t="s">
        <v>383</v>
      </c>
      <c r="C28" s="14" t="s">
        <v>984</v>
      </c>
      <c r="D28" s="14" t="s">
        <v>207</v>
      </c>
      <c r="E28" s="21" t="n">
        <v>-1</v>
      </c>
      <c r="F28" s="23"/>
      <c r="G28" s="12" t="n">
        <f aca="false">IF(F28="",E28,F28)</f>
        <v>-1</v>
      </c>
      <c r="H28" s="14" t="s">
        <v>717</v>
      </c>
      <c r="I28" s="21" t="n">
        <v>2</v>
      </c>
      <c r="J28" s="23"/>
      <c r="K28" s="12" t="n">
        <f aca="false">IF(J28="",I28,J28)</f>
        <v>2</v>
      </c>
      <c r="L28" s="14" t="s">
        <v>985</v>
      </c>
    </row>
    <row r="29" customFormat="false" ht="32.8" hidden="false" customHeight="false" outlineLevel="0" collapsed="false">
      <c r="A29" s="12" t="s">
        <v>391</v>
      </c>
      <c r="B29" s="14" t="s">
        <v>383</v>
      </c>
      <c r="C29" s="14" t="s">
        <v>984</v>
      </c>
      <c r="D29" s="14" t="s">
        <v>215</v>
      </c>
      <c r="E29" s="21" t="n">
        <v>-1</v>
      </c>
      <c r="F29" s="23"/>
      <c r="G29" s="12" t="n">
        <f aca="false">IF(F29="",E29,F29)</f>
        <v>-1</v>
      </c>
      <c r="H29" s="14" t="s">
        <v>721</v>
      </c>
      <c r="I29" s="21" t="n">
        <v>-1</v>
      </c>
      <c r="J29" s="23"/>
      <c r="K29" s="12" t="n">
        <f aca="false">IF(J29="",I29,J29)</f>
        <v>-1</v>
      </c>
      <c r="L29" s="14" t="s">
        <v>986</v>
      </c>
    </row>
    <row r="30" customFormat="false" ht="32.8" hidden="false" customHeight="false" outlineLevel="0" collapsed="false">
      <c r="A30" s="12" t="s">
        <v>396</v>
      </c>
      <c r="B30" s="14" t="s">
        <v>397</v>
      </c>
      <c r="C30" s="14" t="s">
        <v>987</v>
      </c>
      <c r="D30" s="14" t="s">
        <v>207</v>
      </c>
      <c r="E30" s="21" t="n">
        <v>1</v>
      </c>
      <c r="F30" s="23"/>
      <c r="G30" s="12" t="n">
        <f aca="false">IF(F30="",E30,F30)</f>
        <v>1</v>
      </c>
      <c r="H30" s="14" t="s">
        <v>725</v>
      </c>
      <c r="I30" s="21" t="n">
        <v>-1</v>
      </c>
      <c r="J30" s="23"/>
      <c r="K30" s="12" t="n">
        <f aca="false">IF(J30="",I30,J30)</f>
        <v>-1</v>
      </c>
      <c r="L30" s="14" t="s">
        <v>988</v>
      </c>
    </row>
    <row r="31" customFormat="false" ht="32.8" hidden="false" customHeight="false" outlineLevel="0" collapsed="false">
      <c r="A31" s="12" t="s">
        <v>404</v>
      </c>
      <c r="B31" s="14" t="s">
        <v>397</v>
      </c>
      <c r="C31" s="14" t="s">
        <v>987</v>
      </c>
      <c r="D31" s="14" t="s">
        <v>215</v>
      </c>
      <c r="E31" s="21" t="n">
        <v>-1</v>
      </c>
      <c r="F31" s="23"/>
      <c r="G31" s="12" t="n">
        <f aca="false">IF(F31="",E31,F31)</f>
        <v>-1</v>
      </c>
      <c r="H31" s="14" t="s">
        <v>989</v>
      </c>
      <c r="I31" s="21" t="n">
        <v>1</v>
      </c>
      <c r="J31" s="23"/>
      <c r="K31" s="12" t="n">
        <f aca="false">IF(J31="",I31,J31)</f>
        <v>1</v>
      </c>
      <c r="L31" s="14" t="s">
        <v>990</v>
      </c>
    </row>
    <row r="32" customFormat="false" ht="32.8" hidden="false" customHeight="false" outlineLevel="0" collapsed="false">
      <c r="A32" s="12" t="s">
        <v>409</v>
      </c>
      <c r="B32" s="14" t="s">
        <v>410</v>
      </c>
      <c r="C32" s="14" t="s">
        <v>991</v>
      </c>
      <c r="D32" s="14" t="s">
        <v>207</v>
      </c>
      <c r="E32" s="21" t="n">
        <v>-1</v>
      </c>
      <c r="F32" s="23"/>
      <c r="G32" s="12" t="n">
        <f aca="false">IF(F32="",E32,F32)</f>
        <v>-1</v>
      </c>
      <c r="H32" s="14" t="s">
        <v>992</v>
      </c>
      <c r="I32" s="21" t="n">
        <v>-1</v>
      </c>
      <c r="J32" s="23"/>
      <c r="K32" s="12" t="n">
        <f aca="false">IF(J32="",I32,J32)</f>
        <v>-1</v>
      </c>
      <c r="L32" s="14" t="s">
        <v>993</v>
      </c>
    </row>
    <row r="33" customFormat="false" ht="32.8" hidden="false" customHeight="false" outlineLevel="0" collapsed="false">
      <c r="A33" s="12" t="s">
        <v>417</v>
      </c>
      <c r="B33" s="14" t="s">
        <v>410</v>
      </c>
      <c r="C33" s="14" t="s">
        <v>991</v>
      </c>
      <c r="D33" s="14" t="s">
        <v>215</v>
      </c>
      <c r="E33" s="21" t="n">
        <v>1</v>
      </c>
      <c r="F33" s="23"/>
      <c r="G33" s="12" t="n">
        <f aca="false">IF(F33="",E33,F33)</f>
        <v>1</v>
      </c>
      <c r="H33" s="14" t="s">
        <v>994</v>
      </c>
      <c r="I33" s="21" t="n">
        <v>2</v>
      </c>
      <c r="J33" s="23"/>
      <c r="K33" s="12" t="n">
        <f aca="false">IF(J33="",I33,J33)</f>
        <v>2</v>
      </c>
      <c r="L33" s="14" t="s">
        <v>995</v>
      </c>
    </row>
    <row r="34" customFormat="false" ht="32.8" hidden="false" customHeight="false" outlineLevel="0" collapsed="false">
      <c r="A34" s="12" t="s">
        <v>422</v>
      </c>
      <c r="B34" s="14" t="s">
        <v>423</v>
      </c>
      <c r="C34" s="14" t="s">
        <v>996</v>
      </c>
      <c r="D34" s="14" t="s">
        <v>207</v>
      </c>
      <c r="E34" s="21" t="n">
        <v>-2</v>
      </c>
      <c r="F34" s="23"/>
      <c r="G34" s="12" t="n">
        <f aca="false">IF(F34="",E34,F34)</f>
        <v>-2</v>
      </c>
      <c r="H34" s="14" t="s">
        <v>741</v>
      </c>
      <c r="I34" s="21" t="n">
        <v>1</v>
      </c>
      <c r="J34" s="23"/>
      <c r="K34" s="12" t="n">
        <f aca="false">IF(J34="",I34,J34)</f>
        <v>1</v>
      </c>
      <c r="L34" s="14" t="s">
        <v>997</v>
      </c>
    </row>
    <row r="35" customFormat="false" ht="32.8" hidden="false" customHeight="false" outlineLevel="0" collapsed="false">
      <c r="A35" s="12" t="s">
        <v>430</v>
      </c>
      <c r="B35" s="14" t="s">
        <v>423</v>
      </c>
      <c r="C35" s="14" t="s">
        <v>996</v>
      </c>
      <c r="D35" s="14" t="s">
        <v>215</v>
      </c>
      <c r="E35" s="21" t="n">
        <v>-1</v>
      </c>
      <c r="F35" s="23"/>
      <c r="G35" s="12" t="n">
        <f aca="false">IF(F35="",E35,F35)</f>
        <v>-1</v>
      </c>
      <c r="H35" s="14" t="s">
        <v>745</v>
      </c>
      <c r="I35" s="21" t="n">
        <v>1</v>
      </c>
      <c r="J35" s="23"/>
      <c r="K35" s="12" t="n">
        <f aca="false">IF(J35="",I35,J35)</f>
        <v>1</v>
      </c>
      <c r="L35" s="14" t="s">
        <v>998</v>
      </c>
    </row>
    <row r="36" customFormat="false" ht="32.8" hidden="false" customHeight="false" outlineLevel="0" collapsed="false">
      <c r="A36" s="12" t="s">
        <v>435</v>
      </c>
      <c r="B36" s="14" t="s">
        <v>436</v>
      </c>
      <c r="C36" s="14" t="s">
        <v>999</v>
      </c>
      <c r="D36" s="14" t="s">
        <v>207</v>
      </c>
      <c r="E36" s="21" t="n">
        <v>2</v>
      </c>
      <c r="F36" s="23"/>
      <c r="G36" s="12" t="n">
        <f aca="false">IF(F36="",E36,F36)</f>
        <v>2</v>
      </c>
      <c r="H36" s="14" t="s">
        <v>749</v>
      </c>
      <c r="I36" s="21" t="n">
        <v>1</v>
      </c>
      <c r="J36" s="23"/>
      <c r="K36" s="12" t="n">
        <f aca="false">IF(J36="",I36,J36)</f>
        <v>1</v>
      </c>
      <c r="L36" s="14" t="s">
        <v>1000</v>
      </c>
    </row>
    <row r="37" customFormat="false" ht="32.8" hidden="false" customHeight="false" outlineLevel="0" collapsed="false">
      <c r="A37" s="12" t="s">
        <v>443</v>
      </c>
      <c r="B37" s="14" t="s">
        <v>436</v>
      </c>
      <c r="C37" s="14" t="s">
        <v>999</v>
      </c>
      <c r="D37" s="14" t="s">
        <v>215</v>
      </c>
      <c r="E37" s="21" t="n">
        <v>-1</v>
      </c>
      <c r="F37" s="23"/>
      <c r="G37" s="12" t="n">
        <f aca="false">IF(F37="",E37,F37)</f>
        <v>-1</v>
      </c>
      <c r="H37" s="14" t="s">
        <v>753</v>
      </c>
      <c r="I37" s="21" t="n">
        <v>1</v>
      </c>
      <c r="J37" s="23"/>
      <c r="K37" s="12" t="n">
        <f aca="false">IF(J37="",I37,J37)</f>
        <v>1</v>
      </c>
      <c r="L37" s="14" t="s">
        <v>1001</v>
      </c>
    </row>
    <row r="38" customFormat="false" ht="32.8" hidden="false" customHeight="false" outlineLevel="0" collapsed="false">
      <c r="A38" s="12" t="s">
        <v>448</v>
      </c>
      <c r="B38" s="14" t="s">
        <v>449</v>
      </c>
      <c r="C38" s="14" t="s">
        <v>1002</v>
      </c>
      <c r="D38" s="14" t="s">
        <v>207</v>
      </c>
      <c r="E38" s="21" t="n">
        <v>-2</v>
      </c>
      <c r="F38" s="23"/>
      <c r="G38" s="12" t="n">
        <f aca="false">IF(F38="",E38,F38)</f>
        <v>-2</v>
      </c>
      <c r="H38" s="14" t="s">
        <v>757</v>
      </c>
      <c r="I38" s="21" t="n">
        <v>-1</v>
      </c>
      <c r="J38" s="23"/>
      <c r="K38" s="12" t="n">
        <f aca="false">IF(J38="",I38,J38)</f>
        <v>-1</v>
      </c>
      <c r="L38" s="14" t="s">
        <v>1003</v>
      </c>
    </row>
    <row r="39" customFormat="false" ht="32.8" hidden="false" customHeight="false" outlineLevel="0" collapsed="false">
      <c r="A39" s="12" t="s">
        <v>456</v>
      </c>
      <c r="B39" s="14" t="s">
        <v>449</v>
      </c>
      <c r="C39" s="14" t="s">
        <v>1002</v>
      </c>
      <c r="D39" s="14" t="s">
        <v>215</v>
      </c>
      <c r="E39" s="21" t="n">
        <v>1</v>
      </c>
      <c r="F39" s="23"/>
      <c r="G39" s="12" t="n">
        <f aca="false">IF(F39="",E39,F39)</f>
        <v>1</v>
      </c>
      <c r="H39" s="14" t="s">
        <v>761</v>
      </c>
      <c r="I39" s="21" t="n">
        <v>1</v>
      </c>
      <c r="J39" s="23"/>
      <c r="K39" s="12" t="n">
        <f aca="false">IF(J39="",I39,J39)</f>
        <v>1</v>
      </c>
      <c r="L39" s="14" t="s">
        <v>1004</v>
      </c>
    </row>
    <row r="40" customFormat="false" ht="32.8" hidden="false" customHeight="false" outlineLevel="0" collapsed="false">
      <c r="A40" s="12" t="s">
        <v>461</v>
      </c>
      <c r="B40" s="14" t="s">
        <v>462</v>
      </c>
      <c r="C40" s="14" t="s">
        <v>1005</v>
      </c>
      <c r="D40" s="14" t="s">
        <v>207</v>
      </c>
      <c r="E40" s="21" t="n">
        <v>2</v>
      </c>
      <c r="F40" s="23"/>
      <c r="G40" s="12" t="n">
        <f aca="false">IF(F40="",E40,F40)</f>
        <v>2</v>
      </c>
      <c r="H40" s="14" t="s">
        <v>765</v>
      </c>
      <c r="I40" s="21" t="n">
        <v>-1</v>
      </c>
      <c r="J40" s="23"/>
      <c r="K40" s="12" t="n">
        <f aca="false">IF(J40="",I40,J40)</f>
        <v>-1</v>
      </c>
      <c r="L40" s="14" t="s">
        <v>1006</v>
      </c>
    </row>
    <row r="41" customFormat="false" ht="32.8" hidden="false" customHeight="false" outlineLevel="0" collapsed="false">
      <c r="A41" s="12" t="s">
        <v>469</v>
      </c>
      <c r="B41" s="14" t="s">
        <v>462</v>
      </c>
      <c r="C41" s="14" t="s">
        <v>1005</v>
      </c>
      <c r="D41" s="14" t="s">
        <v>215</v>
      </c>
      <c r="E41" s="21" t="n">
        <v>1</v>
      </c>
      <c r="F41" s="23"/>
      <c r="G41" s="12" t="n">
        <f aca="false">IF(F41="",E41,F41)</f>
        <v>1</v>
      </c>
      <c r="H41" s="14" t="s">
        <v>769</v>
      </c>
      <c r="I41" s="21" t="n">
        <v>1</v>
      </c>
      <c r="J41" s="23"/>
      <c r="K41" s="12" t="n">
        <f aca="false">IF(J41="",I41,J41)</f>
        <v>1</v>
      </c>
      <c r="L41" s="14" t="s">
        <v>1007</v>
      </c>
    </row>
    <row r="42" customFormat="false" ht="32.8" hidden="false" customHeight="false" outlineLevel="0" collapsed="false">
      <c r="A42" s="12" t="s">
        <v>474</v>
      </c>
      <c r="B42" s="14" t="s">
        <v>475</v>
      </c>
      <c r="C42" s="14" t="s">
        <v>1008</v>
      </c>
      <c r="D42" s="14" t="s">
        <v>207</v>
      </c>
      <c r="E42" s="21" t="n">
        <v>2</v>
      </c>
      <c r="F42" s="23"/>
      <c r="G42" s="12" t="n">
        <f aca="false">IF(F42="",E42,F42)</f>
        <v>2</v>
      </c>
      <c r="H42" s="14" t="s">
        <v>773</v>
      </c>
      <c r="I42" s="21" t="n">
        <v>1</v>
      </c>
      <c r="J42" s="23"/>
      <c r="K42" s="12" t="n">
        <f aca="false">IF(J42="",I42,J42)</f>
        <v>1</v>
      </c>
      <c r="L42" s="14" t="s">
        <v>1009</v>
      </c>
    </row>
    <row r="43" customFormat="false" ht="32.8" hidden="false" customHeight="false" outlineLevel="0" collapsed="false">
      <c r="A43" s="12" t="s">
        <v>482</v>
      </c>
      <c r="B43" s="14" t="s">
        <v>475</v>
      </c>
      <c r="C43" s="14" t="s">
        <v>1008</v>
      </c>
      <c r="D43" s="14" t="s">
        <v>215</v>
      </c>
      <c r="E43" s="21" t="n">
        <v>-1</v>
      </c>
      <c r="F43" s="23"/>
      <c r="G43" s="12" t="n">
        <f aca="false">IF(F43="",E43,F43)</f>
        <v>-1</v>
      </c>
      <c r="H43" s="14" t="s">
        <v>777</v>
      </c>
      <c r="I43" s="21" t="n">
        <v>-1</v>
      </c>
      <c r="J43" s="23"/>
      <c r="K43" s="12" t="n">
        <f aca="false">IF(J43="",I43,J43)</f>
        <v>-1</v>
      </c>
      <c r="L43" s="14" t="s">
        <v>1010</v>
      </c>
    </row>
    <row r="44" customFormat="false" ht="32.8" hidden="false" customHeight="false" outlineLevel="0" collapsed="false">
      <c r="A44" s="12" t="s">
        <v>487</v>
      </c>
      <c r="B44" s="14" t="s">
        <v>488</v>
      </c>
      <c r="C44" s="14" t="s">
        <v>1011</v>
      </c>
      <c r="D44" s="14" t="s">
        <v>207</v>
      </c>
      <c r="E44" s="21" t="n">
        <v>1</v>
      </c>
      <c r="F44" s="23"/>
      <c r="G44" s="12" t="n">
        <f aca="false">IF(F44="",E44,F44)</f>
        <v>1</v>
      </c>
      <c r="H44" s="14" t="s">
        <v>1012</v>
      </c>
      <c r="I44" s="21" t="n">
        <v>1</v>
      </c>
      <c r="J44" s="23"/>
      <c r="K44" s="12" t="n">
        <f aca="false">IF(J44="",I44,J44)</f>
        <v>1</v>
      </c>
      <c r="L44" s="14" t="s">
        <v>1013</v>
      </c>
    </row>
    <row r="45" customFormat="false" ht="32.8" hidden="false" customHeight="false" outlineLevel="0" collapsed="false">
      <c r="A45" s="12" t="s">
        <v>495</v>
      </c>
      <c r="B45" s="14" t="s">
        <v>488</v>
      </c>
      <c r="C45" s="14" t="s">
        <v>1011</v>
      </c>
      <c r="D45" s="14" t="s">
        <v>215</v>
      </c>
      <c r="E45" s="21" t="n">
        <v>-1</v>
      </c>
      <c r="F45" s="23"/>
      <c r="G45" s="12" t="n">
        <f aca="false">IF(F45="",E45,F45)</f>
        <v>-1</v>
      </c>
      <c r="H45" s="14" t="s">
        <v>785</v>
      </c>
      <c r="I45" s="21" t="n">
        <v>-1</v>
      </c>
      <c r="J45" s="23"/>
      <c r="K45" s="12" t="n">
        <f aca="false">IF(J45="",I45,J45)</f>
        <v>-1</v>
      </c>
      <c r="L45" s="14" t="s">
        <v>1014</v>
      </c>
    </row>
    <row r="47" customFormat="false" ht="17.15" hidden="false" customHeight="false" outlineLevel="0" collapsed="false">
      <c r="A47" s="41" t="s">
        <v>575</v>
      </c>
      <c r="G47" s="41" t="str">
        <f aca="false">COUNTIF(G2:G45,"&gt;0")&amp;" / "&amp;COUNTIF(G2:G45,"&lt;0")</f>
        <v>26 / 18</v>
      </c>
      <c r="K47" s="41" t="str">
        <f aca="false">COUNTIF(K2:K45,"&gt;0")&amp;" / "&amp;COUNTIF(K2:K45,"&lt;0")</f>
        <v>26 / 18</v>
      </c>
    </row>
    <row r="48" customFormat="false" ht="17.15" hidden="false" customHeight="false" outlineLevel="0" collapsed="false">
      <c r="A48" s="42" t="s">
        <v>1015</v>
      </c>
    </row>
  </sheetData>
  <dataValidations count="1">
    <dataValidation allowBlank="true" errorStyle="stop" operator="between" showDropDown="false" showErrorMessage="false" showInputMessage="false" sqref="F2:F45 J2:J45" type="list">
      <formula1>"-2,-1,1,2"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8"/>
    <col collapsed="false" customWidth="true" hidden="false" outlineLevel="0" max="3" min="3" style="1" width="16"/>
    <col collapsed="false" customWidth="true" hidden="false" outlineLevel="0" max="4" min="4" style="1" width="5"/>
    <col collapsed="false" customWidth="true" hidden="false" outlineLevel="0" max="5" min="5" style="1" width="34"/>
    <col collapsed="false" customWidth="true" hidden="false" outlineLevel="0" max="6" min="6" style="1" width="5"/>
    <col collapsed="false" customWidth="true" hidden="false" outlineLevel="0" max="7" min="7" style="1" width="34"/>
    <col collapsed="false" customWidth="true" hidden="false" outlineLevel="0" max="8" min="8" style="1" width="40"/>
    <col collapsed="false" customWidth="true" hidden="false" outlineLevel="0" max="9" min="9" style="1" width="14"/>
  </cols>
  <sheetData>
    <row r="1" customFormat="false" ht="18.75" hidden="false" customHeight="true" outlineLevel="0" collapsed="false">
      <c r="A1" s="43" t="s">
        <v>1016</v>
      </c>
    </row>
    <row r="3" customFormat="false" ht="32.25" hidden="false" customHeight="true" outlineLevel="0" collapsed="false">
      <c r="A3" s="9" t="s">
        <v>15</v>
      </c>
      <c r="B3" s="9" t="s">
        <v>186</v>
      </c>
      <c r="C3" s="9" t="s">
        <v>514</v>
      </c>
      <c r="D3" s="9" t="s">
        <v>1017</v>
      </c>
      <c r="E3" s="9" t="s">
        <v>1018</v>
      </c>
      <c r="F3" s="9" t="s">
        <v>1019</v>
      </c>
      <c r="G3" s="9" t="s">
        <v>1020</v>
      </c>
      <c r="H3" s="9" t="s">
        <v>1021</v>
      </c>
      <c r="I3" s="9" t="s">
        <v>1022</v>
      </c>
    </row>
    <row r="4" customFormat="false" ht="32.25" hidden="false" customHeight="true" outlineLevel="0" collapsed="false">
      <c r="A4" s="11" t="s">
        <v>1023</v>
      </c>
      <c r="B4" s="12" t="s">
        <v>203</v>
      </c>
      <c r="C4" s="11" t="s">
        <v>1024</v>
      </c>
      <c r="D4" s="11" t="n">
        <v>-1</v>
      </c>
      <c r="E4" s="11" t="s">
        <v>1025</v>
      </c>
      <c r="F4" s="11" t="n">
        <v>1</v>
      </c>
      <c r="G4" s="11" t="s">
        <v>531</v>
      </c>
      <c r="H4" s="11" t="s">
        <v>1026</v>
      </c>
      <c r="I4" s="23"/>
    </row>
    <row r="5" customFormat="false" ht="32.25" hidden="false" customHeight="true" outlineLevel="0" collapsed="false">
      <c r="A5" s="11" t="s">
        <v>1023</v>
      </c>
      <c r="B5" s="12" t="s">
        <v>230</v>
      </c>
      <c r="C5" s="11" t="s">
        <v>1027</v>
      </c>
      <c r="D5" s="11" t="n">
        <v>-1</v>
      </c>
      <c r="E5" s="11" t="s">
        <v>1028</v>
      </c>
      <c r="F5" s="11" t="n">
        <v>1</v>
      </c>
      <c r="G5" s="11" t="s">
        <v>534</v>
      </c>
      <c r="H5" s="11" t="s">
        <v>1029</v>
      </c>
      <c r="I5" s="23"/>
    </row>
    <row r="6" customFormat="false" ht="32.25" hidden="false" customHeight="true" outlineLevel="0" collapsed="false">
      <c r="A6" s="11" t="s">
        <v>1023</v>
      </c>
      <c r="B6" s="12" t="s">
        <v>273</v>
      </c>
      <c r="C6" s="11" t="s">
        <v>1030</v>
      </c>
      <c r="D6" s="11" t="n">
        <v>-1</v>
      </c>
      <c r="E6" s="11" t="s">
        <v>1031</v>
      </c>
      <c r="F6" s="11" t="n">
        <v>1</v>
      </c>
      <c r="G6" s="11" t="s">
        <v>540</v>
      </c>
      <c r="H6" s="11" t="s">
        <v>1032</v>
      </c>
      <c r="I6" s="23"/>
    </row>
    <row r="7" customFormat="false" ht="32.25" hidden="false" customHeight="true" outlineLevel="0" collapsed="false">
      <c r="A7" s="11" t="s">
        <v>1023</v>
      </c>
      <c r="B7" s="12" t="s">
        <v>286</v>
      </c>
      <c r="C7" s="11" t="s">
        <v>1033</v>
      </c>
      <c r="D7" s="11" t="n">
        <v>-1</v>
      </c>
      <c r="E7" s="11" t="s">
        <v>1034</v>
      </c>
      <c r="F7" s="11" t="n">
        <v>1</v>
      </c>
      <c r="G7" s="11" t="s">
        <v>542</v>
      </c>
      <c r="H7" s="11" t="s">
        <v>1035</v>
      </c>
      <c r="I7" s="23"/>
    </row>
    <row r="8" customFormat="false" ht="32.25" hidden="false" customHeight="true" outlineLevel="0" collapsed="false">
      <c r="A8" s="11" t="s">
        <v>1023</v>
      </c>
      <c r="B8" s="12" t="s">
        <v>325</v>
      </c>
      <c r="C8" s="11" t="s">
        <v>1036</v>
      </c>
      <c r="D8" s="11" t="n">
        <v>-1</v>
      </c>
      <c r="E8" s="11" t="s">
        <v>1037</v>
      </c>
      <c r="F8" s="11" t="n">
        <v>1</v>
      </c>
      <c r="G8" s="11" t="s">
        <v>548</v>
      </c>
      <c r="H8" s="11" t="s">
        <v>1038</v>
      </c>
      <c r="I8" s="23"/>
    </row>
    <row r="9" customFormat="false" ht="32.25" hidden="false" customHeight="true" outlineLevel="0" collapsed="false">
      <c r="A9" s="11" t="s">
        <v>1023</v>
      </c>
      <c r="B9" s="12" t="s">
        <v>404</v>
      </c>
      <c r="C9" s="11" t="s">
        <v>1039</v>
      </c>
      <c r="D9" s="11" t="n">
        <v>-1</v>
      </c>
      <c r="E9" s="11" t="s">
        <v>1040</v>
      </c>
      <c r="F9" s="11" t="n">
        <v>1</v>
      </c>
      <c r="G9" s="11" t="s">
        <v>560</v>
      </c>
      <c r="H9" s="11" t="s">
        <v>1041</v>
      </c>
      <c r="I9" s="23"/>
    </row>
    <row r="10" customFormat="false" ht="32.25" hidden="false" customHeight="true" outlineLevel="0" collapsed="false">
      <c r="A10" s="11" t="s">
        <v>1023</v>
      </c>
      <c r="B10" s="12" t="s">
        <v>430</v>
      </c>
      <c r="C10" s="11" t="s">
        <v>1042</v>
      </c>
      <c r="D10" s="11" t="n">
        <v>-1</v>
      </c>
      <c r="E10" s="11" t="s">
        <v>1043</v>
      </c>
      <c r="F10" s="11" t="n">
        <v>1</v>
      </c>
      <c r="G10" s="11" t="s">
        <v>564</v>
      </c>
      <c r="H10" s="11" t="s">
        <v>1044</v>
      </c>
      <c r="I10" s="23"/>
    </row>
    <row r="11" customFormat="false" ht="32.25" hidden="false" customHeight="true" outlineLevel="0" collapsed="false">
      <c r="A11" s="11" t="s">
        <v>1023</v>
      </c>
      <c r="B11" s="12" t="s">
        <v>487</v>
      </c>
      <c r="C11" s="11" t="s">
        <v>1045</v>
      </c>
      <c r="D11" s="11" t="n">
        <v>-1</v>
      </c>
      <c r="E11" s="11" t="s">
        <v>1046</v>
      </c>
      <c r="F11" s="11" t="n">
        <v>1</v>
      </c>
      <c r="G11" s="11" t="s">
        <v>573</v>
      </c>
      <c r="H11" s="11" t="s">
        <v>1047</v>
      </c>
      <c r="I11" s="23"/>
    </row>
    <row r="12" customFormat="false" ht="32.25" hidden="false" customHeight="true" outlineLevel="0" collapsed="false">
      <c r="A12" s="11" t="s">
        <v>1048</v>
      </c>
      <c r="B12" s="12" t="s">
        <v>214</v>
      </c>
      <c r="C12" s="11" t="s">
        <v>1049</v>
      </c>
      <c r="D12" s="11" t="n">
        <v>-1</v>
      </c>
      <c r="E12" s="11" t="s">
        <v>1050</v>
      </c>
      <c r="F12" s="11" t="n">
        <v>1</v>
      </c>
      <c r="G12" s="11" t="s">
        <v>617</v>
      </c>
      <c r="H12" s="11" t="s">
        <v>1051</v>
      </c>
      <c r="I12" s="23"/>
    </row>
    <row r="13" customFormat="false" ht="32.25" hidden="false" customHeight="true" outlineLevel="0" collapsed="false">
      <c r="A13" s="11" t="s">
        <v>1048</v>
      </c>
      <c r="B13" s="12" t="s">
        <v>230</v>
      </c>
      <c r="C13" s="11" t="s">
        <v>1027</v>
      </c>
      <c r="D13" s="11" t="n">
        <v>-1</v>
      </c>
      <c r="E13" s="11" t="s">
        <v>1052</v>
      </c>
      <c r="F13" s="11" t="n">
        <v>1</v>
      </c>
      <c r="G13" s="11" t="s">
        <v>625</v>
      </c>
      <c r="H13" s="11" t="s">
        <v>1053</v>
      </c>
      <c r="I13" s="23"/>
    </row>
    <row r="14" customFormat="false" ht="32.25" hidden="false" customHeight="true" outlineLevel="0" collapsed="false">
      <c r="A14" s="11" t="s">
        <v>1048</v>
      </c>
      <c r="B14" s="12" t="s">
        <v>278</v>
      </c>
      <c r="C14" s="11" t="s">
        <v>1054</v>
      </c>
      <c r="D14" s="11" t="n">
        <v>-1</v>
      </c>
      <c r="E14" s="11" t="s">
        <v>1055</v>
      </c>
      <c r="F14" s="11" t="n">
        <v>1</v>
      </c>
      <c r="G14" s="11" t="s">
        <v>653</v>
      </c>
      <c r="H14" s="11" t="s">
        <v>1056</v>
      </c>
      <c r="I14" s="23"/>
    </row>
    <row r="15" customFormat="false" ht="32.25" hidden="false" customHeight="true" outlineLevel="0" collapsed="false">
      <c r="A15" s="11" t="s">
        <v>1048</v>
      </c>
      <c r="B15" s="12" t="s">
        <v>299</v>
      </c>
      <c r="C15" s="11" t="s">
        <v>1057</v>
      </c>
      <c r="D15" s="11" t="n">
        <v>-1</v>
      </c>
      <c r="E15" s="11" t="s">
        <v>1058</v>
      </c>
      <c r="F15" s="11" t="n">
        <v>1</v>
      </c>
      <c r="G15" s="11" t="s">
        <v>665</v>
      </c>
      <c r="H15" s="11" t="s">
        <v>1059</v>
      </c>
      <c r="I15" s="23"/>
    </row>
    <row r="16" customFormat="false" ht="32.25" hidden="false" customHeight="true" outlineLevel="0" collapsed="false">
      <c r="A16" s="11" t="s">
        <v>1048</v>
      </c>
      <c r="B16" s="12" t="s">
        <v>325</v>
      </c>
      <c r="C16" s="11" t="s">
        <v>1036</v>
      </c>
      <c r="D16" s="11" t="n">
        <v>-1</v>
      </c>
      <c r="E16" s="11" t="s">
        <v>1060</v>
      </c>
      <c r="F16" s="11" t="n">
        <v>1</v>
      </c>
      <c r="G16" s="11" t="s">
        <v>681</v>
      </c>
      <c r="H16" s="11" t="s">
        <v>1061</v>
      </c>
      <c r="I16" s="23"/>
    </row>
    <row r="17" customFormat="false" ht="32.25" hidden="false" customHeight="true" outlineLevel="0" collapsed="false">
      <c r="A17" s="11" t="s">
        <v>1048</v>
      </c>
      <c r="B17" s="12" t="s">
        <v>404</v>
      </c>
      <c r="C17" s="11" t="s">
        <v>1039</v>
      </c>
      <c r="D17" s="11" t="n">
        <v>-1</v>
      </c>
      <c r="E17" s="11" t="s">
        <v>1062</v>
      </c>
      <c r="F17" s="11" t="n">
        <v>1</v>
      </c>
      <c r="G17" s="11" t="s">
        <v>729</v>
      </c>
      <c r="H17" s="11" t="s">
        <v>1063</v>
      </c>
      <c r="I17" s="23"/>
    </row>
    <row r="18" customFormat="false" ht="32.25" hidden="false" customHeight="true" outlineLevel="0" collapsed="false">
      <c r="A18" s="11" t="s">
        <v>1064</v>
      </c>
      <c r="B18" s="12" t="s">
        <v>214</v>
      </c>
      <c r="C18" s="11" t="s">
        <v>1049</v>
      </c>
      <c r="D18" s="11" t="n">
        <v>-1</v>
      </c>
      <c r="E18" s="11" t="s">
        <v>1065</v>
      </c>
      <c r="F18" s="11" t="n">
        <v>1</v>
      </c>
      <c r="G18" s="11" t="s">
        <v>618</v>
      </c>
      <c r="H18" s="11" t="s">
        <v>1066</v>
      </c>
      <c r="I18" s="23"/>
    </row>
    <row r="19" customFormat="false" ht="32.25" hidden="false" customHeight="true" outlineLevel="0" collapsed="false">
      <c r="A19" s="11" t="s">
        <v>1064</v>
      </c>
      <c r="B19" s="12" t="s">
        <v>325</v>
      </c>
      <c r="C19" s="11" t="s">
        <v>1036</v>
      </c>
      <c r="D19" s="11" t="n">
        <v>-1</v>
      </c>
      <c r="E19" s="11" t="s">
        <v>1067</v>
      </c>
      <c r="F19" s="11" t="n">
        <v>1</v>
      </c>
      <c r="G19" s="11" t="s">
        <v>682</v>
      </c>
      <c r="H19" s="11" t="s">
        <v>1068</v>
      </c>
      <c r="I19" s="23"/>
    </row>
    <row r="20" customFormat="false" ht="32.25" hidden="false" customHeight="true" outlineLevel="0" collapsed="false">
      <c r="A20" s="11" t="s">
        <v>1064</v>
      </c>
      <c r="B20" s="12" t="s">
        <v>351</v>
      </c>
      <c r="C20" s="11" t="s">
        <v>1069</v>
      </c>
      <c r="D20" s="11" t="n">
        <v>-1</v>
      </c>
      <c r="E20" s="11" t="s">
        <v>1070</v>
      </c>
      <c r="F20" s="11" t="n">
        <v>1</v>
      </c>
      <c r="G20" s="11" t="s">
        <v>698</v>
      </c>
      <c r="H20" s="11" t="s">
        <v>1071</v>
      </c>
      <c r="I20" s="23"/>
    </row>
    <row r="21" customFormat="false" ht="32.25" hidden="false" customHeight="true" outlineLevel="0" collapsed="false">
      <c r="A21" s="11" t="s">
        <v>1064</v>
      </c>
      <c r="B21" s="12" t="s">
        <v>382</v>
      </c>
      <c r="C21" s="11" t="s">
        <v>1072</v>
      </c>
      <c r="D21" s="11" t="n">
        <v>-1</v>
      </c>
      <c r="E21" s="11" t="s">
        <v>1073</v>
      </c>
      <c r="F21" s="11" t="n">
        <v>1</v>
      </c>
      <c r="G21" s="11" t="s">
        <v>718</v>
      </c>
      <c r="H21" s="11" t="s">
        <v>1074</v>
      </c>
      <c r="I21" s="23"/>
    </row>
    <row r="22" customFormat="false" ht="32.25" hidden="false" customHeight="true" outlineLevel="0" collapsed="false">
      <c r="A22" s="11" t="s">
        <v>1064</v>
      </c>
      <c r="B22" s="12" t="s">
        <v>404</v>
      </c>
      <c r="C22" s="11" t="s">
        <v>1039</v>
      </c>
      <c r="D22" s="11" t="n">
        <v>-1</v>
      </c>
      <c r="E22" s="11" t="s">
        <v>1075</v>
      </c>
      <c r="F22" s="11" t="n">
        <v>1</v>
      </c>
      <c r="G22" s="11" t="s">
        <v>730</v>
      </c>
      <c r="H22" s="11" t="s">
        <v>1076</v>
      </c>
      <c r="I22" s="23"/>
    </row>
    <row r="23" customFormat="false" ht="32.25" hidden="false" customHeight="true" outlineLevel="0" collapsed="false">
      <c r="A23" s="11" t="s">
        <v>1064</v>
      </c>
      <c r="B23" s="12" t="s">
        <v>495</v>
      </c>
      <c r="C23" s="11" t="s">
        <v>1077</v>
      </c>
      <c r="D23" s="11" t="n">
        <v>-1</v>
      </c>
      <c r="E23" s="11" t="s">
        <v>1078</v>
      </c>
      <c r="F23" s="11" t="n">
        <v>1</v>
      </c>
      <c r="G23" s="11" t="s">
        <v>786</v>
      </c>
      <c r="H23" s="11" t="s">
        <v>1079</v>
      </c>
      <c r="I23" s="23"/>
    </row>
    <row r="24" customFormat="false" ht="32.25" hidden="false" customHeight="true" outlineLevel="0" collapsed="false">
      <c r="A24" s="11" t="s">
        <v>1080</v>
      </c>
      <c r="B24" s="12" t="s">
        <v>260</v>
      </c>
      <c r="C24" s="11" t="s">
        <v>1081</v>
      </c>
      <c r="D24" s="11" t="n">
        <v>-1</v>
      </c>
      <c r="E24" s="11" t="s">
        <v>1082</v>
      </c>
      <c r="F24" s="11" t="n">
        <v>1</v>
      </c>
      <c r="G24" s="11" t="s">
        <v>643</v>
      </c>
      <c r="H24" s="11" t="s">
        <v>1083</v>
      </c>
      <c r="I24" s="23"/>
    </row>
    <row r="25" customFormat="false" ht="32.25" hidden="false" customHeight="true" outlineLevel="0" collapsed="false">
      <c r="A25" s="11" t="s">
        <v>1080</v>
      </c>
      <c r="B25" s="12" t="s">
        <v>273</v>
      </c>
      <c r="C25" s="11" t="s">
        <v>1030</v>
      </c>
      <c r="D25" s="11" t="n">
        <v>-1</v>
      </c>
      <c r="E25" s="11" t="s">
        <v>1084</v>
      </c>
      <c r="F25" s="11" t="n">
        <v>1</v>
      </c>
      <c r="G25" s="11" t="s">
        <v>651</v>
      </c>
      <c r="H25" s="11" t="s">
        <v>1085</v>
      </c>
      <c r="I25" s="23"/>
    </row>
    <row r="26" customFormat="false" ht="32.25" hidden="false" customHeight="true" outlineLevel="0" collapsed="false">
      <c r="A26" s="11" t="s">
        <v>1080</v>
      </c>
      <c r="B26" s="12" t="s">
        <v>286</v>
      </c>
      <c r="C26" s="11" t="s">
        <v>1033</v>
      </c>
      <c r="D26" s="11" t="n">
        <v>-1</v>
      </c>
      <c r="E26" s="11" t="s">
        <v>1086</v>
      </c>
      <c r="F26" s="11" t="n">
        <v>1</v>
      </c>
      <c r="G26" s="11" t="s">
        <v>659</v>
      </c>
      <c r="H26" s="11" t="s">
        <v>1087</v>
      </c>
      <c r="I26" s="23"/>
    </row>
    <row r="27" customFormat="false" ht="32.25" hidden="false" customHeight="true" outlineLevel="0" collapsed="false">
      <c r="A27" s="11" t="s">
        <v>1080</v>
      </c>
      <c r="B27" s="12" t="s">
        <v>312</v>
      </c>
      <c r="C27" s="11" t="s">
        <v>1088</v>
      </c>
      <c r="D27" s="11" t="n">
        <v>-1</v>
      </c>
      <c r="E27" s="11" t="s">
        <v>1089</v>
      </c>
      <c r="F27" s="11" t="n">
        <v>1</v>
      </c>
      <c r="G27" s="11" t="s">
        <v>675</v>
      </c>
      <c r="H27" s="11" t="s">
        <v>1090</v>
      </c>
      <c r="I27" s="23"/>
    </row>
    <row r="28" customFormat="false" ht="32.25" hidden="false" customHeight="true" outlineLevel="0" collapsed="false">
      <c r="A28" s="11" t="s">
        <v>1080</v>
      </c>
      <c r="B28" s="12" t="s">
        <v>325</v>
      </c>
      <c r="C28" s="11" t="s">
        <v>1036</v>
      </c>
      <c r="D28" s="11" t="n">
        <v>-1</v>
      </c>
      <c r="E28" s="11" t="s">
        <v>1091</v>
      </c>
      <c r="F28" s="11" t="n">
        <v>1</v>
      </c>
      <c r="G28" s="11" t="s">
        <v>683</v>
      </c>
      <c r="H28" s="11" t="s">
        <v>1092</v>
      </c>
      <c r="I28" s="23"/>
    </row>
    <row r="29" customFormat="false" ht="32.25" hidden="false" customHeight="true" outlineLevel="0" collapsed="false">
      <c r="A29" s="11" t="s">
        <v>1080</v>
      </c>
      <c r="B29" s="12" t="s">
        <v>351</v>
      </c>
      <c r="C29" s="11" t="s">
        <v>1069</v>
      </c>
      <c r="D29" s="11" t="n">
        <v>-1</v>
      </c>
      <c r="E29" s="11" t="s">
        <v>1093</v>
      </c>
      <c r="F29" s="11" t="n">
        <v>1</v>
      </c>
      <c r="G29" s="11" t="s">
        <v>699</v>
      </c>
      <c r="H29" s="11" t="s">
        <v>1094</v>
      </c>
      <c r="I29" s="23"/>
    </row>
    <row r="30" customFormat="false" ht="32.25" hidden="false" customHeight="true" outlineLevel="0" collapsed="false">
      <c r="A30" s="11" t="s">
        <v>1080</v>
      </c>
      <c r="B30" s="12" t="s">
        <v>404</v>
      </c>
      <c r="C30" s="11" t="s">
        <v>1039</v>
      </c>
      <c r="D30" s="11" t="n">
        <v>-1</v>
      </c>
      <c r="E30" s="11" t="s">
        <v>1095</v>
      </c>
      <c r="F30" s="11" t="n">
        <v>1</v>
      </c>
      <c r="G30" s="11" t="s">
        <v>731</v>
      </c>
      <c r="H30" s="11" t="s">
        <v>1096</v>
      </c>
      <c r="I30" s="23"/>
    </row>
    <row r="31" customFormat="false" ht="32.25" hidden="false" customHeight="true" outlineLevel="0" collapsed="false">
      <c r="A31" s="11" t="s">
        <v>1080</v>
      </c>
      <c r="B31" s="12" t="s">
        <v>430</v>
      </c>
      <c r="C31" s="11" t="s">
        <v>1042</v>
      </c>
      <c r="D31" s="11" t="n">
        <v>-1</v>
      </c>
      <c r="E31" s="11" t="s">
        <v>1097</v>
      </c>
      <c r="F31" s="11" t="n">
        <v>1</v>
      </c>
      <c r="G31" s="11" t="s">
        <v>747</v>
      </c>
      <c r="H31" s="11" t="s">
        <v>1098</v>
      </c>
      <c r="I31" s="23"/>
    </row>
    <row r="32" customFormat="false" ht="32.25" hidden="false" customHeight="true" outlineLevel="0" collapsed="false">
      <c r="A32" s="11" t="s">
        <v>1099</v>
      </c>
      <c r="B32" s="12" t="s">
        <v>214</v>
      </c>
      <c r="C32" s="11" t="s">
        <v>1049</v>
      </c>
      <c r="D32" s="11" t="n">
        <v>-1</v>
      </c>
      <c r="E32" s="11" t="s">
        <v>1100</v>
      </c>
      <c r="F32" s="11" t="n">
        <v>1</v>
      </c>
      <c r="G32" s="11" t="s">
        <v>620</v>
      </c>
      <c r="H32" s="11" t="s">
        <v>1101</v>
      </c>
      <c r="I32" s="23"/>
    </row>
    <row r="33" customFormat="false" ht="32.25" hidden="false" customHeight="true" outlineLevel="0" collapsed="false">
      <c r="A33" s="11" t="s">
        <v>1099</v>
      </c>
      <c r="B33" s="12" t="s">
        <v>325</v>
      </c>
      <c r="C33" s="11" t="s">
        <v>1036</v>
      </c>
      <c r="D33" s="11" t="n">
        <v>-1</v>
      </c>
      <c r="E33" s="11" t="s">
        <v>1102</v>
      </c>
      <c r="F33" s="11" t="n">
        <v>1</v>
      </c>
      <c r="G33" s="11" t="s">
        <v>684</v>
      </c>
      <c r="H33" s="11" t="s">
        <v>1103</v>
      </c>
      <c r="I33" s="23"/>
    </row>
    <row r="34" customFormat="false" ht="32.25" hidden="false" customHeight="true" outlineLevel="0" collapsed="false">
      <c r="A34" s="11" t="s">
        <v>1099</v>
      </c>
      <c r="B34" s="12" t="s">
        <v>351</v>
      </c>
      <c r="C34" s="11" t="s">
        <v>1069</v>
      </c>
      <c r="D34" s="11" t="n">
        <v>-1</v>
      </c>
      <c r="E34" s="11" t="s">
        <v>1104</v>
      </c>
      <c r="F34" s="11" t="n">
        <v>1</v>
      </c>
      <c r="G34" s="11" t="s">
        <v>700</v>
      </c>
      <c r="H34" s="11" t="s">
        <v>1105</v>
      </c>
      <c r="I34" s="23"/>
    </row>
    <row r="35" customFormat="false" ht="32.25" hidden="false" customHeight="true" outlineLevel="0" collapsed="false">
      <c r="A35" s="11" t="s">
        <v>1099</v>
      </c>
      <c r="B35" s="12" t="s">
        <v>299</v>
      </c>
      <c r="C35" s="11" t="s">
        <v>1057</v>
      </c>
      <c r="D35" s="11" t="n">
        <v>-1</v>
      </c>
      <c r="E35" s="11" t="s">
        <v>1106</v>
      </c>
      <c r="F35" s="11" t="n">
        <v>1</v>
      </c>
      <c r="G35" s="11" t="s">
        <v>668</v>
      </c>
      <c r="H35" s="11" t="s">
        <v>1107</v>
      </c>
      <c r="I35" s="23"/>
    </row>
    <row r="36" customFormat="false" ht="32.25" hidden="false" customHeight="true" outlineLevel="0" collapsed="false">
      <c r="A36" s="11" t="s">
        <v>1099</v>
      </c>
      <c r="B36" s="12" t="s">
        <v>495</v>
      </c>
      <c r="C36" s="11" t="s">
        <v>1077</v>
      </c>
      <c r="D36" s="11" t="n">
        <v>-1</v>
      </c>
      <c r="E36" s="11" t="s">
        <v>1108</v>
      </c>
      <c r="F36" s="11" t="n">
        <v>1</v>
      </c>
      <c r="G36" s="11" t="s">
        <v>788</v>
      </c>
      <c r="H36" s="11" t="s">
        <v>1109</v>
      </c>
      <c r="I36" s="23"/>
    </row>
    <row r="37" customFormat="false" ht="32.25" hidden="false" customHeight="true" outlineLevel="0" collapsed="false">
      <c r="A37" s="11" t="s">
        <v>1099</v>
      </c>
      <c r="B37" s="12" t="s">
        <v>404</v>
      </c>
      <c r="C37" s="11" t="s">
        <v>1039</v>
      </c>
      <c r="D37" s="11" t="n">
        <v>-1</v>
      </c>
      <c r="E37" s="11" t="s">
        <v>1110</v>
      </c>
      <c r="F37" s="11" t="n">
        <v>1</v>
      </c>
      <c r="G37" s="11" t="s">
        <v>732</v>
      </c>
      <c r="H37" s="11" t="s">
        <v>1111</v>
      </c>
      <c r="I37" s="23"/>
    </row>
    <row r="38" customFormat="false" ht="32.25" hidden="false" customHeight="true" outlineLevel="0" collapsed="false">
      <c r="A38" s="11" t="s">
        <v>168</v>
      </c>
      <c r="B38" s="12" t="s">
        <v>214</v>
      </c>
      <c r="C38" s="11" t="s">
        <v>1049</v>
      </c>
      <c r="D38" s="11" t="n">
        <v>-1</v>
      </c>
      <c r="E38" s="11" t="s">
        <v>1112</v>
      </c>
      <c r="F38" s="11" t="n">
        <v>1</v>
      </c>
      <c r="G38" s="11" t="s">
        <v>804</v>
      </c>
      <c r="H38" s="11" t="s">
        <v>1113</v>
      </c>
      <c r="I38" s="23"/>
    </row>
    <row r="39" customFormat="false" ht="32.25" hidden="false" customHeight="true" outlineLevel="0" collapsed="false">
      <c r="A39" s="11" t="s">
        <v>168</v>
      </c>
      <c r="B39" s="12" t="s">
        <v>377</v>
      </c>
      <c r="C39" s="11" t="s">
        <v>1114</v>
      </c>
      <c r="D39" s="11" t="n">
        <v>-1</v>
      </c>
      <c r="E39" s="11" t="s">
        <v>1115</v>
      </c>
      <c r="F39" s="11" t="n">
        <v>1</v>
      </c>
      <c r="G39" s="11" t="s">
        <v>876</v>
      </c>
      <c r="H39" s="11" t="s">
        <v>1116</v>
      </c>
      <c r="I39" s="23"/>
    </row>
    <row r="40" customFormat="false" ht="32.25" hidden="false" customHeight="true" outlineLevel="0" collapsed="false">
      <c r="A40" s="11" t="s">
        <v>168</v>
      </c>
      <c r="B40" s="12" t="s">
        <v>409</v>
      </c>
      <c r="C40" s="11" t="s">
        <v>1117</v>
      </c>
      <c r="D40" s="11" t="n">
        <v>-1</v>
      </c>
      <c r="E40" s="11" t="s">
        <v>1118</v>
      </c>
      <c r="F40" s="11" t="n">
        <v>1</v>
      </c>
      <c r="G40" s="11" t="s">
        <v>891</v>
      </c>
      <c r="H40" s="11" t="s">
        <v>1119</v>
      </c>
      <c r="I40" s="23"/>
    </row>
    <row r="41" customFormat="false" ht="32.25" hidden="false" customHeight="true" outlineLevel="0" collapsed="false">
      <c r="A41" s="11" t="s">
        <v>168</v>
      </c>
      <c r="B41" s="12" t="s">
        <v>430</v>
      </c>
      <c r="C41" s="11" t="s">
        <v>1042</v>
      </c>
      <c r="D41" s="11" t="n">
        <v>-1</v>
      </c>
      <c r="E41" s="11" t="s">
        <v>901</v>
      </c>
      <c r="F41" s="11" t="n">
        <v>1</v>
      </c>
      <c r="G41" s="11" t="s">
        <v>900</v>
      </c>
      <c r="H41" s="11" t="s">
        <v>1120</v>
      </c>
      <c r="I41" s="23"/>
    </row>
    <row r="42" customFormat="false" ht="32.25" hidden="false" customHeight="true" outlineLevel="0" collapsed="false">
      <c r="A42" s="11" t="s">
        <v>168</v>
      </c>
      <c r="B42" s="12" t="s">
        <v>443</v>
      </c>
      <c r="C42" s="11" t="s">
        <v>1121</v>
      </c>
      <c r="D42" s="11" t="n">
        <v>-1</v>
      </c>
      <c r="E42" s="11" t="s">
        <v>1122</v>
      </c>
      <c r="F42" s="11" t="n">
        <v>1</v>
      </c>
      <c r="G42" s="11" t="s">
        <v>906</v>
      </c>
      <c r="H42" s="11" t="s">
        <v>1103</v>
      </c>
      <c r="I42" s="23"/>
    </row>
    <row r="43" customFormat="false" ht="32.25" hidden="false" customHeight="true" outlineLevel="0" collapsed="false">
      <c r="A43" s="11" t="s">
        <v>168</v>
      </c>
      <c r="B43" s="12" t="s">
        <v>495</v>
      </c>
      <c r="C43" s="11" t="s">
        <v>1077</v>
      </c>
      <c r="D43" s="11" t="n">
        <v>-1</v>
      </c>
      <c r="E43" s="11" t="s">
        <v>1123</v>
      </c>
      <c r="F43" s="11" t="n">
        <v>1</v>
      </c>
      <c r="G43" s="11" t="s">
        <v>929</v>
      </c>
      <c r="H43" s="11" t="s">
        <v>1124</v>
      </c>
      <c r="I43" s="23"/>
    </row>
    <row r="44" customFormat="false" ht="32.25" hidden="false" customHeight="true" outlineLevel="0" collapsed="false">
      <c r="A44" s="11" t="s">
        <v>1125</v>
      </c>
      <c r="B44" s="12" t="s">
        <v>214</v>
      </c>
      <c r="C44" s="11" t="s">
        <v>1049</v>
      </c>
      <c r="D44" s="11" t="n">
        <v>-1</v>
      </c>
      <c r="E44" s="11" t="s">
        <v>1126</v>
      </c>
      <c r="F44" s="11" t="n">
        <v>1</v>
      </c>
      <c r="G44" s="11" t="s">
        <v>805</v>
      </c>
      <c r="H44" s="11" t="s">
        <v>1127</v>
      </c>
      <c r="I44" s="23"/>
    </row>
    <row r="45" customFormat="false" ht="32.25" hidden="false" customHeight="true" outlineLevel="0" collapsed="false">
      <c r="A45" s="11" t="s">
        <v>1125</v>
      </c>
      <c r="B45" s="12" t="s">
        <v>260</v>
      </c>
      <c r="C45" s="11" t="s">
        <v>1081</v>
      </c>
      <c r="D45" s="11" t="n">
        <v>-1</v>
      </c>
      <c r="E45" s="11" t="s">
        <v>1128</v>
      </c>
      <c r="F45" s="11" t="n">
        <v>1</v>
      </c>
      <c r="G45" s="11" t="s">
        <v>823</v>
      </c>
      <c r="H45" s="11" t="s">
        <v>1129</v>
      </c>
      <c r="I45" s="23"/>
    </row>
    <row r="46" customFormat="false" ht="32.25" hidden="false" customHeight="true" outlineLevel="0" collapsed="false">
      <c r="A46" s="11" t="s">
        <v>1125</v>
      </c>
      <c r="B46" s="12" t="s">
        <v>273</v>
      </c>
      <c r="C46" s="11" t="s">
        <v>1030</v>
      </c>
      <c r="D46" s="11" t="n">
        <v>-1</v>
      </c>
      <c r="E46" s="11" t="s">
        <v>1130</v>
      </c>
      <c r="F46" s="11" t="n">
        <v>1</v>
      </c>
      <c r="G46" s="11" t="s">
        <v>829</v>
      </c>
      <c r="H46" s="11" t="s">
        <v>1131</v>
      </c>
      <c r="I46" s="23"/>
    </row>
    <row r="47" customFormat="false" ht="32.25" hidden="false" customHeight="true" outlineLevel="0" collapsed="false">
      <c r="A47" s="11" t="s">
        <v>1125</v>
      </c>
      <c r="B47" s="12" t="s">
        <v>299</v>
      </c>
      <c r="C47" s="11" t="s">
        <v>1057</v>
      </c>
      <c r="D47" s="11" t="n">
        <v>-1</v>
      </c>
      <c r="E47" s="11" t="s">
        <v>1132</v>
      </c>
      <c r="F47" s="11" t="n">
        <v>1</v>
      </c>
      <c r="G47" s="11" t="s">
        <v>841</v>
      </c>
      <c r="H47" s="11" t="s">
        <v>1133</v>
      </c>
      <c r="I47" s="23"/>
    </row>
    <row r="48" customFormat="false" ht="32.25" hidden="false" customHeight="true" outlineLevel="0" collapsed="false">
      <c r="A48" s="11" t="s">
        <v>1125</v>
      </c>
      <c r="B48" s="12" t="s">
        <v>325</v>
      </c>
      <c r="C48" s="11" t="s">
        <v>1036</v>
      </c>
      <c r="D48" s="11" t="n">
        <v>-1</v>
      </c>
      <c r="E48" s="11" t="s">
        <v>1134</v>
      </c>
      <c r="F48" s="11" t="n">
        <v>1</v>
      </c>
      <c r="G48" s="11" t="s">
        <v>853</v>
      </c>
      <c r="H48" s="11" t="s">
        <v>1135</v>
      </c>
      <c r="I48" s="23"/>
    </row>
    <row r="49" customFormat="false" ht="32.25" hidden="false" customHeight="true" outlineLevel="0" collapsed="false">
      <c r="A49" s="11" t="s">
        <v>1125</v>
      </c>
      <c r="B49" s="12" t="s">
        <v>377</v>
      </c>
      <c r="C49" s="11" t="s">
        <v>1114</v>
      </c>
      <c r="D49" s="11" t="n">
        <v>-1</v>
      </c>
      <c r="E49" s="11" t="s">
        <v>1136</v>
      </c>
      <c r="F49" s="11" t="n">
        <v>1</v>
      </c>
      <c r="G49" s="11" t="s">
        <v>877</v>
      </c>
      <c r="H49" s="11" t="s">
        <v>1137</v>
      </c>
      <c r="I49" s="23"/>
    </row>
    <row r="50" customFormat="false" ht="32.25" hidden="false" customHeight="true" outlineLevel="0" collapsed="false">
      <c r="A50" s="11" t="s">
        <v>1125</v>
      </c>
      <c r="B50" s="12" t="s">
        <v>391</v>
      </c>
      <c r="C50" s="11" t="s">
        <v>1138</v>
      </c>
      <c r="D50" s="11" t="n">
        <v>-1</v>
      </c>
      <c r="E50" s="11" t="s">
        <v>1139</v>
      </c>
      <c r="F50" s="11" t="n">
        <v>1</v>
      </c>
      <c r="G50" s="11" t="s">
        <v>883</v>
      </c>
      <c r="H50" s="11" t="s">
        <v>1140</v>
      </c>
      <c r="I50" s="23"/>
    </row>
    <row r="51" customFormat="false" ht="32.25" hidden="false" customHeight="true" outlineLevel="0" collapsed="false">
      <c r="A51" s="11" t="s">
        <v>1125</v>
      </c>
      <c r="B51" s="12" t="s">
        <v>443</v>
      </c>
      <c r="C51" s="11" t="s">
        <v>1121</v>
      </c>
      <c r="D51" s="11" t="n">
        <v>-1</v>
      </c>
      <c r="E51" s="11" t="s">
        <v>1122</v>
      </c>
      <c r="F51" s="11" t="n">
        <v>1</v>
      </c>
      <c r="G51" s="11" t="s">
        <v>907</v>
      </c>
      <c r="H51" s="11" t="s">
        <v>1103</v>
      </c>
      <c r="I51" s="23"/>
    </row>
    <row r="52" customFormat="false" ht="32.25" hidden="false" customHeight="true" outlineLevel="0" collapsed="false">
      <c r="A52" s="11" t="s">
        <v>1125</v>
      </c>
      <c r="B52" s="12" t="s">
        <v>469</v>
      </c>
      <c r="C52" s="11" t="s">
        <v>1141</v>
      </c>
      <c r="D52" s="11" t="n">
        <v>-1</v>
      </c>
      <c r="E52" s="11" t="s">
        <v>1142</v>
      </c>
      <c r="F52" s="11" t="n">
        <v>1</v>
      </c>
      <c r="G52" s="11" t="s">
        <v>919</v>
      </c>
      <c r="H52" s="11" t="s">
        <v>1143</v>
      </c>
      <c r="I52" s="23"/>
    </row>
    <row r="53" customFormat="false" ht="32.25" hidden="false" customHeight="true" outlineLevel="0" collapsed="false">
      <c r="A53" s="11" t="s">
        <v>1125</v>
      </c>
      <c r="B53" s="12" t="s">
        <v>495</v>
      </c>
      <c r="C53" s="11" t="s">
        <v>1077</v>
      </c>
      <c r="D53" s="11" t="n">
        <v>-1</v>
      </c>
      <c r="E53" s="11" t="s">
        <v>1144</v>
      </c>
      <c r="F53" s="11" t="n">
        <v>1</v>
      </c>
      <c r="G53" s="11" t="s">
        <v>930</v>
      </c>
      <c r="H53" s="11" t="s">
        <v>1145</v>
      </c>
      <c r="I53" s="23"/>
    </row>
    <row r="54" customFormat="false" ht="32.25" hidden="false" customHeight="true" outlineLevel="0" collapsed="false">
      <c r="A54" s="11" t="s">
        <v>1146</v>
      </c>
      <c r="B54" s="12" t="s">
        <v>214</v>
      </c>
      <c r="C54" s="11" t="s">
        <v>1049</v>
      </c>
      <c r="D54" s="11" t="n">
        <v>-1</v>
      </c>
      <c r="E54" s="11" t="s">
        <v>1147</v>
      </c>
      <c r="F54" s="11" t="n">
        <v>1</v>
      </c>
      <c r="G54" s="11" t="s">
        <v>806</v>
      </c>
      <c r="H54" s="11" t="s">
        <v>1101</v>
      </c>
      <c r="I54" s="23"/>
    </row>
    <row r="55" customFormat="false" ht="32.25" hidden="false" customHeight="true" outlineLevel="0" collapsed="false">
      <c r="A55" s="11" t="s">
        <v>1146</v>
      </c>
      <c r="B55" s="12" t="s">
        <v>273</v>
      </c>
      <c r="C55" s="11" t="s">
        <v>1030</v>
      </c>
      <c r="D55" s="11" t="n">
        <v>-1</v>
      </c>
      <c r="E55" s="11" t="s">
        <v>1148</v>
      </c>
      <c r="F55" s="11" t="n">
        <v>1</v>
      </c>
      <c r="G55" s="11" t="s">
        <v>830</v>
      </c>
      <c r="H55" s="11" t="s">
        <v>1149</v>
      </c>
      <c r="I55" s="23"/>
    </row>
    <row r="56" customFormat="false" ht="32.25" hidden="false" customHeight="true" outlineLevel="0" collapsed="false">
      <c r="A56" s="11" t="s">
        <v>1146</v>
      </c>
      <c r="B56" s="12" t="s">
        <v>299</v>
      </c>
      <c r="C56" s="11" t="s">
        <v>1057</v>
      </c>
      <c r="D56" s="11" t="n">
        <v>-1</v>
      </c>
      <c r="E56" s="11" t="s">
        <v>1150</v>
      </c>
      <c r="F56" s="11" t="n">
        <v>1</v>
      </c>
      <c r="G56" s="11" t="s">
        <v>842</v>
      </c>
      <c r="H56" s="11" t="s">
        <v>1151</v>
      </c>
      <c r="I56" s="23"/>
    </row>
    <row r="57" customFormat="false" ht="32.25" hidden="false" customHeight="true" outlineLevel="0" collapsed="false">
      <c r="A57" s="11" t="s">
        <v>1146</v>
      </c>
      <c r="B57" s="12" t="s">
        <v>377</v>
      </c>
      <c r="C57" s="11" t="s">
        <v>1114</v>
      </c>
      <c r="D57" s="11" t="n">
        <v>-1</v>
      </c>
      <c r="E57" s="11" t="s">
        <v>1152</v>
      </c>
      <c r="F57" s="11" t="n">
        <v>1</v>
      </c>
      <c r="G57" s="11" t="s">
        <v>878</v>
      </c>
      <c r="H57" s="11" t="s">
        <v>1153</v>
      </c>
      <c r="I57" s="23"/>
    </row>
    <row r="58" customFormat="false" ht="32.25" hidden="false" customHeight="true" outlineLevel="0" collapsed="false">
      <c r="A58" s="11" t="s">
        <v>1146</v>
      </c>
      <c r="B58" s="12" t="s">
        <v>430</v>
      </c>
      <c r="C58" s="11" t="s">
        <v>1042</v>
      </c>
      <c r="D58" s="11" t="n">
        <v>-1</v>
      </c>
      <c r="E58" s="11" t="s">
        <v>1154</v>
      </c>
      <c r="F58" s="11" t="n">
        <v>1</v>
      </c>
      <c r="G58" s="11" t="s">
        <v>902</v>
      </c>
      <c r="H58" s="11" t="s">
        <v>1155</v>
      </c>
      <c r="I58" s="23"/>
    </row>
    <row r="59" customFormat="false" ht="32.25" hidden="false" customHeight="true" outlineLevel="0" collapsed="false">
      <c r="A59" s="11" t="s">
        <v>1146</v>
      </c>
      <c r="B59" s="12" t="s">
        <v>443</v>
      </c>
      <c r="C59" s="11" t="s">
        <v>1121</v>
      </c>
      <c r="D59" s="11" t="n">
        <v>-1</v>
      </c>
      <c r="E59" s="11" t="s">
        <v>1156</v>
      </c>
      <c r="F59" s="11" t="n">
        <v>1</v>
      </c>
      <c r="G59" s="11" t="s">
        <v>908</v>
      </c>
      <c r="H59" s="11" t="s">
        <v>1103</v>
      </c>
      <c r="I59" s="23"/>
    </row>
    <row r="60" customFormat="false" ht="32.25" hidden="false" customHeight="true" outlineLevel="0" collapsed="false">
      <c r="A60" s="11" t="s">
        <v>1146</v>
      </c>
      <c r="B60" s="12" t="s">
        <v>495</v>
      </c>
      <c r="C60" s="11" t="s">
        <v>1077</v>
      </c>
      <c r="D60" s="11" t="n">
        <v>-1</v>
      </c>
      <c r="E60" s="11" t="s">
        <v>1157</v>
      </c>
      <c r="F60" s="11" t="n">
        <v>1</v>
      </c>
      <c r="G60" s="11" t="s">
        <v>931</v>
      </c>
      <c r="H60" s="11" t="s">
        <v>1124</v>
      </c>
      <c r="I60" s="23"/>
    </row>
    <row r="62" customFormat="false" ht="16.5" hidden="false" customHeight="true" outlineLevel="0" collapsed="false">
      <c r="A62" s="31" t="s">
        <v>1158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10" min="2" style="1" width="11"/>
  </cols>
  <sheetData>
    <row r="1" customFormat="false" ht="217.5" hidden="false" customHeight="true" outlineLevel="0" collapsed="false">
      <c r="A1" s="5" t="s">
        <v>1159</v>
      </c>
    </row>
    <row r="3" customFormat="false" ht="16.5" hidden="false" customHeight="true" outlineLevel="0" collapsed="false">
      <c r="A3" s="9"/>
      <c r="B3" s="9" t="s">
        <v>1023</v>
      </c>
      <c r="C3" s="9" t="s">
        <v>1048</v>
      </c>
      <c r="D3" s="9" t="s">
        <v>1064</v>
      </c>
      <c r="E3" s="9" t="s">
        <v>1080</v>
      </c>
      <c r="F3" s="9" t="s">
        <v>1099</v>
      </c>
      <c r="G3" s="9" t="s">
        <v>168</v>
      </c>
      <c r="H3" s="9" t="s">
        <v>1125</v>
      </c>
      <c r="I3" s="9" t="s">
        <v>1146</v>
      </c>
      <c r="J3" s="9"/>
    </row>
    <row r="4" customFormat="false" ht="15" hidden="false" customHeight="true" outlineLevel="0" collapsed="false">
      <c r="A4" s="15" t="s">
        <v>1023</v>
      </c>
      <c r="B4" s="44" t="n">
        <v>0</v>
      </c>
      <c r="C4" s="44" t="n">
        <v>0.224</v>
      </c>
      <c r="D4" s="44" t="n">
        <v>0.29</v>
      </c>
      <c r="E4" s="44" t="n">
        <v>0.231</v>
      </c>
      <c r="F4" s="44" t="n">
        <v>0.292</v>
      </c>
      <c r="G4" s="44" t="n">
        <v>0.338</v>
      </c>
      <c r="H4" s="44" t="n">
        <v>0.312</v>
      </c>
      <c r="I4" s="44" t="n">
        <v>0.389</v>
      </c>
      <c r="J4" s="44"/>
    </row>
    <row r="5" customFormat="false" ht="15" hidden="false" customHeight="true" outlineLevel="0" collapsed="false">
      <c r="A5" s="15" t="s">
        <v>1048</v>
      </c>
      <c r="B5" s="44" t="n">
        <v>0.224</v>
      </c>
      <c r="C5" s="44" t="n">
        <v>0</v>
      </c>
      <c r="D5" s="44" t="n">
        <v>0.234</v>
      </c>
      <c r="E5" s="44" t="n">
        <v>0.282</v>
      </c>
      <c r="F5" s="44" t="n">
        <v>0.184</v>
      </c>
      <c r="G5" s="44" t="n">
        <v>0.333</v>
      </c>
      <c r="H5" s="44" t="n">
        <v>0.265</v>
      </c>
      <c r="I5" s="44" t="n">
        <v>0.321</v>
      </c>
      <c r="J5" s="44"/>
    </row>
    <row r="6" customFormat="false" ht="15" hidden="false" customHeight="true" outlineLevel="0" collapsed="false">
      <c r="A6" s="15" t="s">
        <v>1064</v>
      </c>
      <c r="B6" s="44" t="n">
        <v>0.29</v>
      </c>
      <c r="C6" s="44" t="n">
        <v>0.234</v>
      </c>
      <c r="D6" s="44" t="n">
        <v>0</v>
      </c>
      <c r="E6" s="44" t="n">
        <v>0.254</v>
      </c>
      <c r="F6" s="44" t="n">
        <v>0.149</v>
      </c>
      <c r="G6" s="44" t="n">
        <v>0.351</v>
      </c>
      <c r="H6" s="44" t="n">
        <v>0.237</v>
      </c>
      <c r="I6" s="44" t="n">
        <v>0.333</v>
      </c>
      <c r="J6" s="44"/>
    </row>
    <row r="7" customFormat="false" ht="15" hidden="false" customHeight="true" outlineLevel="0" collapsed="false">
      <c r="A7" s="15" t="s">
        <v>1080</v>
      </c>
      <c r="B7" s="44" t="n">
        <v>0.231</v>
      </c>
      <c r="C7" s="44" t="n">
        <v>0.282</v>
      </c>
      <c r="D7" s="44" t="n">
        <v>0.254</v>
      </c>
      <c r="E7" s="44" t="n">
        <v>0</v>
      </c>
      <c r="F7" s="44" t="n">
        <v>0.301</v>
      </c>
      <c r="G7" s="44" t="n">
        <v>0.402</v>
      </c>
      <c r="H7" s="44" t="n">
        <v>0.327</v>
      </c>
      <c r="I7" s="44" t="n">
        <v>0.399</v>
      </c>
      <c r="J7" s="44"/>
    </row>
    <row r="8" customFormat="false" ht="15" hidden="false" customHeight="true" outlineLevel="0" collapsed="false">
      <c r="A8" s="15" t="s">
        <v>1099</v>
      </c>
      <c r="B8" s="44" t="n">
        <v>0.292</v>
      </c>
      <c r="C8" s="44" t="n">
        <v>0.184</v>
      </c>
      <c r="D8" s="44" t="n">
        <v>0.149</v>
      </c>
      <c r="E8" s="44" t="n">
        <v>0.301</v>
      </c>
      <c r="F8" s="44" t="n">
        <v>0</v>
      </c>
      <c r="G8" s="44" t="n">
        <v>0.288</v>
      </c>
      <c r="H8" s="44" t="n">
        <v>0.233</v>
      </c>
      <c r="I8" s="44" t="n">
        <v>0.283</v>
      </c>
      <c r="J8" s="44"/>
    </row>
    <row r="9" customFormat="false" ht="16.5" hidden="false" customHeight="true" outlineLevel="0" collapsed="false">
      <c r="A9" s="15" t="s">
        <v>168</v>
      </c>
      <c r="B9" s="44" t="n">
        <v>0.338</v>
      </c>
      <c r="C9" s="44" t="n">
        <v>0.333</v>
      </c>
      <c r="D9" s="44" t="n">
        <v>0.351</v>
      </c>
      <c r="E9" s="44" t="n">
        <v>0.402</v>
      </c>
      <c r="F9" s="44" t="n">
        <v>0.288</v>
      </c>
      <c r="G9" s="44" t="n">
        <v>0</v>
      </c>
      <c r="H9" s="44" t="n">
        <v>0.293</v>
      </c>
      <c r="I9" s="44" t="n">
        <v>0.122</v>
      </c>
      <c r="J9" s="44"/>
    </row>
    <row r="10" customFormat="false" ht="16.5" hidden="false" customHeight="true" outlineLevel="0" collapsed="false">
      <c r="A10" s="15" t="s">
        <v>1125</v>
      </c>
      <c r="B10" s="44" t="n">
        <v>0.312</v>
      </c>
      <c r="C10" s="44" t="n">
        <v>0.265</v>
      </c>
      <c r="D10" s="44" t="n">
        <v>0.237</v>
      </c>
      <c r="E10" s="44" t="n">
        <v>0.327</v>
      </c>
      <c r="F10" s="44" t="n">
        <v>0.233</v>
      </c>
      <c r="G10" s="44" t="n">
        <v>0.293</v>
      </c>
      <c r="H10" s="44" t="n">
        <v>0</v>
      </c>
      <c r="I10" s="44" t="n">
        <v>0.216</v>
      </c>
      <c r="J10" s="44"/>
    </row>
    <row r="11" customFormat="false" ht="16.5" hidden="false" customHeight="true" outlineLevel="0" collapsed="false">
      <c r="A11" s="15" t="s">
        <v>1146</v>
      </c>
      <c r="B11" s="44" t="n">
        <v>0.389</v>
      </c>
      <c r="C11" s="44" t="n">
        <v>0.321</v>
      </c>
      <c r="D11" s="44" t="n">
        <v>0.333</v>
      </c>
      <c r="E11" s="44" t="n">
        <v>0.399</v>
      </c>
      <c r="F11" s="44" t="n">
        <v>0.283</v>
      </c>
      <c r="G11" s="44" t="n">
        <v>0.122</v>
      </c>
      <c r="H11" s="44" t="n">
        <v>0.216</v>
      </c>
      <c r="I11" s="44" t="n">
        <v>0</v>
      </c>
      <c r="J11" s="44"/>
    </row>
    <row r="12" customFormat="false" ht="15" hidden="false" customHeight="true" outlineLevel="0" collapsed="false">
      <c r="A12" s="15"/>
      <c r="B12" s="44"/>
      <c r="C12" s="44"/>
      <c r="D12" s="44"/>
      <c r="E12" s="44"/>
      <c r="F12" s="44"/>
      <c r="G12" s="44"/>
      <c r="H12" s="44"/>
      <c r="I12" s="44"/>
      <c r="J12" s="44"/>
    </row>
    <row r="13" customFormat="false" ht="30" hidden="false" customHeight="true" outlineLevel="0" collapsed="false">
      <c r="A13" s="45" t="s">
        <v>1160</v>
      </c>
      <c r="B13" s="45"/>
      <c r="C13" s="45"/>
      <c r="D13" s="45"/>
      <c r="E13" s="45"/>
      <c r="F13" s="45"/>
      <c r="G13" s="45"/>
      <c r="H13" s="45"/>
      <c r="I13" s="45"/>
    </row>
    <row r="14" customFormat="false" ht="15" hidden="false" customHeight="true" outlineLevel="0" collapsed="false">
      <c r="A14" s="46"/>
    </row>
  </sheetData>
  <mergeCells count="1">
    <mergeCell ref="A13:I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2026-10-20T07:51:11Z</dcterms:created>
  <dc:creator>openpyxl</dc:creator>
  <dc:description/>
  <dc:language>en-US</dc:language>
  <cp:lastModifiedBy/>
  <dcterms:modified xsi:type="dcterms:W3CDTF">2026-10-22T08:23:25Z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