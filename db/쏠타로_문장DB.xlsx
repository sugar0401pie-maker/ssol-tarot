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8.xml" ContentType="application/vnd.openxmlformats-officedocument.drawing+xml"/>
  <Override PartName="/xl/drawings/drawing12.xml" ContentType="application/vnd.openxmlformats-officedocument.drawing+xml"/>
  <Override PartName="/xl/drawings/drawing9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읽어주세요" sheetId="1" state="visible" r:id="rId3"/>
    <sheet name="점검이력" sheetId="2" state="visible" r:id="rId4"/>
    <sheet name="카드기본설명" sheetId="3" state="visible" r:id="rId5"/>
    <sheet name="메인문구조각" sheetId="4" state="visible" r:id="rId6"/>
    <sheet name="위치해석" sheetId="5" state="visible" r:id="rId7"/>
    <sheet name="상황질문" sheetId="6" state="visible" r:id="rId8"/>
    <sheet name="처방실천" sheetId="7" state="visible" r:id="rId9"/>
    <sheet name="성향" sheetId="8" state="visible" r:id="rId10"/>
    <sheet name="변화신호" sheetId="9" state="visible" r:id="rId11"/>
    <sheet name="안전키워드" sheetId="10" state="visible" r:id="rId12"/>
    <sheet name="조합문장" sheetId="11" state="visible" r:id="rId13"/>
    <sheet name="해결기운" sheetId="12" state="visible" r:id="rId14"/>
    <sheet name="화면문구" sheetId="13" state="visible" r:id="rId15"/>
  </sheets>
  <definedNames>
    <definedName function="false" hidden="true" localSheetId="3" name="_xlnm._FilterDatabase" vbProcedure="false">메인문구조각!$A$1:$I$133</definedName>
    <definedName function="false" hidden="true" localSheetId="8" name="_xlnm._FilterDatabase" vbProcedure="false">변화신호!$A$1:$I$133</definedName>
    <definedName function="false" hidden="true" localSheetId="5" name="_xlnm._FilterDatabase" vbProcedure="false">상황질문!$A$1:$I$133</definedName>
    <definedName function="false" hidden="true" localSheetId="7" name="_xlnm._FilterDatabase" vbProcedure="false">성향!$A$1:$I$45</definedName>
    <definedName function="false" hidden="true" localSheetId="9" name="_xlnm._FilterDatabase" vbProcedure="false">안전키워드!$A$1:$I$6</definedName>
    <definedName function="false" hidden="true" localSheetId="4" name="_xlnm._FilterDatabase" vbProcedure="false">위치해석!$A$1:$I$133</definedName>
    <definedName function="false" hidden="true" localSheetId="1" name="_xlnm._FilterDatabase" vbProcedure="false">점검이력!$A$1:$F$125</definedName>
    <definedName function="false" hidden="true" localSheetId="10" name="_xlnm._FilterDatabase" vbProcedure="false">조합문장!$A$1:$I$188</definedName>
    <definedName function="false" hidden="true" localSheetId="6" name="_xlnm._FilterDatabase" vbProcedure="false">처방실천!$A$1:$I$837</definedName>
    <definedName function="false" hidden="true" localSheetId="2" name="_xlnm._FilterDatabase" vbProcedure="false">카드기본설명!$A$1:$I$133</definedName>
    <definedName function="false" hidden="true" localSheetId="11" name="_xlnm._FilterDatabase" vbProcedure="false">해결기운!$A$1:$I$23</definedName>
    <definedName function="false" hidden="true" localSheetId="12" name="_xlnm._FilterDatabase" vbProcedure="false">화면문구!$A$1:$I$141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<sst xmlns="http://schemas.openxmlformats.org/spreadsheetml/2006/main" count="10432" uniqueCount="4613">
  <si>
    <r>
      <rPr>
        <b val="true"/>
        <sz val="16"/>
        <color rgb="FF012F53"/>
        <rFont val="Noto Sans CJK SC"/>
        <family val="2"/>
      </rPr>
      <t xml:space="preserve">쏠 타로 하우스 — 미리 써 두는 문장 </t>
    </r>
    <r>
      <rPr>
        <b val="true"/>
        <sz val="16"/>
        <color rgb="FF012F53"/>
        <rFont val="Malgun Gothic"/>
        <family val="0"/>
        <charset val="1"/>
      </rPr>
      <t xml:space="preserve">DB</t>
    </r>
  </si>
  <si>
    <r>
      <rPr>
        <sz val="10"/>
        <rFont val="Noto Sans CJK SC"/>
        <family val="2"/>
      </rPr>
      <t xml:space="preserve">기준 데이터</t>
    </r>
    <r>
      <rPr>
        <sz val="10"/>
        <rFont val="Malgun Gothic"/>
        <family val="0"/>
        <charset val="1"/>
      </rPr>
      <t xml:space="preserve">: tarot_data.json v3.0 (2026-10-18). </t>
    </r>
    <r>
      <rPr>
        <sz val="10"/>
        <rFont val="Noto Sans CJK SC"/>
        <family val="2"/>
      </rPr>
      <t xml:space="preserve">모든 문장은 </t>
    </r>
    <r>
      <rPr>
        <sz val="10"/>
        <rFont val="Malgun Gothic"/>
        <family val="0"/>
        <charset val="1"/>
      </rPr>
      <t xml:space="preserve">Claude </t>
    </r>
    <r>
      <rPr>
        <sz val="10"/>
        <rFont val="Noto Sans CJK SC"/>
        <family val="2"/>
      </rPr>
      <t xml:space="preserve">초안이며 상담사 검수 전입니다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결과 리포트는 이 문장들을 서버가 조립하고</t>
    </r>
    <r>
      <rPr>
        <sz val="10"/>
        <rFont val="Malgun Gothic"/>
        <family val="0"/>
        <charset val="1"/>
      </rPr>
      <t xml:space="preserve">, AI</t>
    </r>
    <r>
      <rPr>
        <sz val="10"/>
        <rFont val="Noto Sans CJK SC"/>
        <family val="2"/>
      </rPr>
      <t xml:space="preserve">는 고민 맞춤 한 줄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질문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이야기만 짧게 씁니다</t>
    </r>
    <r>
      <rPr>
        <sz val="10"/>
        <rFont val="Malgun Gothic"/>
        <family val="0"/>
        <charset val="1"/>
      </rPr>
      <t xml:space="preserve">.</t>
    </r>
  </si>
  <si>
    <t xml:space="preserve">쓰는 법</t>
  </si>
  <si>
    <r>
      <rPr>
        <sz val="10"/>
        <rFont val="Malgun Gothic"/>
        <family val="0"/>
        <charset val="1"/>
      </rPr>
      <t xml:space="preserve">1. </t>
    </r>
    <r>
      <rPr>
        <sz val="10"/>
        <rFont val="Noto Sans CJK SC"/>
        <family val="2"/>
      </rPr>
      <t xml:space="preserve">시트 하나를 열고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현재 문장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을 읽습니다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노란 칸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상태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수정안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검수 메모</t>
    </r>
    <r>
      <rPr>
        <sz val="10"/>
        <rFont val="Malgun Gothic"/>
        <family val="0"/>
        <charset val="1"/>
      </rPr>
      <t xml:space="preserve">)</t>
    </r>
    <r>
      <rPr>
        <sz val="10"/>
        <rFont val="Noto Sans CJK SC"/>
        <family val="2"/>
      </rPr>
      <t xml:space="preserve">만 고쳐 주세요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</si>
  <si>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2. </t>
    </r>
    <r>
      <rPr>
        <sz val="10"/>
        <rFont val="Noto Sans CJK SC"/>
        <family val="2"/>
      </rPr>
      <t xml:space="preserve">그대로 써도 되면 상태를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확정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으로 바꿉니다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고칠 문장은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수정안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에 새 문장을 쓰고 상태를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확정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으로 둡니다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</si>
  <si>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3. </t>
    </r>
    <r>
      <rPr>
        <sz val="10"/>
        <rFont val="Noto Sans CJK SC"/>
        <family val="2"/>
      </rPr>
      <t xml:space="preserve">직접 고치기 어렵거나 의견만 남길 때는 상태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수정요청</t>
    </r>
    <r>
      <rPr>
        <sz val="10"/>
        <rFont val="Malgun Gothic"/>
        <family val="0"/>
        <charset val="1"/>
      </rPr>
      <t xml:space="preserve">' + '</t>
    </r>
    <r>
      <rPr>
        <sz val="10"/>
        <rFont val="Noto Sans CJK SC"/>
        <family val="2"/>
      </rPr>
      <t xml:space="preserve">검수 메모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에 이유를 적어 주세요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</si>
  <si>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4. '</t>
    </r>
    <r>
      <rPr>
        <sz val="10"/>
        <rFont val="Noto Sans CJK SC"/>
        <family val="2"/>
      </rPr>
      <t xml:space="preserve">현재 문장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과 </t>
    </r>
    <r>
      <rPr>
        <sz val="10"/>
        <rFont val="Malgun Gothic"/>
        <family val="0"/>
        <charset val="1"/>
      </rPr>
      <t xml:space="preserve">ID </t>
    </r>
    <r>
      <rPr>
        <sz val="10"/>
        <rFont val="Noto Sans CJK SC"/>
        <family val="2"/>
      </rPr>
      <t xml:space="preserve">칸은 고치지 마세요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수정안이 있으면 수정안이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없으면 현재 문장이 최종 문장이 됩니다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</si>
  <si>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5. {name} · {nickname} </t>
    </r>
    <r>
      <rPr>
        <sz val="10"/>
        <rFont val="Noto Sans CJK SC"/>
        <family val="2"/>
      </rPr>
      <t xml:space="preserve">같은 중괄호는 닉네임 등이 들어갈 자리라 그대로 남겨 주세요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</si>
  <si>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6. '</t>
    </r>
    <r>
      <rPr>
        <sz val="10"/>
        <rFont val="Noto Sans CJK SC"/>
        <family val="2"/>
      </rPr>
      <t xml:space="preserve">분량 확인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이 뜨면 기준 글자 수를 벗어난 문장이에요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꼭 맞출 필요는 없지만 화면에서 너무 길거나 짧을 수 있어요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</si>
  <si>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7. </t>
    </r>
    <r>
      <rPr>
        <sz val="10"/>
        <rFont val="Noto Sans CJK SC"/>
        <family val="2"/>
      </rPr>
      <t xml:space="preserve">다 끝나면 파일을 돌려주세요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개발 쪽에서 </t>
    </r>
    <r>
      <rPr>
        <sz val="10"/>
        <rFont val="Malgun Gothic"/>
        <family val="0"/>
        <charset val="1"/>
      </rPr>
      <t xml:space="preserve">import_db.py</t>
    </r>
    <r>
      <rPr>
        <sz val="10"/>
        <rFont val="Noto Sans CJK SC"/>
        <family val="2"/>
      </rPr>
      <t xml:space="preserve">로 </t>
    </r>
    <r>
      <rPr>
        <sz val="10"/>
        <rFont val="Malgun Gothic"/>
        <family val="0"/>
        <charset val="1"/>
      </rPr>
      <t xml:space="preserve">tarot_data.json</t>
    </r>
    <r>
      <rPr>
        <sz val="10"/>
        <rFont val="Noto Sans CJK SC"/>
        <family val="2"/>
      </rPr>
      <t xml:space="preserve">에 한 번에 반영합니다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확정만 반영하는 옵션 있음</t>
    </r>
    <r>
      <rPr>
        <sz val="10"/>
        <rFont val="Malgun Gothic"/>
        <family val="0"/>
        <charset val="1"/>
      </rPr>
      <t xml:space="preserve">).</t>
    </r>
  </si>
  <si>
    <r>
      <rPr>
        <b val="true"/>
        <sz val="12"/>
        <color rgb="FF012F53"/>
        <rFont val="Noto Sans CJK SC"/>
        <family val="2"/>
      </rPr>
      <t xml:space="preserve">색 </t>
    </r>
    <r>
      <rPr>
        <b val="true"/>
        <sz val="12"/>
        <color rgb="FF012F53"/>
        <rFont val="Malgun Gothic"/>
        <family val="0"/>
        <charset val="1"/>
      </rPr>
      <t xml:space="preserve">· </t>
    </r>
    <r>
      <rPr>
        <b val="true"/>
        <sz val="12"/>
        <color rgb="FF012F53"/>
        <rFont val="Noto Sans CJK SC"/>
        <family val="2"/>
      </rPr>
      <t xml:space="preserve">상태</t>
    </r>
  </si>
  <si>
    <t xml:space="preserve">노란 칸</t>
  </si>
  <si>
    <r>
      <rPr>
        <sz val="10"/>
        <rFont val="Noto Sans CJK SC"/>
        <family val="2"/>
      </rPr>
      <t xml:space="preserve">검수자가 쓰는 칸 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상태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수정안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검수 메모</t>
    </r>
    <r>
      <rPr>
        <sz val="10"/>
        <rFont val="Malgun Gothic"/>
        <family val="0"/>
        <charset val="1"/>
      </rPr>
      <t xml:space="preserve">)</t>
    </r>
  </si>
  <si>
    <t xml:space="preserve">확정</t>
  </si>
  <si>
    <r>
      <rPr>
        <sz val="10"/>
        <rFont val="Noto Sans CJK SC"/>
        <family val="2"/>
      </rPr>
      <t xml:space="preserve">이대로 결과에 쓴다 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수정안이 있으면 수정안으로</t>
    </r>
    <r>
      <rPr>
        <sz val="10"/>
        <rFont val="Malgun Gothic"/>
        <family val="0"/>
        <charset val="1"/>
      </rPr>
      <t xml:space="preserve">)</t>
    </r>
  </si>
  <si>
    <t xml:space="preserve">수정요청</t>
  </si>
  <si>
    <t xml:space="preserve">고쳐야 하지만 수정안을 아직 못 씀 — 메모 확인</t>
  </si>
  <si>
    <t xml:space="preserve">검수중</t>
  </si>
  <si>
    <r>
      <rPr>
        <sz val="10"/>
        <rFont val="Noto Sans CJK SC"/>
        <family val="2"/>
      </rPr>
      <t xml:space="preserve">읽는 중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나중에 다시 봄</t>
    </r>
  </si>
  <si>
    <t xml:space="preserve">초안</t>
  </si>
  <si>
    <r>
      <rPr>
        <sz val="10"/>
        <rFont val="Noto Sans CJK SC"/>
        <family val="2"/>
      </rPr>
      <t xml:space="preserve">아직 안 봄 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처음 상태</t>
    </r>
    <r>
      <rPr>
        <sz val="10"/>
        <rFont val="Malgun Gothic"/>
        <family val="0"/>
        <charset val="1"/>
      </rPr>
      <t xml:space="preserve">)</t>
    </r>
  </si>
  <si>
    <t xml:space="preserve">삭제</t>
  </si>
  <si>
    <t xml:space="preserve">이 문장을 빼고 싶음 — 개발 쪽과 구조를 함께 바꿔야 해서 자동 반영되지 않음</t>
  </si>
  <si>
    <r>
      <rPr>
        <b val="true"/>
        <sz val="12"/>
        <color rgb="FF012F53"/>
        <rFont val="Noto Sans CJK SC"/>
        <family val="2"/>
      </rPr>
      <t xml:space="preserve">작성 예시 </t>
    </r>
    <r>
      <rPr>
        <b val="true"/>
        <sz val="12"/>
        <color rgb="FF012F53"/>
        <rFont val="Malgun Gothic"/>
        <family val="0"/>
        <charset val="1"/>
      </rPr>
      <t xml:space="preserve">(</t>
    </r>
    <r>
      <rPr>
        <b val="true"/>
        <sz val="12"/>
        <color rgb="FF012F53"/>
        <rFont val="Noto Sans CJK SC"/>
        <family val="2"/>
      </rPr>
      <t xml:space="preserve">실제 시트와 같은 칸 구성</t>
    </r>
    <r>
      <rPr>
        <b val="true"/>
        <sz val="12"/>
        <color rgb="FF012F53"/>
        <rFont val="Malgun Gothic"/>
        <family val="0"/>
        <charset val="1"/>
      </rPr>
      <t xml:space="preserve">)</t>
    </r>
  </si>
  <si>
    <t xml:space="preserve">ID</t>
  </si>
  <si>
    <r>
      <rPr>
        <b val="true"/>
        <sz val="10"/>
        <color rgb="FFFFFFFF"/>
        <rFont val="Noto Sans CJK SC"/>
        <family val="2"/>
      </rPr>
      <t xml:space="preserve">카드 </t>
    </r>
    <r>
      <rPr>
        <b val="true"/>
        <sz val="10"/>
        <color rgb="FFFFFFFF"/>
        <rFont val="Malgun Gothic"/>
        <family val="0"/>
        <charset val="1"/>
      </rPr>
      <t xml:space="preserve">· </t>
    </r>
    <r>
      <rPr>
        <b val="true"/>
        <sz val="10"/>
        <color rgb="FFFFFFFF"/>
        <rFont val="Noto Sans CJK SC"/>
        <family val="2"/>
      </rPr>
      <t xml:space="preserve">분류</t>
    </r>
  </si>
  <si>
    <t xml:space="preserve">항목</t>
  </si>
  <si>
    <r>
      <rPr>
        <b val="true"/>
        <sz val="10"/>
        <color rgb="FFFFFFFF"/>
        <rFont val="Noto Sans CJK SC"/>
        <family val="2"/>
      </rPr>
      <t xml:space="preserve">현재 문장 </t>
    </r>
    <r>
      <rPr>
        <b val="true"/>
        <sz val="10"/>
        <color rgb="FFFFFFFF"/>
        <rFont val="Malgun Gothic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초안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</si>
  <si>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t xml:space="preserve">상태</t>
  </si>
  <si>
    <t xml:space="preserve">수정안</t>
  </si>
  <si>
    <t xml:space="preserve">검수 메모</t>
  </si>
  <si>
    <t xml:space="preserve">cards.12.positions.now</t>
  </si>
  <si>
    <r>
      <rPr>
        <sz val="10"/>
        <rFont val="Malgun Gothic"/>
        <family val="0"/>
        <charset val="1"/>
      </rPr>
      <t xml:space="preserve">12 </t>
    </r>
    <r>
      <rPr>
        <sz val="10"/>
        <rFont val="Noto Sans CJK SC"/>
        <family val="2"/>
      </rPr>
      <t xml:space="preserve">바위 위의 쉼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물범</t>
    </r>
  </si>
  <si>
    <r>
      <rPr>
        <sz val="10"/>
        <rFont val="Noto Sans CJK SC"/>
        <family val="2"/>
      </rPr>
      <t xml:space="preserve">지금의 마음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정방향</t>
    </r>
  </si>
  <si>
    <r>
      <rPr>
        <sz val="10"/>
        <rFont val="Noto Sans CJK SC"/>
        <family val="2"/>
      </rPr>
      <t xml:space="preserve">몸도 마음도 쉬고 싶다는 신호를 보내고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열심히 해 왔는데 생각만큼 앞으로 나아가지 않는 느낌이 들 수 있어요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</si>
  <si>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몸도 마음도 잠시 쉬어 가자는 신호를 보내고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열심히 달려왔는데 제자리인 것 같은 느낌이 들 수 있어요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</si>
  <si>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나아가지 않는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이 실패처럼 들려서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제자리인 것 같은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으로 부드럽게</t>
    </r>
  </si>
  <si>
    <r>
      <rPr>
        <b val="true"/>
        <sz val="12"/>
        <color rgb="FF012F53"/>
        <rFont val="Noto Sans CJK SC"/>
        <family val="2"/>
      </rPr>
      <t xml:space="preserve">진행 현황 </t>
    </r>
    <r>
      <rPr>
        <b val="true"/>
        <sz val="12"/>
        <color rgb="FF012F53"/>
        <rFont val="Malgun Gothic"/>
        <family val="0"/>
        <charset val="1"/>
      </rPr>
      <t xml:space="preserve">(</t>
    </r>
    <r>
      <rPr>
        <b val="true"/>
        <sz val="12"/>
        <color rgb="FF012F53"/>
        <rFont val="Noto Sans CJK SC"/>
        <family val="2"/>
      </rPr>
      <t xml:space="preserve">자동 계산</t>
    </r>
    <r>
      <rPr>
        <b val="true"/>
        <sz val="12"/>
        <color rgb="FF012F53"/>
        <rFont val="Malgun Gothic"/>
        <family val="0"/>
        <charset val="1"/>
      </rPr>
      <t xml:space="preserve">)</t>
    </r>
  </si>
  <si>
    <t xml:space="preserve">시트</t>
  </si>
  <si>
    <t xml:space="preserve">무엇인가</t>
  </si>
  <si>
    <t xml:space="preserve">결과에서 쓰이는 곳</t>
  </si>
  <si>
    <t xml:space="preserve">단계</t>
  </si>
  <si>
    <t xml:space="preserve">문장 수</t>
  </si>
  <si>
    <t xml:space="preserve">확정 비율</t>
  </si>
  <si>
    <t xml:space="preserve">분량 확인</t>
  </si>
  <si>
    <t xml:space="preserve">카드기본설명</t>
  </si>
  <si>
    <r>
      <rPr>
        <sz val="10"/>
        <rFont val="Noto Sans CJK SC"/>
        <family val="2"/>
      </rPr>
      <t xml:space="preserve">카드 자체의 기본 뜻 — 키워드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세 문장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정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역방향</t>
    </r>
  </si>
  <si>
    <r>
      <rPr>
        <sz val="10"/>
        <rFont val="Noto Sans CJK SC"/>
        <family val="2"/>
      </rPr>
      <t xml:space="preserve">결과 </t>
    </r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쪽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키워드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개요 두 문장</t>
    </r>
    <r>
      <rPr>
        <sz val="10"/>
        <rFont val="Malgun Gothic"/>
        <family val="0"/>
        <charset val="1"/>
      </rPr>
      <t xml:space="preserve">) + 2~4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카드는 이렇게 말해요</t>
    </r>
    <r>
      <rPr>
        <sz val="10"/>
        <rFont val="Malgun Gothic"/>
        <family val="0"/>
        <charset val="1"/>
      </rPr>
      <t xml:space="preserve">'(</t>
    </r>
    <r>
      <rPr>
        <sz val="10"/>
        <rFont val="Noto Sans CJK SC"/>
        <family val="2"/>
      </rPr>
      <t xml:space="preserve">기본 설명 세 문장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역방향이면 역방향 설명 따로</t>
    </r>
    <r>
      <rPr>
        <sz val="10"/>
        <rFont val="Malgun Gothic"/>
        <family val="0"/>
        <charset val="1"/>
      </rPr>
      <t xml:space="preserve">) — v3.2</t>
    </r>
  </si>
  <si>
    <r>
      <rPr>
        <sz val="10"/>
        <rFont val="Malgun Gothic"/>
        <family val="0"/>
        <charset val="1"/>
      </rPr>
      <t xml:space="preserve">v2.8 </t>
    </r>
    <r>
      <rPr>
        <sz val="10"/>
        <rFont val="Noto Sans CJK SC"/>
        <family val="2"/>
      </rPr>
      <t xml:space="preserve">세 문장</t>
    </r>
  </si>
  <si>
    <t xml:space="preserve">메인문구조각</t>
  </si>
  <si>
    <r>
      <rPr>
        <sz val="10"/>
        <rFont val="Noto Sans CJK SC"/>
        <family val="2"/>
      </rPr>
      <t xml:space="preserve">메인 문구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첫 줄</t>
    </r>
    <r>
      <rPr>
        <sz val="10"/>
        <rFont val="Malgun Gothic"/>
        <family val="0"/>
        <charset val="1"/>
      </rPr>
      <t xml:space="preserve">·8</t>
    </r>
    <r>
      <rPr>
        <sz val="10"/>
        <rFont val="Noto Sans CJK SC"/>
        <family val="2"/>
      </rPr>
      <t xml:space="preserve">쪽 처방 연결 줄을 조립하는 카드 조각 — 명사구로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조사는 자동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</si>
  <si>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결과 </t>
    </r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메인 문구 </t>
    </r>
    <r>
      <rPr>
        <sz val="10"/>
        <rFont val="Malgun Gothic"/>
        <family val="0"/>
        <charset val="1"/>
      </rPr>
      <t xml:space="preserve">+ 8</t>
    </r>
    <r>
      <rPr>
        <sz val="10"/>
        <rFont val="Noto Sans CJK SC"/>
        <family val="2"/>
      </rPr>
      <t xml:space="preserve">쪽 굵은 연결 줄</t>
    </r>
  </si>
  <si>
    <r>
      <rPr>
        <sz val="10"/>
        <rFont val="Malgun Gothic"/>
        <family val="0"/>
        <charset val="1"/>
      </rPr>
      <t xml:space="preserve">v3.0 </t>
    </r>
    <r>
      <rPr>
        <sz val="10"/>
        <rFont val="Noto Sans CJK SC"/>
        <family val="2"/>
      </rPr>
      <t xml:space="preserve">새로 씀</t>
    </r>
  </si>
  <si>
    <t xml:space="preserve">위치해석</t>
  </si>
  <si>
    <r>
      <rPr>
        <sz val="10"/>
        <rFont val="Noto Sans CJK SC"/>
        <family val="2"/>
      </rPr>
      <t xml:space="preserve">카드 </t>
    </r>
    <r>
      <rPr>
        <sz val="10"/>
        <rFont val="Malgun Gothic"/>
        <family val="0"/>
        <charset val="1"/>
      </rPr>
      <t xml:space="preserve">22</t>
    </r>
    <r>
      <rPr>
        <sz val="10"/>
        <rFont val="Noto Sans CJK SC"/>
        <family val="2"/>
      </rPr>
      <t xml:space="preserve">장 </t>
    </r>
    <r>
      <rPr>
        <sz val="10"/>
        <rFont val="Malgun Gothic"/>
        <family val="0"/>
        <charset val="1"/>
      </rPr>
      <t xml:space="preserve">× </t>
    </r>
    <r>
      <rPr>
        <sz val="10"/>
        <rFont val="Noto Sans CJK SC"/>
        <family val="2"/>
      </rPr>
      <t xml:space="preserve">자리 </t>
    </r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곳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지나온 길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지금의 흐름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앞으로의 열쇠</t>
    </r>
    <r>
      <rPr>
        <sz val="10"/>
        <rFont val="Malgun Gothic"/>
        <family val="0"/>
        <charset val="1"/>
      </rPr>
      <t xml:space="preserve">) × </t>
    </r>
    <r>
      <rPr>
        <sz val="10"/>
        <rFont val="Noto Sans CJK SC"/>
        <family val="2"/>
      </rPr>
      <t xml:space="preserve">정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역방향 해석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두 문장</t>
    </r>
  </si>
  <si>
    <r>
      <rPr>
        <sz val="10"/>
        <rFont val="Noto Sans CJK SC"/>
        <family val="2"/>
      </rPr>
      <t xml:space="preserve">결과 </t>
    </r>
    <r>
      <rPr>
        <sz val="10"/>
        <rFont val="Malgun Gothic"/>
        <family val="0"/>
        <charset val="1"/>
      </rPr>
      <t xml:space="preserve">2·3·4</t>
    </r>
    <r>
      <rPr>
        <sz val="10"/>
        <rFont val="Noto Sans CJK SC"/>
        <family val="2"/>
      </rPr>
      <t xml:space="preserve">쪽 본문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첫 문장 굵게</t>
    </r>
    <r>
      <rPr>
        <sz val="10"/>
        <rFont val="Malgun Gothic"/>
        <family val="0"/>
        <charset val="1"/>
      </rPr>
      <t xml:space="preserve">)</t>
    </r>
  </si>
  <si>
    <t xml:space="preserve">상황질문</t>
  </si>
  <si>
    <r>
      <rPr>
        <sz val="10"/>
        <rFont val="Noto Sans CJK SC"/>
        <family val="2"/>
      </rPr>
      <t xml:space="preserve">곱씹어 볼 질문 — 카드 </t>
    </r>
    <r>
      <rPr>
        <sz val="10"/>
        <rFont val="Malgun Gothic"/>
        <family val="0"/>
        <charset val="1"/>
      </rPr>
      <t xml:space="preserve">× </t>
    </r>
    <r>
      <rPr>
        <sz val="10"/>
        <rFont val="Noto Sans CJK SC"/>
        <family val="2"/>
      </rPr>
      <t xml:space="preserve">자리 </t>
    </r>
    <r>
      <rPr>
        <sz val="10"/>
        <rFont val="Malgun Gothic"/>
        <family val="0"/>
        <charset val="1"/>
      </rPr>
      <t xml:space="preserve">× </t>
    </r>
    <r>
      <rPr>
        <sz val="10"/>
        <rFont val="Noto Sans CJK SC"/>
        <family val="2"/>
      </rPr>
      <t xml:space="preserve">정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역 한 개</t>
    </r>
    <r>
      <rPr>
        <sz val="10"/>
        <rFont val="Malgun Gothic"/>
        <family val="0"/>
        <charset val="1"/>
      </rPr>
      <t xml:space="preserve">(AI </t>
    </r>
    <r>
      <rPr>
        <sz val="10"/>
        <rFont val="Noto Sans CJK SC"/>
        <family val="2"/>
      </rPr>
      <t xml:space="preserve">질문이 없을 때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</si>
  <si>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결과 </t>
    </r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블러 아래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이 질문들을 곱씹어 볼까요</t>
    </r>
    <r>
      <rPr>
        <sz val="10"/>
        <rFont val="Malgun Gothic"/>
        <family val="0"/>
        <charset val="1"/>
      </rPr>
      <t xml:space="preserve">?'</t>
    </r>
  </si>
  <si>
    <t xml:space="preserve">처방실천</t>
  </si>
  <si>
    <r>
      <rPr>
        <sz val="10"/>
        <rFont val="Noto Sans CJK SC"/>
        <family val="2"/>
      </rPr>
      <t xml:space="preserve">카드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방향마다 </t>
    </r>
    <r>
      <rPr>
        <sz val="10"/>
        <rFont val="Malgun Gothic"/>
        <family val="0"/>
        <charset val="1"/>
      </rPr>
      <t xml:space="preserve">8</t>
    </r>
    <r>
      <rPr>
        <sz val="10"/>
        <rFont val="Noto Sans CJK SC"/>
        <family val="2"/>
      </rPr>
      <t xml:space="preserve">쪽 처방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개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열쇠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속도</t>
    </r>
    <r>
      <rPr>
        <sz val="10"/>
        <rFont val="Malgun Gothic"/>
        <family val="0"/>
        <charset val="1"/>
      </rPr>
      <t xml:space="preserve">)</t>
    </r>
    <r>
      <rPr>
        <sz val="10"/>
        <rFont val="Noto Sans CJK SC"/>
        <family val="2"/>
      </rPr>
      <t xml:space="preserve">와 </t>
    </r>
    <r>
      <rPr>
        <sz val="10"/>
        <rFont val="Malgun Gothic"/>
        <family val="0"/>
        <charset val="1"/>
      </rPr>
      <t xml:space="preserve">9</t>
    </r>
    <r>
      <rPr>
        <sz val="10"/>
        <rFont val="Noto Sans CJK SC"/>
        <family val="2"/>
      </rPr>
      <t xml:space="preserve">쪽 실천 </t>
    </r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개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오늘</t>
    </r>
    <r>
      <rPr>
        <sz val="10"/>
        <rFont val="Malgun Gothic"/>
        <family val="0"/>
        <charset val="1"/>
      </rPr>
      <t xml:space="preserve">·3</t>
    </r>
    <r>
      <rPr>
        <sz val="10"/>
        <rFont val="Noto Sans CJK SC"/>
        <family val="2"/>
      </rPr>
      <t xml:space="preserve">일 안에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이번 주</t>
    </r>
    <r>
      <rPr>
        <sz val="10"/>
        <rFont val="Malgun Gothic"/>
        <family val="0"/>
        <charset val="1"/>
      </rPr>
      <t xml:space="preserve">) — </t>
    </r>
    <r>
      <rPr>
        <sz val="10"/>
        <rFont val="Noto Sans CJK SC"/>
        <family val="2"/>
      </rPr>
      <t xml:space="preserve">분석의 같은 대상을 직접 다룸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논리 점프 금지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</si>
  <si>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결과 </t>
    </r>
    <r>
      <rPr>
        <sz val="10"/>
        <rFont val="Malgun Gothic"/>
        <family val="0"/>
        <charset val="1"/>
      </rPr>
      <t xml:space="preserve">8</t>
    </r>
    <r>
      <rPr>
        <sz val="10"/>
        <rFont val="Noto Sans CJK SC"/>
        <family val="2"/>
      </rPr>
      <t xml:space="preserve">쪽 그래서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이렇게 해 보세요 </t>
    </r>
    <r>
      <rPr>
        <sz val="10"/>
        <rFont val="Malgun Gothic"/>
        <family val="0"/>
        <charset val="1"/>
      </rPr>
      <t xml:space="preserve">+ 9</t>
    </r>
    <r>
      <rPr>
        <sz val="10"/>
        <rFont val="Noto Sans CJK SC"/>
        <family val="2"/>
      </rPr>
      <t xml:space="preserve">쪽 이번 주 실천 카드</t>
    </r>
  </si>
  <si>
    <t xml:space="preserve">성향</t>
  </si>
  <si>
    <r>
      <rPr>
        <sz val="10"/>
        <rFont val="Noto Sans CJK SC"/>
        <family val="2"/>
      </rPr>
      <t xml:space="preserve">지나온 길 카드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방향마다 고민 앞에서 흔히 보이는 성향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일반적 추정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단정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꼬리표 금지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</si>
  <si>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결과 </t>
    </r>
    <r>
      <rPr>
        <sz val="10"/>
        <rFont val="Malgun Gothic"/>
        <family val="0"/>
        <charset val="1"/>
      </rPr>
      <t xml:space="preserve">6</t>
    </r>
    <r>
      <rPr>
        <sz val="10"/>
        <rFont val="Noto Sans CJK SC"/>
        <family val="2"/>
      </rPr>
      <t xml:space="preserve">쪽 내 고민에 대어 보면 위</t>
    </r>
  </si>
  <si>
    <r>
      <rPr>
        <sz val="10"/>
        <rFont val="Malgun Gothic"/>
        <family val="0"/>
        <charset val="1"/>
      </rPr>
      <t xml:space="preserve">v3.2 </t>
    </r>
    <r>
      <rPr>
        <sz val="10"/>
        <rFont val="Noto Sans CJK SC"/>
        <family val="2"/>
      </rPr>
      <t xml:space="preserve">새로 씀</t>
    </r>
  </si>
  <si>
    <t xml:space="preserve">변화신호</t>
  </si>
  <si>
    <r>
      <rPr>
        <sz val="10"/>
        <rFont val="Noto Sans CJK SC"/>
        <family val="2"/>
      </rPr>
      <t xml:space="preserve">앞으로의 열쇠 카드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방향마다 풀리고 있다는 신호 </t>
    </r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개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관찰 가능한 작은 변화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제안 아님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</si>
  <si>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결과 </t>
    </r>
    <r>
      <rPr>
        <sz val="10"/>
        <rFont val="Malgun Gothic"/>
        <family val="0"/>
        <charset val="1"/>
      </rPr>
      <t xml:space="preserve">7</t>
    </r>
    <r>
      <rPr>
        <sz val="10"/>
        <rFont val="Noto Sans CJK SC"/>
        <family val="2"/>
      </rPr>
      <t xml:space="preserve">쪽 해결의 흐름 아래</t>
    </r>
  </si>
  <si>
    <r>
      <rPr>
        <sz val="10"/>
        <rFont val="Malgun Gothic"/>
        <family val="0"/>
        <charset val="1"/>
      </rPr>
      <t xml:space="preserve">v3.1 </t>
    </r>
    <r>
      <rPr>
        <sz val="10"/>
        <rFont val="Noto Sans CJK SC"/>
        <family val="2"/>
      </rPr>
      <t xml:space="preserve">새로 씀</t>
    </r>
  </si>
  <si>
    <t xml:space="preserve">안전키워드</t>
  </si>
  <si>
    <r>
      <rPr>
        <sz val="10"/>
        <rFont val="Noto Sans CJK SC"/>
        <family val="2"/>
      </rPr>
      <t xml:space="preserve">고민 원문에서 찾는 위험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주의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폭력 신호 단어 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한 칸에 쉼표로</t>
    </r>
    <r>
      <rPr>
        <sz val="10"/>
        <rFont val="Malgun Gothic"/>
        <family val="0"/>
        <charset val="1"/>
      </rPr>
      <t xml:space="preserve">)</t>
    </r>
  </si>
  <si>
    <t xml:space="preserve">고민 제출 직후 안전 확인</t>
  </si>
  <si>
    <r>
      <rPr>
        <sz val="10"/>
        <rFont val="Malgun Gothic"/>
        <family val="0"/>
        <charset val="1"/>
      </rPr>
      <t xml:space="preserve">v2.5 </t>
    </r>
    <r>
      <rPr>
        <sz val="10"/>
        <rFont val="Noto Sans CJK SC"/>
        <family val="2"/>
      </rPr>
      <t xml:space="preserve">신규</t>
    </r>
  </si>
  <si>
    <t xml:space="preserve">조합문장</t>
  </si>
  <si>
    <r>
      <rPr>
        <sz val="10"/>
        <rFont val="Noto Sans CJK SC"/>
        <family val="2"/>
      </rPr>
      <t xml:space="preserve">세 장 조합 — </t>
    </r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두 문단 </t>
    </r>
    <r>
      <rPr>
        <sz val="10"/>
        <rFont val="Malgun Gothic"/>
        <family val="0"/>
        <charset val="1"/>
      </rPr>
      <t xml:space="preserve">108(1</t>
    </r>
    <r>
      <rPr>
        <sz val="10"/>
        <rFont val="Noto Sans CJK SC"/>
        <family val="2"/>
      </rPr>
      <t xml:space="preserve">문단 </t>
    </r>
    <r>
      <rPr>
        <sz val="10"/>
        <rFont val="Malgun Gothic"/>
        <family val="0"/>
        <charset val="1"/>
      </rPr>
      <t xml:space="preserve">36 · </t>
    </r>
    <r>
      <rPr>
        <sz val="10"/>
        <rFont val="Noto Sans CJK SC"/>
        <family val="2"/>
      </rPr>
      <t xml:space="preserve">겹치는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달라지는 점 </t>
    </r>
    <r>
      <rPr>
        <sz val="10"/>
        <rFont val="Malgun Gothic"/>
        <family val="0"/>
        <charset val="1"/>
      </rPr>
      <t xml:space="preserve">72) · </t>
    </r>
    <r>
      <rPr>
        <sz val="10"/>
        <rFont val="Noto Sans CJK SC"/>
        <family val="2"/>
      </rPr>
      <t xml:space="preserve">요약 </t>
    </r>
    <r>
      <rPr>
        <sz val="10"/>
        <rFont val="Malgun Gothic"/>
        <family val="0"/>
        <charset val="1"/>
      </rPr>
      <t xml:space="preserve">12 · </t>
    </r>
    <r>
      <rPr>
        <sz val="10"/>
        <rFont val="Noto Sans CJK SC"/>
        <family val="2"/>
      </rPr>
      <t xml:space="preserve">내 고민에 대어 보면 </t>
    </r>
    <r>
      <rPr>
        <sz val="10"/>
        <rFont val="Malgun Gothic"/>
        <family val="0"/>
        <charset val="1"/>
      </rPr>
      <t xml:space="preserve">42(</t>
    </r>
    <r>
      <rPr>
        <sz val="10"/>
        <rFont val="Noto Sans CJK SC"/>
        <family val="2"/>
      </rPr>
      <t xml:space="preserve">예시 장면 포함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해결 속도 </t>
    </r>
    <r>
      <rPr>
        <sz val="10"/>
        <rFont val="Malgun Gothic"/>
        <family val="0"/>
        <charset val="1"/>
      </rPr>
      <t xml:space="preserve">7 · </t>
    </r>
    <r>
      <rPr>
        <sz val="10"/>
        <rFont val="Noto Sans CJK SC"/>
        <family val="2"/>
      </rPr>
      <t xml:space="preserve">읽은 이유 </t>
    </r>
    <r>
      <rPr>
        <sz val="10"/>
        <rFont val="Malgun Gothic"/>
        <family val="0"/>
        <charset val="1"/>
      </rPr>
      <t xml:space="preserve">15 · </t>
    </r>
    <r>
      <rPr>
        <sz val="10"/>
        <rFont val="Noto Sans CJK SC"/>
        <family val="2"/>
      </rPr>
      <t xml:space="preserve">고민 보정 </t>
    </r>
    <r>
      <rPr>
        <sz val="10"/>
        <rFont val="Malgun Gothic"/>
        <family val="0"/>
        <charset val="1"/>
      </rPr>
      <t xml:space="preserve">2 (</t>
    </r>
    <r>
      <rPr>
        <sz val="10"/>
        <rFont val="Noto Sans CJK SC"/>
        <family val="2"/>
      </rPr>
      <t xml:space="preserve">모두 분석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제안 없음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</si>
  <si>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결과 </t>
    </r>
    <r>
      <rPr>
        <sz val="10"/>
        <rFont val="Malgun Gothic"/>
        <family val="0"/>
        <charset val="1"/>
      </rPr>
      <t xml:space="preserve">5·6·7</t>
    </r>
    <r>
      <rPr>
        <sz val="10"/>
        <rFont val="Noto Sans CJK SC"/>
        <family val="2"/>
      </rPr>
      <t xml:space="preserve">쪽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블러 아래</t>
    </r>
    <r>
      <rPr>
        <sz val="10"/>
        <rFont val="Malgun Gothic"/>
        <family val="0"/>
        <charset val="1"/>
      </rPr>
      <t xml:space="preserve">)</t>
    </r>
  </si>
  <si>
    <t xml:space="preserve">해결기운</t>
  </si>
  <si>
    <r>
      <rPr>
        <sz val="10"/>
        <rFont val="Noto Sans CJK SC"/>
        <family val="2"/>
      </rPr>
      <t xml:space="preserve">카드별 해결 기운 숫자 — 조합 점수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해결 속도</t>
    </r>
    <r>
      <rPr>
        <sz val="10"/>
        <rFont val="Malgun Gothic"/>
        <family val="0"/>
        <charset val="1"/>
      </rPr>
      <t xml:space="preserve">)</t>
    </r>
    <r>
      <rPr>
        <sz val="10"/>
        <rFont val="Noto Sans CJK SC"/>
        <family val="2"/>
      </rPr>
      <t xml:space="preserve">를 정함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상담사 검토 필요</t>
    </r>
  </si>
  <si>
    <r>
      <rPr>
        <sz val="10"/>
        <rFont val="Noto Sans CJK SC"/>
        <family val="2"/>
      </rPr>
      <t xml:space="preserve">결과 </t>
    </r>
    <r>
      <rPr>
        <sz val="10"/>
        <rFont val="Malgun Gothic"/>
        <family val="0"/>
        <charset val="1"/>
      </rPr>
      <t xml:space="preserve">7</t>
    </r>
    <r>
      <rPr>
        <sz val="10"/>
        <rFont val="Noto Sans CJK SC"/>
        <family val="2"/>
      </rPr>
      <t xml:space="preserve">쪽 해결 속도 판정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화면에 숫자는 안 보임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</si>
  <si>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v2.9 </t>
    </r>
    <r>
      <rPr>
        <sz val="10"/>
        <rFont val="Noto Sans CJK SC"/>
        <family val="2"/>
      </rPr>
      <t xml:space="preserve">신규</t>
    </r>
  </si>
  <si>
    <t xml:space="preserve">화면문구</t>
  </si>
  <si>
    <t xml:space="preserve">인트로부터 결과까지 화면에 보이는 고정 문구</t>
  </si>
  <si>
    <t xml:space="preserve">각 화면</t>
  </si>
  <si>
    <r>
      <rPr>
        <sz val="10"/>
        <rFont val="Noto Sans CJK SC"/>
        <family val="2"/>
      </rPr>
      <t xml:space="preserve">출시 </t>
    </r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단계</t>
    </r>
  </si>
  <si>
    <t xml:space="preserve">합계</t>
  </si>
  <si>
    <r>
      <rPr>
        <sz val="9"/>
        <color rgb="FF5A6470"/>
        <rFont val="Noto Sans CJK SC"/>
        <family val="2"/>
      </rPr>
      <t xml:space="preserve">깊이읽기 시트</t>
    </r>
    <r>
      <rPr>
        <sz val="9"/>
        <color rgb="FF5A6470"/>
        <rFont val="Malgun Gothic"/>
        <family val="0"/>
        <charset val="1"/>
      </rPr>
      <t xml:space="preserve">(</t>
    </r>
    <r>
      <rPr>
        <sz val="9"/>
        <color rgb="FF5A6470"/>
        <rFont val="Noto Sans CJK SC"/>
        <family val="2"/>
      </rPr>
      <t xml:space="preserve">금색 탭</t>
    </r>
    <r>
      <rPr>
        <sz val="9"/>
        <color rgb="FF5A6470"/>
        <rFont val="Malgun Gothic"/>
        <family val="0"/>
        <charset val="1"/>
      </rPr>
      <t xml:space="preserve">)</t>
    </r>
    <r>
      <rPr>
        <sz val="9"/>
        <color rgb="FF5A6470"/>
        <rFont val="Noto Sans CJK SC"/>
        <family val="2"/>
      </rPr>
      <t xml:space="preserve">는 이번에 새로 쓴 </t>
    </r>
    <r>
      <rPr>
        <sz val="9"/>
        <color rgb="FF5A6470"/>
        <rFont val="Malgun Gothic"/>
        <family val="0"/>
        <charset val="1"/>
      </rPr>
      <t xml:space="preserve">2</t>
    </r>
    <r>
      <rPr>
        <sz val="9"/>
        <color rgb="FF5A6470"/>
        <rFont val="Noto Sans CJK SC"/>
        <family val="2"/>
      </rPr>
      <t xml:space="preserve">단계 초안입니다</t>
    </r>
    <r>
      <rPr>
        <sz val="9"/>
        <color rgb="FF5A6470"/>
        <rFont val="Malgun Gothic"/>
        <family val="0"/>
        <charset val="1"/>
      </rPr>
      <t xml:space="preserve">. </t>
    </r>
    <r>
      <rPr>
        <sz val="9"/>
        <color rgb="FF5A6470"/>
        <rFont val="Noto Sans CJK SC"/>
        <family val="2"/>
      </rPr>
      <t xml:space="preserve">역방향은 위치별 공통 단락 </t>
    </r>
    <r>
      <rPr>
        <sz val="9"/>
        <color rgb="FF5A6470"/>
        <rFont val="Malgun Gothic"/>
        <family val="0"/>
        <charset val="1"/>
      </rPr>
      <t xml:space="preserve">3</t>
    </r>
    <r>
      <rPr>
        <sz val="9"/>
        <color rgb="FF5A6470"/>
        <rFont val="Noto Sans CJK SC"/>
        <family val="2"/>
      </rPr>
      <t xml:space="preserve">개를 </t>
    </r>
    <r>
      <rPr>
        <sz val="9"/>
        <color rgb="FF5A6470"/>
        <rFont val="Malgun Gothic"/>
        <family val="0"/>
        <charset val="1"/>
      </rPr>
      <t xml:space="preserve">22</t>
    </r>
    <r>
      <rPr>
        <sz val="9"/>
        <color rgb="FF5A6470"/>
        <rFont val="Noto Sans CJK SC"/>
        <family val="2"/>
      </rPr>
      <t xml:space="preserve">장 모두에 씁니다</t>
    </r>
    <r>
      <rPr>
        <sz val="9"/>
        <color rgb="FF5A6470"/>
        <rFont val="Malgun Gothic"/>
        <family val="0"/>
        <charset val="1"/>
      </rPr>
      <t xml:space="preserve">.</t>
    </r>
  </si>
  <si>
    <t xml:space="preserve">구분</t>
  </si>
  <si>
    <t xml:space="preserve">처리</t>
  </si>
  <si>
    <t xml:space="preserve">무엇이 문제였나</t>
  </si>
  <si>
    <t xml:space="preserve">전</t>
  </si>
  <si>
    <r>
      <rPr>
        <b val="true"/>
        <sz val="10"/>
        <color rgb="FFFFFFFF"/>
        <rFont val="Noto Sans CJK SC"/>
        <family val="2"/>
      </rPr>
      <t xml:space="preserve">후 </t>
    </r>
    <r>
      <rPr>
        <b val="true"/>
        <sz val="10"/>
        <color rgb="FFFFFFFF"/>
        <rFont val="Malgun Gothic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현재 문장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</si>
  <si>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t xml:space="preserve">cards.11.deep.step.0</t>
  </si>
  <si>
    <t xml:space="preserve">우려</t>
  </si>
  <si>
    <t xml:space="preserve">반영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</si>
  <si>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단정할 수 없는 부분이 많다는 걸 알게 돼요</t>
    </r>
    <r>
      <rPr>
        <sz val="10"/>
        <rFont val="Malgun Gothic"/>
        <family val="0"/>
        <charset val="1"/>
      </rPr>
      <t xml:space="preserve">' - </t>
    </r>
    <r>
      <rPr>
        <sz val="10"/>
        <rFont val="Noto Sans CJK SC"/>
        <family val="2"/>
      </rPr>
      <t xml:space="preserve">단정이고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폭력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부당한 대우를 겪은 사람에게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네 해석일 수 있다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는 식으로 경험을 깎아내리는 말로 읽힐 수 있음</t>
    </r>
  </si>
  <si>
    <r>
      <rPr>
        <sz val="10"/>
        <rFont val="Noto Sans CJK SC"/>
        <family val="2"/>
      </rPr>
      <t xml:space="preserve">사실과 해석을 나누면 감정의 온도가 조금 내려가요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실제로 일어난 일과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 일에 내가 붙인 의미를 따로 보면 생각보다 단정할 수 없는 부분이 많다는 걸 알게 돼요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</si>
  <si>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사실과 해석을 나누면 감정의 온도가 조금 내려가요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실제로 일어난 일과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 일에 내가 붙인 의미를 따로 보면 어디까지가 사실이고 어디부터가 내 해석인지 조금 더 또렷해져요</t>
    </r>
    <r>
      <rPr>
        <sz val="10"/>
        <rFont val="Malgun Gothic"/>
        <family val="0"/>
        <charset val="1"/>
      </rPr>
      <t xml:space="preserve">.</t>
    </r>
  </si>
  <si>
    <t xml:space="preserve">cards.11.practices.0.why</t>
  </si>
  <si>
    <r>
      <rPr>
        <sz val="10"/>
        <rFont val="Noto Sans CJK SC"/>
        <family val="2"/>
      </rPr>
      <t xml:space="preserve">무겁게 하던 것이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일어난 일이 아니라 내 해석이었음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이라고 단정 — 실제로 힘든 일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폭력 등</t>
    </r>
    <r>
      <rPr>
        <sz val="10"/>
        <rFont val="Malgun Gothic"/>
        <family val="0"/>
        <charset val="1"/>
      </rPr>
      <t xml:space="preserve">)</t>
    </r>
    <r>
      <rPr>
        <sz val="10"/>
        <rFont val="Noto Sans CJK SC"/>
        <family val="2"/>
      </rPr>
      <t xml:space="preserve">을 겪는 사람에게 상처가 될 수 있음</t>
    </r>
  </si>
  <si>
    <r>
      <rPr>
        <sz val="10"/>
        <rFont val="Noto Sans CJK SC"/>
        <family val="2"/>
      </rPr>
      <t xml:space="preserve">사실과 해석을 떼어 놓으면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마음을 무겁게 하던 것이 일어난 일이 아니라 내 해석이었음을 알아차리기 쉬워져요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</si>
  <si>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사실과 해석을 떼어 놓으면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마음을 무겁게 하던 것 중 어디까지가 일어난 일이고 어디부터가 내 해석인지 알아차리기 쉬워져요</t>
    </r>
    <r>
      <rPr>
        <sz val="10"/>
        <rFont val="Malgun Gothic"/>
        <family val="0"/>
        <charset val="1"/>
      </rPr>
      <t xml:space="preserve">.</t>
    </r>
  </si>
  <si>
    <t xml:space="preserve">cards.13.core</t>
  </si>
  <si>
    <r>
      <rPr>
        <sz val="10"/>
        <rFont val="Malgun Gothic"/>
        <family val="0"/>
        <charset val="1"/>
      </rPr>
      <t xml:space="preserve">'-</t>
    </r>
    <r>
      <rPr>
        <sz val="10"/>
        <rFont val="Noto Sans CJK SC"/>
        <family val="2"/>
      </rPr>
      <t xml:space="preserve">아야 들어갈 수 있어요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가 지금 관계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직장을 떠나야 한다는 단정으로 읽힐 수 있음</t>
    </r>
  </si>
  <si>
    <r>
      <rPr>
        <sz val="10"/>
        <rFont val="Noto Sans CJK SC"/>
        <family val="2"/>
      </rPr>
      <t xml:space="preserve">맞지 않는 껍데기를 내려놓아야 새 집에 들어갈 수 있어요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</si>
  <si>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맞지 않는 껍데기를 내려놓을 때 새 집으로 옮겨 갈 수 있어요</t>
    </r>
    <r>
      <rPr>
        <sz val="10"/>
        <rFont val="Malgun Gothic"/>
        <family val="0"/>
        <charset val="1"/>
      </rPr>
      <t xml:space="preserve">.</t>
    </r>
  </si>
  <si>
    <t xml:space="preserve">cards.13.reversed.core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</si>
  <si>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끝내야 할 것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이 관계 종료 권유나 위기 상황에서 위험하게 읽힐 수 있음</t>
    </r>
  </si>
  <si>
    <r>
      <rPr>
        <sz val="10"/>
        <rFont val="Noto Sans CJK SC"/>
        <family val="2"/>
      </rPr>
      <t xml:space="preserve">끝내야 할 것을 아직 놓지 못하고 있어요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</si>
  <si>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내려놓을 것을 아직 놓지 못하고 있어요</t>
    </r>
    <r>
      <rPr>
        <sz val="10"/>
        <rFont val="Malgun Gothic"/>
        <family val="0"/>
        <charset val="1"/>
      </rPr>
      <t xml:space="preserve">.</t>
    </r>
  </si>
  <si>
    <t xml:space="preserve">cards.15.deep.hold.0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</si>
  <si>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그 순간에는 분명 도움이 돼요</t>
    </r>
    <r>
      <rPr>
        <sz val="10"/>
        <rFont val="Malgun Gothic"/>
        <family val="0"/>
        <charset val="1"/>
      </rPr>
      <t xml:space="preserve">' - </t>
    </r>
    <r>
      <rPr>
        <sz val="10"/>
        <rFont val="Noto Sans CJK SC"/>
        <family val="2"/>
      </rPr>
      <t xml:space="preserve">단정어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분명</t>
    </r>
    <r>
      <rPr>
        <sz val="10"/>
        <rFont val="Malgun Gothic"/>
        <family val="0"/>
        <charset val="1"/>
      </rPr>
      <t xml:space="preserve">'. </t>
    </r>
    <r>
      <rPr>
        <sz val="10"/>
        <rFont val="Noto Sans CJK SC"/>
        <family val="2"/>
      </rPr>
      <t xml:space="preserve">불안할 때 반복하는 습관에 자해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음주 등이 포함될 수 있어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분명 도움이 된다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는 말은 위험</t>
    </r>
  </si>
  <si>
    <r>
      <rPr>
        <sz val="10"/>
        <rFont val="Noto Sans CJK SC"/>
        <family val="2"/>
      </rPr>
      <t xml:space="preserve">불안할 때 반복하는 습관은 그 순간에는 분명 도움이 돼요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그래서 계속하게 되지만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습관이 길어지면 불안을 달래 주던 방법이 오히려 나를 붙잡는 끈이 되기도 해요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</si>
  <si>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불안할 때 반복하는 습관은 그 순간에는 잠깐 마음을 편하게 해 주기도 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그래서 계속하게 되지만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습관이 길어지면 불안을 달래 주던 방법이 오히려 나를 붙잡는 끈이 되기도 해요</t>
    </r>
    <r>
      <rPr>
        <sz val="10"/>
        <rFont val="Malgun Gothic"/>
        <family val="0"/>
        <charset val="1"/>
      </rPr>
      <t xml:space="preserve">.</t>
    </r>
  </si>
  <si>
    <t xml:space="preserve">cards.16.deep.step.1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</si>
  <si>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연락 하나</t>
    </r>
    <r>
      <rPr>
        <sz val="10"/>
        <rFont val="Malgun Gothic"/>
        <family val="0"/>
        <charset val="1"/>
      </rPr>
      <t xml:space="preserve">' - </t>
    </r>
    <r>
      <rPr>
        <sz val="10"/>
        <rFont val="Noto Sans CJK SC"/>
        <family val="2"/>
      </rPr>
      <t xml:space="preserve">다가가기형이 아닌 문장에서 연락을 권함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이별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관계 붕괴 고민에서 상대에게 연락하라는 뜻으로 읽힐 수 있음</t>
    </r>
  </si>
  <si>
    <r>
      <rPr>
        <sz val="10"/>
        <rFont val="Noto Sans CJK SC"/>
        <family val="2"/>
      </rPr>
      <t xml:space="preserve">오늘 할 수 있는 가장 작은 한 조각을 정해 보세요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연락 하나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정리 하나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계획 한 줄이면 충분해요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매일 쌓은 조각을 기록해 두면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무너진 자리 위에 무언가가 다시 자라고 있다는 걸 눈으로 확인할 수 있어요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</si>
  <si>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오늘 할 수 있는 가장 작은 한 조각을 정해 보세요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확인 하나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정리 하나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계획 한 줄이면 충분해요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매일 쌓은 조각을 기록해 두면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무너진 자리 위에 무언가가 다시 자라고 있다는 걸 눈으로 확인할 수 있어요</t>
    </r>
    <r>
      <rPr>
        <sz val="10"/>
        <rFont val="Malgun Gothic"/>
        <family val="0"/>
        <charset val="1"/>
      </rPr>
      <t xml:space="preserve">.</t>
    </r>
  </si>
  <si>
    <t xml:space="preserve">cards.17.core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</si>
  <si>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분명히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로 회복을 단정</t>
    </r>
  </si>
  <si>
    <r>
      <rPr>
        <sz val="10"/>
        <rFont val="Noto Sans CJK SC"/>
        <family val="2"/>
      </rPr>
      <t xml:space="preserve">천천히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그러나 분명히 회복은 일어나요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</si>
  <si>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천천히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그래도 조금씩 회복은 일어날 수 있어요</t>
    </r>
    <r>
      <rPr>
        <sz val="10"/>
        <rFont val="Malgun Gothic"/>
        <family val="0"/>
        <charset val="1"/>
      </rPr>
      <t xml:space="preserve">.</t>
    </r>
  </si>
  <si>
    <t xml:space="preserve">cards.18.practices.1.why</t>
  </si>
  <si>
    <r>
      <rPr>
        <sz val="10"/>
        <rFont val="Noto Sans CJK SC"/>
        <family val="2"/>
      </rPr>
      <t xml:space="preserve">걱정이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실제보다 커져 있었음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을 전제로 단정 — 실제 위험이 있는 상황에서 위험을 축소하게 할 수 있음</t>
    </r>
  </si>
  <si>
    <r>
      <rPr>
        <sz val="10"/>
        <rFont val="Noto Sans CJK SC"/>
        <family val="2"/>
      </rPr>
      <t xml:space="preserve">막연한 걱정을 숫자로 적으면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머릿속 시나리오가 실제보다 커져 있었음을 알아차리기 쉬워져요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</si>
  <si>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막연한 걱정을 숫자로 적으면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머릿속 시나리오가 실제보다 커져 있지는 않은지 살펴보기 쉬워져요</t>
    </r>
    <r>
      <rPr>
        <sz val="10"/>
        <rFont val="Malgun Gothic"/>
        <family val="0"/>
        <charset val="1"/>
      </rPr>
      <t xml:space="preserve">.</t>
    </r>
  </si>
  <si>
    <t xml:space="preserve">cards.21.deep.step.1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</si>
  <si>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감사의 말을 전하고 싶은 사람</t>
    </r>
    <r>
      <rPr>
        <sz val="10"/>
        <rFont val="Malgun Gothic"/>
        <family val="0"/>
        <charset val="1"/>
      </rPr>
      <t xml:space="preserve">... </t>
    </r>
    <r>
      <rPr>
        <sz val="10"/>
        <rFont val="Noto Sans CJK SC"/>
        <family val="2"/>
      </rPr>
      <t xml:space="preserve">메시지를 보내 보는 것도 좋아요</t>
    </r>
    <r>
      <rPr>
        <sz val="10"/>
        <rFont val="Malgun Gothic"/>
        <family val="0"/>
        <charset val="1"/>
      </rPr>
      <t xml:space="preserve">' - </t>
    </r>
    <r>
      <rPr>
        <sz val="10"/>
        <rFont val="Noto Sans CJK SC"/>
        <family val="2"/>
      </rPr>
      <t xml:space="preserve">다가가기형이 아닌 문장에서 상대에게 마음을 전하라는 제안</t>
    </r>
    <r>
      <rPr>
        <sz val="10"/>
        <rFont val="Malgun Gothic"/>
        <family val="0"/>
        <charset val="1"/>
      </rPr>
      <t xml:space="preserve">. '</t>
    </r>
    <r>
      <rPr>
        <sz val="10"/>
        <rFont val="Noto Sans CJK SC"/>
        <family val="2"/>
      </rPr>
      <t xml:space="preserve">함께한 것들이 다음 바다를 비춰 줄 거예요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는 예언형</t>
    </r>
  </si>
  <si>
    <r>
      <rPr>
        <sz val="10"/>
        <rFont val="Noto Sans CJK SC"/>
        <family val="2"/>
      </rPr>
      <t xml:space="preserve">이번 여정에서 고마웠던 사람과 순간을 세 가지 적어 보세요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감사의 말을 전하고 싶은 사람이 떠오른다면 짧은 메시지를 보내 보는 것도 좋아요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바다 친구들이 둥글게 모이듯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함께한 것들이 다음 바다를 비춰 줄 거예요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</si>
  <si>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이번 여정에서 고마웠던 사람과 순간을 세 가지 적어 보세요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고마운 얼굴이 떠오른다면 마음속으로 감사의 말을 건네 보는 것도 좋아요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바다 친구들이 둥글게 모이듯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함께한 것들이 다음 바다를 비춰 줄 수 있어요</t>
    </r>
    <r>
      <rPr>
        <sz val="10"/>
        <rFont val="Malgun Gothic"/>
        <family val="0"/>
        <charset val="1"/>
      </rPr>
      <t xml:space="preserve">.</t>
    </r>
  </si>
  <si>
    <t xml:space="preserve">cards.3.practices.0.title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</si>
  <si>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자기자비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는 이론 용어</t>
    </r>
  </si>
  <si>
    <t xml:space="preserve">자기자비 쉼표</t>
  </si>
  <si>
    <t xml:space="preserve">나에게 다정한 쉼표</t>
  </si>
  <si>
    <t xml:space="preserve">cards.5.practices.0.how</t>
  </si>
  <si>
    <r>
      <rPr>
        <sz val="10"/>
        <rFont val="Noto Sans CJK SC"/>
        <family val="2"/>
      </rPr>
      <t xml:space="preserve">다가가기형으로 분류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문장 유지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</si>
  <si>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다가가기형이 아닌데 다른 사람에게 메시지를 보내라고 함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폭력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통제 신호가 있어도 빠지지 않음</t>
    </r>
    <r>
      <rPr>
        <sz val="10"/>
        <rFont val="Malgun Gothic"/>
        <family val="0"/>
        <charset val="1"/>
      </rPr>
      <t xml:space="preserve">)</t>
    </r>
  </si>
  <si>
    <t xml:space="preserve">cards.5.practices.0.why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</si>
  <si>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묻는 것 자체가 외로움을 덜어 줘요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가 연락을 전제로 함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다가가기형 아님</t>
    </r>
    <r>
      <rPr>
        <sz val="10"/>
        <rFont val="Malgun Gothic"/>
        <family val="0"/>
        <charset val="1"/>
      </rPr>
      <t xml:space="preserve">)</t>
    </r>
  </si>
  <si>
    <t xml:space="preserve">cards.5.reversed.core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</si>
  <si>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도움을 구하는 길이 닫혀 있어요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는 위기 상황에서 절망적으로 읽힘</t>
    </r>
  </si>
  <si>
    <r>
      <rPr>
        <sz val="10"/>
        <rFont val="Noto Sans CJK SC"/>
        <family val="2"/>
      </rPr>
      <t xml:space="preserve">도움을 구하는 길이 아직 닫혀 있어요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</si>
  <si>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도움을 구하는 문을 아직 두드리지 못하고 있어요</t>
    </r>
    <r>
      <rPr>
        <sz val="10"/>
        <rFont val="Malgun Gothic"/>
        <family val="0"/>
        <charset val="1"/>
      </rPr>
      <t xml:space="preserve">.</t>
    </r>
  </si>
  <si>
    <t xml:space="preserve">cards.6.deep.step.1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</si>
  <si>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관계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를 가치와 비교해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가까운 쪽을 고르면</t>
    </r>
    <r>
      <rPr>
        <sz val="10"/>
        <rFont val="Malgun Gothic"/>
        <family val="0"/>
        <charset val="1"/>
      </rPr>
      <t xml:space="preserve">' - </t>
    </r>
    <r>
      <rPr>
        <sz val="10"/>
        <rFont val="Noto Sans CJK SC"/>
        <family val="2"/>
      </rPr>
      <t xml:space="preserve">관계 하나를 두고 읽으면 관계를 유지할지 끝낼지 고르라는 권유로 읽힐 수 있음</t>
    </r>
  </si>
  <si>
    <r>
      <rPr>
        <sz val="10"/>
        <rFont val="Noto Sans CJK SC"/>
        <family val="2"/>
      </rPr>
      <t xml:space="preserve">내가 소중히 여기는 가치 세 가지를 적고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지금 고민 중인 관계나 선택이 그 가치와 얼마나 가까운지 살펴보세요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가까운 쪽을 고르면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결과와 상관없이 그 선택을 내 것으로 받아들이기가 쉬워져요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</si>
  <si>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내가 소중히 여기는 가치 세 가지를 적고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지금 고민 중인 관계나 선택이 그 가치와 얼마나 가까운지 살펴보세요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가치를 기준으로 삼으면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결과와 상관없이 내 선택을 내 것으로 받아들이기가 쉬워져요</t>
    </r>
    <r>
      <rPr>
        <sz val="10"/>
        <rFont val="Malgun Gothic"/>
        <family val="0"/>
        <charset val="1"/>
      </rPr>
      <t xml:space="preserve">.</t>
    </r>
  </si>
  <si>
    <t xml:space="preserve">cards.6.practices.1.how</t>
  </si>
  <si>
    <r>
      <rPr>
        <sz val="10"/>
        <rFont val="Noto Sans CJK SC"/>
        <family val="2"/>
      </rPr>
      <t xml:space="preserve">반영 </t>
    </r>
    <r>
      <rPr>
        <sz val="10"/>
        <rFont val="Malgun Gothic"/>
        <family val="0"/>
        <charset val="1"/>
      </rPr>
      <t xml:space="preserve">(Claude </t>
    </r>
    <r>
      <rPr>
        <sz val="10"/>
        <rFont val="Noto Sans CJK SC"/>
        <family val="2"/>
      </rPr>
      <t xml:space="preserve">조정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</si>
  <si>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누구에게 전하는지 빠져 있음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서운함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갈등을 상대에게 직접 말하게 해서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폭력 신호를 밝히지 않은 사용자에게는 위험할 수 있음</t>
    </r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</si>
  <si>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나는 </t>
    </r>
    <r>
      <rPr>
        <sz val="10"/>
        <rFont val="Malgun Gothic"/>
        <family val="0"/>
        <charset val="1"/>
      </rPr>
      <t xml:space="preserve">~</t>
    </r>
    <r>
      <rPr>
        <sz val="10"/>
        <rFont val="Noto Sans CJK SC"/>
        <family val="2"/>
      </rPr>
      <t xml:space="preserve">할 때 </t>
    </r>
    <r>
      <rPr>
        <sz val="10"/>
        <rFont val="Malgun Gothic"/>
        <family val="0"/>
        <charset val="1"/>
      </rPr>
      <t xml:space="preserve">~</t>
    </r>
    <r>
      <rPr>
        <sz val="10"/>
        <rFont val="Noto Sans CJK SC"/>
        <family val="2"/>
      </rPr>
      <t xml:space="preserve">하게 느껴져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라는 형식으로 내 마음 하나를 전해요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</si>
  <si>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편하게 말할 수 있는 사람에게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나는 </t>
    </r>
    <r>
      <rPr>
        <sz val="10"/>
        <rFont val="Malgun Gothic"/>
        <family val="0"/>
        <charset val="1"/>
      </rPr>
      <t xml:space="preserve">~</t>
    </r>
    <r>
      <rPr>
        <sz val="10"/>
        <rFont val="Noto Sans CJK SC"/>
        <family val="2"/>
      </rPr>
      <t xml:space="preserve">할 때 </t>
    </r>
    <r>
      <rPr>
        <sz val="10"/>
        <rFont val="Malgun Gothic"/>
        <family val="0"/>
        <charset val="1"/>
      </rPr>
      <t xml:space="preserve">~</t>
    </r>
    <r>
      <rPr>
        <sz val="10"/>
        <rFont val="Noto Sans CJK SC"/>
        <family val="2"/>
      </rPr>
      <t xml:space="preserve">하게 느껴져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라는 형식으로 내 마음 하나를 전해요</t>
    </r>
    <r>
      <rPr>
        <sz val="10"/>
        <rFont val="Malgun Gothic"/>
        <family val="0"/>
        <charset val="1"/>
      </rPr>
      <t xml:space="preserve">.</t>
    </r>
  </si>
  <si>
    <t xml:space="preserve">cards.6.practices.1.title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</si>
  <si>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나</t>
    </r>
    <r>
      <rPr>
        <sz val="10"/>
        <rFont val="Malgun Gothic"/>
        <family val="0"/>
        <charset val="1"/>
      </rPr>
      <t xml:space="preserve">-</t>
    </r>
    <r>
      <rPr>
        <sz val="10"/>
        <rFont val="Noto Sans CJK SC"/>
        <family val="2"/>
      </rPr>
      <t xml:space="preserve">전달법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은 이론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기법명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전문 용어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</si>
  <si>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나</t>
    </r>
    <r>
      <rPr>
        <sz val="10"/>
        <rFont val="Malgun Gothic"/>
        <family val="0"/>
        <charset val="1"/>
      </rPr>
      <t xml:space="preserve">-</t>
    </r>
    <r>
      <rPr>
        <sz val="10"/>
        <rFont val="Noto Sans CJK SC"/>
        <family val="2"/>
      </rPr>
      <t xml:space="preserve">전달법 한 문장</t>
    </r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</si>
  <si>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나는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으로 시작하는 한 문장</t>
    </r>
  </si>
  <si>
    <t xml:space="preserve">cards.8.closing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</si>
  <si>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불편함을 품는 시간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이 상황을 견디라는 뜻으로 읽힐 수 있음</t>
    </r>
  </si>
  <si>
    <r>
      <rPr>
        <sz val="10"/>
        <rFont val="Noto Sans CJK SC"/>
        <family val="2"/>
      </rPr>
      <t xml:space="preserve">이 세 장이 함께 말하는 한 가지는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불편함을 품는 시간이 나를 단단하게 만드는 진주가 될 수 있다는 점이에요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</si>
  <si>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세 장이 함께 말하는 한 가지는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불편한 감정을 품어 주는 시간이 나를 단단하게 만드는 진주가 될 수 있다는 점이에요</t>
    </r>
    <r>
      <rPr>
        <sz val="10"/>
        <rFont val="Malgun Gothic"/>
        <family val="0"/>
        <charset val="1"/>
      </rPr>
      <t xml:space="preserve">.</t>
    </r>
  </si>
  <si>
    <t xml:space="preserve">cards.8.core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</si>
  <si>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불편함을 품는 시간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이 상황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폭력 등</t>
    </r>
    <r>
      <rPr>
        <sz val="10"/>
        <rFont val="Malgun Gothic"/>
        <family val="0"/>
        <charset val="1"/>
      </rPr>
      <t xml:space="preserve">)</t>
    </r>
    <r>
      <rPr>
        <sz val="10"/>
        <rFont val="Noto Sans CJK SC"/>
        <family val="2"/>
      </rPr>
      <t xml:space="preserve">을 참으라는 뜻으로 읽힐 수 있음</t>
    </r>
  </si>
  <si>
    <r>
      <rPr>
        <sz val="10"/>
        <rFont val="Noto Sans CJK SC"/>
        <family val="2"/>
      </rPr>
      <t xml:space="preserve">불편함을 품는 시간이 단단함을 만들어요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</si>
  <si>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불편한 감정을 품어 주는 시간이 단단함을 만들어요</t>
    </r>
    <r>
      <rPr>
        <sz val="10"/>
        <rFont val="Malgun Gothic"/>
        <family val="0"/>
        <charset val="1"/>
      </rPr>
      <t xml:space="preserve">.</t>
    </r>
  </si>
  <si>
    <t xml:space="preserve">cards.8.deep.now.0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</si>
  <si>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견뎌 온 당신의 마음은 이미 꽤 단단해져 있어요</t>
    </r>
    <r>
      <rPr>
        <sz val="10"/>
        <rFont val="Malgun Gothic"/>
        <family val="0"/>
        <charset val="1"/>
      </rPr>
      <t xml:space="preserve">' - '</t>
    </r>
    <r>
      <rPr>
        <sz val="10"/>
        <rFont val="Noto Sans CJK SC"/>
        <family val="2"/>
      </rPr>
      <t xml:space="preserve">당신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호칭에 단정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참고 견디는 것을 칭찬해 폭력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학대 상황에서 계속 견디라는 뜻으로 읽힐 수 있음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역방향 위치해석</t>
    </r>
    <r>
      <rPr>
        <sz val="10"/>
        <rFont val="Malgun Gothic"/>
        <family val="0"/>
        <charset val="1"/>
      </rPr>
      <t xml:space="preserve">('</t>
    </r>
    <r>
      <rPr>
        <sz val="10"/>
        <rFont val="Noto Sans CJK SC"/>
        <family val="2"/>
      </rPr>
      <t xml:space="preserve">견디는 것만이 강한 거라는 생각이 도움을 청하는 길을 막고</t>
    </r>
    <r>
      <rPr>
        <sz val="10"/>
        <rFont val="Malgun Gothic"/>
        <family val="0"/>
        <charset val="1"/>
      </rPr>
      <t xml:space="preserve">')</t>
    </r>
    <r>
      <rPr>
        <sz val="10"/>
        <rFont val="Noto Sans CJK SC"/>
        <family val="2"/>
      </rPr>
      <t xml:space="preserve">과도 결이 부딪힘</t>
    </r>
  </si>
  <si>
    <r>
      <rPr>
        <sz val="10"/>
        <rFont val="Noto Sans CJK SC"/>
        <family val="2"/>
      </rPr>
      <t xml:space="preserve">드러내지 않은 불편함을 품고 하루를 지켜 낸다는 건 생각보다 많은 힘이 드는 일이에요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아무도 몰라도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 시간을 견뎌 온 당신의 마음은 이미 꽤 단단해져 있어요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</si>
  <si>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드러내지 않은 불편함을 품고 하루를 지켜 낸다는 건 생각보다 많은 힘이 드는 일이에요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아무도 몰라도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 시간을 지나온 내 마음의 수고는 충분히 알아줄 만해요</t>
    </r>
    <r>
      <rPr>
        <sz val="10"/>
        <rFont val="Malgun Gothic"/>
        <family val="0"/>
        <charset val="1"/>
      </rPr>
      <t xml:space="preserve">.</t>
    </r>
  </si>
  <si>
    <t xml:space="preserve">cards.8.deep.step.0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</si>
  <si>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해결하지 못하는 시간이 오히려 마음의 결을 단단하게 다듬어 줘요</t>
    </r>
    <r>
      <rPr>
        <sz val="10"/>
        <rFont val="Malgun Gothic"/>
        <family val="0"/>
        <charset val="1"/>
      </rPr>
      <t xml:space="preserve">' - </t>
    </r>
    <r>
      <rPr>
        <sz val="10"/>
        <rFont val="Noto Sans CJK SC"/>
        <family val="2"/>
      </rPr>
      <t xml:space="preserve">단정이고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고통을 견디는 시간이 이롭다는 뜻으로 읽혀 위기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폭력 상황에서 부적절할 수 있음</t>
    </r>
  </si>
  <si>
    <r>
      <rPr>
        <sz val="10"/>
        <rFont val="Noto Sans CJK SC"/>
        <family val="2"/>
      </rPr>
      <t xml:space="preserve">조개는 모래알을 뱉어 내지 못할 때 그것을 감싸 진주로 만들어요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불편함과 함께 있는 연습도 비슷해서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감정을 바로 해결하지 못하는 시간이 오히려 마음의 결을 단단하게 다듬어 줘요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</si>
  <si>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조개는 모래알을 뱉어 내지 못할 때 그것을 감싸 진주로 만들어요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불편함과 함께 있는 연습도 비슷해서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감정을 바로 해결하지 못하는 시간이 마음의 결을 단단하게 다듬어 줄 수 있어요</t>
    </r>
    <r>
      <rPr>
        <sz val="10"/>
        <rFont val="Malgun Gothic"/>
        <family val="0"/>
        <charset val="1"/>
      </rPr>
      <t xml:space="preserve">.</t>
    </r>
  </si>
  <si>
    <t xml:space="preserve">cards.8.positions.now</t>
  </si>
  <si>
    <r>
      <rPr>
        <sz val="10"/>
        <rFont val="Noto Sans CJK SC"/>
        <family val="2"/>
      </rPr>
      <t xml:space="preserve">견디는 것 자체를 힘으로 칭찬해 폭력 상황에서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참아라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로 읽힐 수 있음</t>
    </r>
    <r>
      <rPr>
        <sz val="10"/>
        <rFont val="Malgun Gothic"/>
        <family val="0"/>
        <charset val="1"/>
      </rPr>
      <t xml:space="preserve">, '</t>
    </r>
    <r>
      <rPr>
        <sz val="10"/>
        <rFont val="Noto Sans CJK SC"/>
        <family val="2"/>
      </rPr>
      <t xml:space="preserve">당신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사용</t>
    </r>
  </si>
  <si>
    <r>
      <rPr>
        <sz val="10"/>
        <rFont val="Noto Sans CJK SC"/>
        <family val="2"/>
      </rPr>
      <t xml:space="preserve">쉽게 드러내지 않지만 마음속에 꽤 오래 품고 있는 불편함이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그걸 견디며 하루를 지켜 내고 있는 것 자체가 당신의 힘이에요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</si>
  <si>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쉽게 드러내지 않지만 마음속에 꽤 오래 품고 있는 불편함이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마음을 안고 하루를 지내 온 것만으로도 이미 애쓰고 있는 거예요</t>
    </r>
    <r>
      <rPr>
        <sz val="10"/>
        <rFont val="Malgun Gothic"/>
        <family val="0"/>
        <charset val="1"/>
      </rPr>
      <t xml:space="preserve">.</t>
    </r>
  </si>
  <si>
    <t xml:space="preserve">copy.safety.urgent_contacts.0.note</t>
  </si>
  <si>
    <r>
      <rPr>
        <sz val="10"/>
        <rFont val="Noto Sans CJK SC"/>
        <family val="2"/>
      </rPr>
      <t xml:space="preserve">노출 문구에 </t>
    </r>
    <r>
      <rPr>
        <sz val="10"/>
        <rFont val="Malgun Gothic"/>
        <family val="0"/>
        <charset val="1"/>
      </rPr>
      <t xml:space="preserve">'[</t>
    </r>
    <r>
      <rPr>
        <sz val="10"/>
        <rFont val="Noto Sans CJK SC"/>
        <family val="2"/>
      </rPr>
      <t xml:space="preserve">확인필요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출시 전 최신 번호 확인</t>
    </r>
    <r>
      <rPr>
        <sz val="10"/>
        <rFont val="Malgun Gothic"/>
        <family val="0"/>
        <charset val="1"/>
      </rPr>
      <t xml:space="preserve">]' </t>
    </r>
    <r>
      <rPr>
        <sz val="10"/>
        <rFont val="Noto Sans CJK SC"/>
        <family val="2"/>
      </rPr>
      <t xml:space="preserve">내부 메모 포함</t>
    </r>
    <r>
      <rPr>
        <sz val="10"/>
        <rFont val="Malgun Gothic"/>
        <family val="0"/>
        <charset val="1"/>
      </rPr>
      <t xml:space="preserve">(contacts.1.note</t>
    </r>
    <r>
      <rPr>
        <sz val="10"/>
        <rFont val="Noto Sans CJK SC"/>
        <family val="2"/>
      </rPr>
      <t xml:space="preserve">도 동일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</si>
  <si>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24</t>
    </r>
    <r>
      <rPr>
        <sz val="10"/>
        <rFont val="Noto Sans CJK SC"/>
        <family val="2"/>
      </rPr>
      <t xml:space="preserve">시간 </t>
    </r>
    <r>
      <rPr>
        <sz val="10"/>
        <rFont val="Malgun Gothic"/>
        <family val="0"/>
        <charset val="1"/>
      </rPr>
      <t xml:space="preserve">[</t>
    </r>
    <r>
      <rPr>
        <sz val="10"/>
        <rFont val="Noto Sans CJK SC"/>
        <family val="2"/>
      </rPr>
      <t xml:space="preserve">확인필요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출시 전 최신 번호 확인</t>
    </r>
    <r>
      <rPr>
        <sz val="10"/>
        <rFont val="Malgun Gothic"/>
        <family val="0"/>
        <charset val="1"/>
      </rPr>
      <t xml:space="preserve">]</t>
    </r>
  </si>
  <si>
    <r>
      <rPr>
        <sz val="10"/>
        <rFont val="Malgun Gothic"/>
        <family val="0"/>
        <charset val="1"/>
      </rPr>
      <t xml:space="preserve">24</t>
    </r>
    <r>
      <rPr>
        <sz val="10"/>
        <rFont val="Noto Sans CJK SC"/>
        <family val="2"/>
      </rPr>
      <t xml:space="preserve">시간</t>
    </r>
  </si>
  <si>
    <t xml:space="preserve">copy.safety.urgent_contacts.0.number</t>
  </si>
  <si>
    <t xml:space="preserve">판단 필요</t>
  </si>
  <si>
    <r>
      <rPr>
        <sz val="10"/>
        <rFont val="Noto Sans CJK SC"/>
        <family val="2"/>
      </rPr>
      <t xml:space="preserve">화면에 보이던 내부 메모 </t>
    </r>
    <r>
      <rPr>
        <sz val="10"/>
        <rFont val="Malgun Gothic"/>
        <family val="0"/>
        <charset val="1"/>
      </rPr>
      <t xml:space="preserve">'[</t>
    </r>
    <r>
      <rPr>
        <sz val="10"/>
        <rFont val="Noto Sans CJK SC"/>
        <family val="2"/>
      </rPr>
      <t xml:space="preserve">확인필요</t>
    </r>
    <r>
      <rPr>
        <sz val="10"/>
        <rFont val="Malgun Gothic"/>
        <family val="0"/>
        <charset val="1"/>
      </rPr>
      <t xml:space="preserve">]'</t>
    </r>
    <r>
      <rPr>
        <sz val="10"/>
        <rFont val="Noto Sans CJK SC"/>
        <family val="2"/>
      </rPr>
      <t xml:space="preserve">는 뺐음</t>
    </r>
    <r>
      <rPr>
        <sz val="10"/>
        <rFont val="Malgun Gothic"/>
        <family val="0"/>
        <charset val="1"/>
      </rPr>
      <t xml:space="preserve">. 109·1577-0199 </t>
    </r>
    <r>
      <rPr>
        <sz val="10"/>
        <rFont val="Noto Sans CJK SC"/>
        <family val="2"/>
      </rPr>
      <t xml:space="preserve">번호는 출시 전 최신 확인 필요</t>
    </r>
  </si>
  <si>
    <t xml:space="preserve">copy.safety.violence_box</t>
  </si>
  <si>
    <r>
      <rPr>
        <sz val="10"/>
        <rFont val="Noto Sans CJK SC"/>
        <family val="2"/>
      </rPr>
      <t xml:space="preserve">사용자 노출 문구 안에 </t>
    </r>
    <r>
      <rPr>
        <sz val="10"/>
        <rFont val="Malgun Gothic"/>
        <family val="0"/>
        <charset val="1"/>
      </rPr>
      <t xml:space="preserve">'[</t>
    </r>
    <r>
      <rPr>
        <sz val="10"/>
        <rFont val="Noto Sans CJK SC"/>
        <family val="2"/>
      </rPr>
      <t xml:space="preserve">확인필요</t>
    </r>
    <r>
      <rPr>
        <sz val="10"/>
        <rFont val="Malgun Gothic"/>
        <family val="0"/>
        <charset val="1"/>
      </rPr>
      <t xml:space="preserve">]' </t>
    </r>
    <r>
      <rPr>
        <sz val="10"/>
        <rFont val="Noto Sans CJK SC"/>
        <family val="2"/>
      </rPr>
      <t xml:space="preserve">표기가 들어 있고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여성긴급전화만 안내해 성별을 가정함</t>
    </r>
  </si>
  <si>
    <r>
      <rPr>
        <sz val="10"/>
        <rFont val="Noto Sans CJK SC"/>
        <family val="2"/>
      </rPr>
      <t xml:space="preserve">혹시 상대가 무섭게 느껴지거나 통제받는다고 느낀다면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그건 혼자 해결해야 할 고민이 아니에요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여성긴급전화 </t>
    </r>
    <r>
      <rPr>
        <sz val="10"/>
        <rFont val="Malgun Gothic"/>
        <family val="0"/>
        <charset val="1"/>
      </rPr>
      <t xml:space="preserve">1366(24</t>
    </r>
    <r>
      <rPr>
        <sz val="10"/>
        <rFont val="Noto Sans CJK SC"/>
        <family val="2"/>
      </rPr>
      <t xml:space="preserve">시간</t>
    </r>
    <r>
      <rPr>
        <sz val="10"/>
        <rFont val="Malgun Gothic"/>
        <family val="0"/>
        <charset val="1"/>
      </rPr>
      <t xml:space="preserve">), </t>
    </r>
    <r>
      <rPr>
        <sz val="10"/>
        <rFont val="Noto Sans CJK SC"/>
        <family val="2"/>
      </rPr>
      <t xml:space="preserve">긴급 시 </t>
    </r>
    <r>
      <rPr>
        <sz val="10"/>
        <rFont val="Malgun Gothic"/>
        <family val="0"/>
        <charset val="1"/>
      </rPr>
      <t xml:space="preserve">112</t>
    </r>
    <r>
      <rPr>
        <sz val="10"/>
        <rFont val="Noto Sans CJK SC"/>
        <family val="2"/>
      </rPr>
      <t xml:space="preserve">에서 도움받을 수 있어요</t>
    </r>
    <r>
      <rPr>
        <sz val="10"/>
        <rFont val="Malgun Gothic"/>
        <family val="0"/>
        <charset val="1"/>
      </rPr>
      <t xml:space="preserve">. [</t>
    </r>
    <r>
      <rPr>
        <sz val="10"/>
        <rFont val="Noto Sans CJK SC"/>
        <family val="2"/>
      </rPr>
      <t xml:space="preserve">확인필요</t>
    </r>
    <r>
      <rPr>
        <sz val="10"/>
        <rFont val="Malgun Gothic"/>
        <family val="0"/>
        <charset val="1"/>
      </rPr>
      <t xml:space="preserve">]</t>
    </r>
  </si>
  <si>
    <r>
      <rPr>
        <sz val="10"/>
        <rFont val="Noto Sans CJK SC"/>
        <family val="2"/>
      </rPr>
      <t xml:space="preserve">혹시 상대가 무섭게 느껴지거나 통제받는다고 느낀다면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그건 혼자 해결해야 할 고민이 아니에요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여성긴급전화 </t>
    </r>
    <r>
      <rPr>
        <sz val="10"/>
        <rFont val="Malgun Gothic"/>
        <family val="0"/>
        <charset val="1"/>
      </rPr>
      <t xml:space="preserve">1366(24</t>
    </r>
    <r>
      <rPr>
        <sz val="10"/>
        <rFont val="Noto Sans CJK SC"/>
        <family val="2"/>
      </rPr>
      <t xml:space="preserve">시간</t>
    </r>
    <r>
      <rPr>
        <sz val="10"/>
        <rFont val="Malgun Gothic"/>
        <family val="0"/>
        <charset val="1"/>
      </rPr>
      <t xml:space="preserve">), </t>
    </r>
    <r>
      <rPr>
        <sz val="10"/>
        <rFont val="Noto Sans CJK SC"/>
        <family val="2"/>
      </rPr>
      <t xml:space="preserve">긴급 시 </t>
    </r>
    <r>
      <rPr>
        <sz val="10"/>
        <rFont val="Malgun Gothic"/>
        <family val="0"/>
        <charset val="1"/>
      </rPr>
      <t xml:space="preserve">112</t>
    </r>
    <r>
      <rPr>
        <sz val="10"/>
        <rFont val="Noto Sans CJK SC"/>
        <family val="2"/>
      </rPr>
      <t xml:space="preserve">에서 도움받을 수 있어요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</si>
  <si>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1366(</t>
    </r>
    <r>
      <rPr>
        <sz val="10"/>
        <rFont val="Noto Sans CJK SC"/>
        <family val="2"/>
      </rPr>
      <t xml:space="preserve">여성긴급전화</t>
    </r>
    <r>
      <rPr>
        <sz val="10"/>
        <rFont val="Malgun Gothic"/>
        <family val="0"/>
        <charset val="1"/>
      </rPr>
      <t xml:space="preserve">)</t>
    </r>
    <r>
      <rPr>
        <sz val="10"/>
        <rFont val="Noto Sans CJK SC"/>
        <family val="2"/>
      </rPr>
      <t xml:space="preserve">만 안내해 피해자를 여성으로 가정할 수 있음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성별과 상관없는 안내를 함께 둘지 결정 필요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번호는 출시 전 확인</t>
    </r>
  </si>
  <si>
    <t xml:space="preserve">prescriptions.by_domain_need.FAM_BOUNDARY.how</t>
  </si>
  <si>
    <t xml:space="preserve">다가가기형이 아닌데 간섭하는 가족에게 직접 선을 긋는 말을 하도록 제안</t>
  </si>
  <si>
    <t xml:space="preserve">cards.0.practices.1.how</t>
  </si>
  <si>
    <t xml:space="preserve">오류</t>
  </si>
  <si>
    <r>
      <rPr>
        <sz val="10"/>
        <rFont val="Noto Sans CJK SC"/>
        <family val="2"/>
      </rPr>
      <t xml:space="preserve">하나를 적고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그중 하나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를 고르라고 해서 앞뒤가 맞지 않음</t>
    </r>
  </si>
  <si>
    <r>
      <rPr>
        <sz val="10"/>
        <rFont val="Noto Sans CJK SC"/>
        <family val="2"/>
      </rPr>
      <t xml:space="preserve">오늘 궁금했던 것 하나를 메모장에 적고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그중 하나를 </t>
    </r>
    <r>
      <rPr>
        <sz val="10"/>
        <rFont val="Malgun Gothic"/>
        <family val="0"/>
        <charset val="1"/>
      </rPr>
      <t xml:space="preserve">10</t>
    </r>
    <r>
      <rPr>
        <sz val="10"/>
        <rFont val="Noto Sans CJK SC"/>
        <family val="2"/>
      </rPr>
      <t xml:space="preserve">분만 찾아봐요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</si>
  <si>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오늘 궁금했던 것 몇 가지를 메모장에 적고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그중 하나를 </t>
    </r>
    <r>
      <rPr>
        <sz val="10"/>
        <rFont val="Malgun Gothic"/>
        <family val="0"/>
        <charset val="1"/>
      </rPr>
      <t xml:space="preserve">10</t>
    </r>
    <r>
      <rPr>
        <sz val="10"/>
        <rFont val="Noto Sans CJK SC"/>
        <family val="2"/>
      </rPr>
      <t xml:space="preserve">분만 찾아봐요</t>
    </r>
    <r>
      <rPr>
        <sz val="10"/>
        <rFont val="Malgun Gothic"/>
        <family val="0"/>
        <charset val="1"/>
      </rPr>
      <t xml:space="preserve">.</t>
    </r>
  </si>
  <si>
    <t xml:space="preserve">cards.19.deep.now.0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</si>
  <si>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웃을 수 있는 순간은 </t>
    </r>
    <r>
      <rPr>
        <sz val="10"/>
        <rFont val="Malgun Gothic"/>
        <family val="0"/>
        <charset val="1"/>
      </rPr>
      <t xml:space="preserve">~</t>
    </r>
    <r>
      <rPr>
        <sz val="10"/>
        <rFont val="Noto Sans CJK SC"/>
        <family val="2"/>
      </rPr>
      <t xml:space="preserve">가볍게 여겨서가 아니라</t>
    </r>
    <r>
      <rPr>
        <sz val="10"/>
        <rFont val="Malgun Gothic"/>
        <family val="0"/>
        <charset val="1"/>
      </rPr>
      <t xml:space="preserve">, ~</t>
    </r>
    <r>
      <rPr>
        <sz val="10"/>
        <rFont val="Noto Sans CJK SC"/>
        <family val="2"/>
      </rPr>
      <t xml:space="preserve">힘이 되어 줘요</t>
    </r>
    <r>
      <rPr>
        <sz val="10"/>
        <rFont val="Malgun Gothic"/>
        <family val="0"/>
        <charset val="1"/>
      </rPr>
      <t xml:space="preserve">' - '-</t>
    </r>
    <r>
      <rPr>
        <sz val="10"/>
        <rFont val="Noto Sans CJK SC"/>
        <family val="2"/>
      </rPr>
      <t xml:space="preserve">서가 아니라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뒤에 짝이 맞지 않는 서술어가 와 비문</t>
    </r>
  </si>
  <si>
    <r>
      <rPr>
        <sz val="10"/>
        <rFont val="Noto Sans CJK SC"/>
        <family val="2"/>
      </rPr>
      <t xml:space="preserve">고민이 있는데도 기쁨과 기대가 살아 있다는 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마음에 회복할 힘이 충분히 남아 있다는 뜻이에요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웃을 수 있는 순간은 고민을 가볍게 여겨서가 아니라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 고민을 견딜 힘이 되어 줘요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</si>
  <si>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고민이 있는데도 기쁨과 기대가 살아 있다는 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마음에 회복할 힘이 충분히 남아 있다는 뜻이에요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웃을 수 있는 건 고민을 가볍게 여겨서가 아니에요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그런 순간이 오히려 그 고민을 견딜 힘이 되어 줘요</t>
    </r>
    <r>
      <rPr>
        <sz val="10"/>
        <rFont val="Malgun Gothic"/>
        <family val="0"/>
        <charset val="1"/>
      </rPr>
      <t xml:space="preserve">.</t>
    </r>
  </si>
  <si>
    <t xml:space="preserve">cards.3.deep.now.0</t>
  </si>
  <si>
    <r>
      <rPr>
        <sz val="10"/>
        <rFont val="Noto Sans CJK SC"/>
        <family val="2"/>
      </rPr>
      <t xml:space="preserve">한 문장 안에서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당신이 가진 큰 힘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과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내 쪽 그릇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이 섞임</t>
    </r>
    <r>
      <rPr>
        <sz val="10"/>
        <rFont val="Malgun Gothic"/>
        <family val="0"/>
        <charset val="1"/>
      </rPr>
      <t xml:space="preserve">(BRIEF</t>
    </r>
    <r>
      <rPr>
        <sz val="10"/>
        <rFont val="Noto Sans CJK SC"/>
        <family val="2"/>
      </rPr>
      <t xml:space="preserve">의 예시와 같은 유형</t>
    </r>
    <r>
      <rPr>
        <sz val="10"/>
        <rFont val="Malgun Gothic"/>
        <family val="0"/>
        <charset val="1"/>
      </rPr>
      <t xml:space="preserve">). </t>
    </r>
    <r>
      <rPr>
        <sz val="10"/>
        <rFont val="Noto Sans CJK SC"/>
        <family val="2"/>
      </rPr>
      <t xml:space="preserve">위치해석 문장</t>
    </r>
    <r>
      <rPr>
        <sz val="10"/>
        <rFont val="Malgun Gothic"/>
        <family val="0"/>
        <charset val="1"/>
      </rPr>
      <t xml:space="preserve">('</t>
    </r>
    <r>
      <rPr>
        <sz val="10"/>
        <rFont val="Noto Sans CJK SC"/>
        <family val="2"/>
      </rPr>
      <t xml:space="preserve">그 따뜻함이 당신의 큰 힘이지만</t>
    </r>
    <r>
      <rPr>
        <sz val="10"/>
        <rFont val="Malgun Gothic"/>
        <family val="0"/>
        <charset val="1"/>
      </rPr>
      <t xml:space="preserve">')</t>
    </r>
    <r>
      <rPr>
        <sz val="10"/>
        <rFont val="Noto Sans CJK SC"/>
        <family val="2"/>
      </rPr>
      <t xml:space="preserve">도 거의 그대로 반복</t>
    </r>
  </si>
  <si>
    <r>
      <rPr>
        <sz val="10"/>
        <rFont val="Noto Sans CJK SC"/>
        <family val="2"/>
      </rPr>
      <t xml:space="preserve">누군가를 돌보는 일은 마음을 꽤 많이 쓰는 일이에요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따뜻함은 당신이 가진 큰 힘이지만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쓴 만큼 채워지지 않으면 어느새 내 쪽 그릇이 비어 가기도 해요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</si>
  <si>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누군가를 돌보는 일은 마음을 꽤 많이 쓰는 일이에요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따뜻함은 큰 힘이지만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쓴 만큼 채워지지 않으면 어느새 내 쪽 그릇이 비어 가기도 해요</t>
    </r>
    <r>
      <rPr>
        <sz val="10"/>
        <rFont val="Malgun Gothic"/>
        <family val="0"/>
        <charset val="1"/>
      </rPr>
      <t xml:space="preserve">.</t>
    </r>
  </si>
  <si>
    <t xml:space="preserve">cards.3.positions.now</t>
  </si>
  <si>
    <r>
      <rPr>
        <sz val="10"/>
        <rFont val="Noto Sans CJK SC"/>
        <family val="2"/>
      </rPr>
      <t xml:space="preserve">한 문장 안에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당신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과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나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가 섞임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기준 예시와 동일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</si>
  <si>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누군가를 챙기고 돌보느라 마음을 많이 쓰고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따뜻함이 당신의 큰 힘이지만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정작 나를 돌볼 여유는 줄어 있을 수 있어요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</si>
  <si>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누군가를 챙기고 돌보느라 마음을 많이 쓰고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따뜻함은 큰 힘이지만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정작 나를 돌볼 여유는 줄어 있을 수 있어요</t>
    </r>
    <r>
      <rPr>
        <sz val="10"/>
        <rFont val="Malgun Gothic"/>
        <family val="0"/>
        <charset val="1"/>
      </rPr>
      <t xml:space="preserve">.</t>
    </r>
  </si>
  <si>
    <t xml:space="preserve">cards.4.practices.1.how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</si>
  <si>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잠자리를 해요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로 읽혀 뜻이 어색함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성관계로도 읽힘</t>
    </r>
    <r>
      <rPr>
        <sz val="10"/>
        <rFont val="Malgun Gothic"/>
        <family val="0"/>
        <charset val="1"/>
      </rPr>
      <t xml:space="preserve">), '</t>
    </r>
    <r>
      <rPr>
        <sz val="10"/>
        <rFont val="Noto Sans CJK SC"/>
        <family val="2"/>
      </rPr>
      <t xml:space="preserve">이번 주는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도 어색</t>
    </r>
  </si>
  <si>
    <r>
      <rPr>
        <sz val="10"/>
        <rFont val="Noto Sans CJK SC"/>
        <family val="2"/>
      </rPr>
      <t xml:space="preserve">기상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식사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잠자리 중 하나를 골라 이번 주는 같은 시간에 해요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</si>
  <si>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기상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식사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잠자리에 드는 시간 중 하나를 골라 이번 주에는 매일 같은 시간에 해요</t>
    </r>
    <r>
      <rPr>
        <sz val="10"/>
        <rFont val="Malgun Gothic"/>
        <family val="0"/>
        <charset val="1"/>
      </rPr>
      <t xml:space="preserve">.</t>
    </r>
  </si>
  <si>
    <t xml:space="preserve">cards.7.positions.step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</si>
  <si>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잘 되고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띄어쓰기</t>
    </r>
  </si>
  <si>
    <r>
      <rPr>
        <sz val="10"/>
        <rFont val="Noto Sans CJK SC"/>
        <family val="2"/>
      </rPr>
      <t xml:space="preserve">방향을 하나로 정하고 흐름을 이용해 보세요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돌고래가 파도를 거스르지 않고 그 힘을 빌려 나아가듯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이미 잘 되고 있는 흐름에 힘을 실어 보는 거예요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</si>
  <si>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방향을 하나로 정하고 흐름을 이용해 보세요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돌고래가 파도를 거스르지 않고 그 힘을 빌려 나아가듯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이미 잘되고 있는 흐름에 힘을 실어 보는 거예요</t>
    </r>
    <r>
      <rPr>
        <sz val="10"/>
        <rFont val="Malgun Gothic"/>
        <family val="0"/>
        <charset val="1"/>
      </rPr>
      <t xml:space="preserve">.</t>
    </r>
  </si>
  <si>
    <t xml:space="preserve">cards.7.practices.2.title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</si>
  <si>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잘되다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는 한 단어</t>
    </r>
  </si>
  <si>
    <t xml:space="preserve">잘 된 흐름 찾기</t>
  </si>
  <si>
    <t xml:space="preserve">잘 풀린 흐름 찾기</t>
  </si>
  <si>
    <t xml:space="preserve">cards.7.practices.2.why</t>
  </si>
  <si>
    <r>
      <rPr>
        <sz val="10"/>
        <rFont val="Noto Sans CJK SC"/>
        <family val="2"/>
      </rPr>
      <t xml:space="preserve">이미 잘 된 경험에서 조건을 찾으면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새로 애쓰기보다 그 흐름을 다시 만들 수 있어요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</si>
  <si>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이미 잘 풀린 경험에서 조건을 찾으면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새로 애쓰기보다 그 흐름을 다시 만들 수 있어요</t>
    </r>
    <r>
      <rPr>
        <sz val="10"/>
        <rFont val="Malgun Gothic"/>
        <family val="0"/>
        <charset val="1"/>
      </rPr>
      <t xml:space="preserve">.</t>
    </r>
  </si>
  <si>
    <t xml:space="preserve">copy.first_time.body</t>
  </si>
  <si>
    <r>
      <rPr>
        <sz val="10"/>
        <rFont val="Noto Sans CJK SC"/>
        <family val="2"/>
      </rPr>
      <t xml:space="preserve">제안만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문구 유지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</si>
  <si>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한 번</t>
    </r>
    <r>
      <rPr>
        <sz val="10"/>
        <rFont val="Malgun Gothic"/>
        <family val="0"/>
        <charset val="1"/>
      </rPr>
      <t xml:space="preserve">'(</t>
    </r>
    <r>
      <rPr>
        <sz val="10"/>
        <rFont val="Noto Sans CJK SC"/>
        <family val="2"/>
      </rPr>
      <t xml:space="preserve">시도의 뜻은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한번</t>
    </r>
    <r>
      <rPr>
        <sz val="10"/>
        <rFont val="Malgun Gothic"/>
        <family val="0"/>
        <charset val="1"/>
      </rPr>
      <t xml:space="preserve">'), '</t>
    </r>
    <r>
      <rPr>
        <sz val="10"/>
        <rFont val="Noto Sans CJK SC"/>
        <family val="2"/>
      </rPr>
      <t xml:space="preserve">비춰 주는지 들어봅시다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감각 불일치</t>
    </r>
    <r>
      <rPr>
        <sz val="10"/>
        <rFont val="Malgun Gothic"/>
        <family val="0"/>
        <charset val="1"/>
      </rPr>
      <t xml:space="preserve">, '</t>
    </r>
    <r>
      <rPr>
        <sz val="10"/>
        <rFont val="Noto Sans CJK SC"/>
        <family val="2"/>
      </rPr>
      <t xml:space="preserve">타로 카드가 설명하는 현재 상황에 적절한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번역투</t>
    </r>
    <r>
      <rPr>
        <sz val="10"/>
        <rFont val="Malgun Gothic"/>
        <family val="0"/>
        <charset val="1"/>
      </rPr>
      <t xml:space="preserve">, '</t>
    </r>
    <r>
      <rPr>
        <sz val="10"/>
        <rFont val="Noto Sans CJK SC"/>
        <family val="2"/>
      </rPr>
      <t xml:space="preserve">쏠 하우스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명칭 불일치</t>
    </r>
  </si>
  <si>
    <r>
      <rPr>
        <sz val="10"/>
        <rFont val="Noto Sans CJK SC"/>
        <family val="2"/>
      </rPr>
      <t xml:space="preserve">오늘 </t>
    </r>
    <r>
      <rPr>
        <sz val="10"/>
        <rFont val="Malgun Gothic"/>
        <family val="0"/>
        <charset val="1"/>
      </rPr>
      <t xml:space="preserve">{nickname}</t>
    </r>
    <r>
      <rPr>
        <sz val="10"/>
        <rFont val="Noto Sans CJK SC"/>
        <family val="2"/>
      </rPr>
      <t xml:space="preserve">님의 고민을 타로카드가 어떻게 비춰 주는지 함께 살펴봐요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쏠 타로 하우스만의 특제 레시피로 </t>
    </r>
    <r>
      <rPr>
        <sz val="10"/>
        <rFont val="Malgun Gothic"/>
        <family val="0"/>
        <charset val="1"/>
      </rPr>
      <t xml:space="preserve">{nickname}</t>
    </r>
    <r>
      <rPr>
        <sz val="10"/>
        <rFont val="Noto Sans CJK SC"/>
        <family val="2"/>
      </rPr>
      <t xml:space="preserve">님의 카드가 비춰 준 지금 상황에 맞는 웰니스 제안을 해 드릴게요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이제 한번 해 볼까요</t>
    </r>
    <r>
      <rPr>
        <sz val="10"/>
        <rFont val="Malgun Gothic"/>
        <family val="0"/>
        <charset val="1"/>
      </rPr>
      <t xml:space="preserve">?</t>
    </r>
  </si>
  <si>
    <t xml:space="preserve">copy.intro.button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</si>
  <si>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테스트하다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는 붙여 씀</t>
    </r>
  </si>
  <si>
    <t xml:space="preserve">테스트하기</t>
  </si>
  <si>
    <t xml:space="preserve">copy.safety.urgent_contacts.1.note</t>
  </si>
  <si>
    <r>
      <rPr>
        <sz val="10"/>
        <rFont val="Noto Sans CJK SC"/>
        <family val="2"/>
      </rPr>
      <t xml:space="preserve">반영 </t>
    </r>
    <r>
      <rPr>
        <sz val="10"/>
        <rFont val="Malgun Gothic"/>
        <family val="0"/>
        <charset val="1"/>
      </rPr>
      <t xml:space="preserve">(Claude)</t>
    </r>
  </si>
  <si>
    <r>
      <rPr>
        <sz val="10"/>
        <rFont val="Malgun Gothic"/>
        <family val="0"/>
        <charset val="1"/>
      </rPr>
      <t xml:space="preserve">Claude </t>
    </r>
    <r>
      <rPr>
        <sz val="10"/>
        <rFont val="Noto Sans CJK SC"/>
        <family val="2"/>
      </rPr>
      <t xml:space="preserve">점검</t>
    </r>
  </si>
  <si>
    <r>
      <rPr>
        <sz val="10"/>
        <rFont val="Malgun Gothic"/>
        <family val="0"/>
        <charset val="1"/>
      </rPr>
      <t xml:space="preserve">24</t>
    </r>
    <r>
      <rPr>
        <sz val="10"/>
        <rFont val="Noto Sans CJK SC"/>
        <family val="2"/>
      </rPr>
      <t xml:space="preserve">시간 </t>
    </r>
    <r>
      <rPr>
        <sz val="10"/>
        <rFont val="Malgun Gothic"/>
        <family val="0"/>
        <charset val="1"/>
      </rPr>
      <t xml:space="preserve">[</t>
    </r>
    <r>
      <rPr>
        <sz val="10"/>
        <rFont val="Noto Sans CJK SC"/>
        <family val="2"/>
      </rPr>
      <t xml:space="preserve">확인필요</t>
    </r>
    <r>
      <rPr>
        <sz val="10"/>
        <rFont val="Malgun Gothic"/>
        <family val="0"/>
        <charset val="1"/>
      </rPr>
      <t xml:space="preserve">]</t>
    </r>
  </si>
  <si>
    <t xml:space="preserve">copy.worry.placeholder_examples.4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</si>
  <si>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부탁을 거절을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목적격 조사 중복</t>
    </r>
  </si>
  <si>
    <r>
      <rPr>
        <sz val="10"/>
        <rFont val="Noto Sans CJK SC"/>
        <family val="2"/>
      </rPr>
      <t xml:space="preserve">부탁을 거절을 못 해서 매번 손해 보는 느낌이에요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</si>
  <si>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부탁을 거절하지 못해서 매번 손해 보는 느낌이에요</t>
    </r>
    <r>
      <rPr>
        <sz val="10"/>
        <rFont val="Malgun Gothic"/>
        <family val="0"/>
        <charset val="1"/>
      </rPr>
      <t xml:space="preserve">.</t>
    </r>
  </si>
  <si>
    <t xml:space="preserve">emotion_lines.HUR</t>
  </si>
  <si>
    <r>
      <rPr>
        <sz val="10"/>
        <rFont val="Malgun Gothic"/>
        <family val="0"/>
        <charset val="1"/>
      </rPr>
      <t xml:space="preserve">'{name}</t>
    </r>
    <r>
      <rPr>
        <sz val="10"/>
        <rFont val="Noto Sans CJK SC"/>
        <family val="2"/>
      </rPr>
      <t xml:space="preserve">님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과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나에게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가 한 문장에 섞여 시점이 맞지 않음</t>
    </r>
    <r>
      <rPr>
        <sz val="10"/>
        <rFont val="Malgun Gothic"/>
        <family val="0"/>
        <charset val="1"/>
      </rPr>
      <t xml:space="preserve">, '</t>
    </r>
    <r>
      <rPr>
        <sz val="10"/>
        <rFont val="Noto Sans CJK SC"/>
        <family val="2"/>
      </rPr>
      <t xml:space="preserve">가장 분명한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은 단정</t>
    </r>
  </si>
  <si>
    <r>
      <rPr>
        <sz val="10"/>
        <rFont val="Noto Sans CJK SC"/>
        <family val="2"/>
      </rPr>
      <t xml:space="preserve">지금 </t>
    </r>
    <r>
      <rPr>
        <sz val="10"/>
        <rFont val="Malgun Gothic"/>
        <family val="0"/>
        <charset val="1"/>
      </rPr>
      <t xml:space="preserve">{name}</t>
    </r>
    <r>
      <rPr>
        <sz val="10"/>
        <rFont val="Noto Sans CJK SC"/>
        <family val="2"/>
      </rPr>
      <t xml:space="preserve">님이 느끼는 서운함은 그 관계가 나에게 소중하다는 가장 분명한 표시예요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</si>
  <si>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지금 </t>
    </r>
    <r>
      <rPr>
        <sz val="10"/>
        <rFont val="Malgun Gothic"/>
        <family val="0"/>
        <charset val="1"/>
      </rPr>
      <t xml:space="preserve">{name}</t>
    </r>
    <r>
      <rPr>
        <sz val="10"/>
        <rFont val="Noto Sans CJK SC"/>
        <family val="2"/>
      </rPr>
      <t xml:space="preserve">님이 느끼는 서운함은 그 관계가 그만큼 소중하다는 표시예요</t>
    </r>
    <r>
      <rPr>
        <sz val="10"/>
        <rFont val="Malgun Gothic"/>
        <family val="0"/>
        <charset val="1"/>
      </rPr>
      <t xml:space="preserve">.</t>
    </r>
  </si>
  <si>
    <t xml:space="preserve">cards.0.about_origin</t>
  </si>
  <si>
    <t xml:space="preserve">다듬기</t>
  </si>
  <si>
    <r>
      <rPr>
        <sz val="10"/>
        <rFont val="Noto Sans CJK SC"/>
        <family val="2"/>
      </rPr>
      <t xml:space="preserve">한 문장 안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뜻합니다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와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읽어요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어체 섞임</t>
    </r>
  </si>
  <si>
    <r>
      <rPr>
        <sz val="10"/>
        <rFont val="Noto Sans CJK SC"/>
        <family val="2"/>
      </rPr>
      <t xml:space="preserve">원래 타로의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바보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카드 자리로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전통적으로 순수한 출발과 모험을 뜻합니다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쏠 타로에서는 완벽하게 준비되지 않아도 내딛는 첫걸음의 용기로 읽어요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</si>
  <si>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원래 타로의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바보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카드 자리로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전통적으로 순수한 출발과 모험을 뜻해요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쏠 타로에서는 완벽하게 준비되지 않아도 내딛는 첫걸음의 용기로 읽어요</t>
    </r>
    <r>
      <rPr>
        <sz val="10"/>
        <rFont val="Malgun Gothic"/>
        <family val="0"/>
        <charset val="1"/>
      </rPr>
      <t xml:space="preserve">.</t>
    </r>
  </si>
  <si>
    <t xml:space="preserve">cards.0.deep.now.0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</si>
  <si>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그 자체로 살아 있다는 신호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에서 무엇이 살아 있는지 주어가 빠져 뜻이 모호함</t>
    </r>
  </si>
  <si>
    <r>
      <rPr>
        <sz val="10"/>
        <rFont val="Noto Sans CJK SC"/>
        <family val="2"/>
      </rPr>
      <t xml:space="preserve">새로운 걸 해 보고 싶은 마음은 대개 지금의 자리가 조금 좁게 느껴질 때 찾아와요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마음이 아직 흐릿하더라도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무언가를 바꾸고 싶다는 감각은 그 자체로 살아 있다는 신호예요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</si>
  <si>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새로운 걸 해 보고 싶은 마음은 대개 지금의 자리가 조금 좁게 느껴질 때 찾아와요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마음이 아직 흐릿하더라도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무언가를 바꾸고 싶다는 감각은 그 자체로 내 안의 에너지가 살아 있다는 신호예요</t>
    </r>
    <r>
      <rPr>
        <sz val="10"/>
        <rFont val="Malgun Gothic"/>
        <family val="0"/>
        <charset val="1"/>
      </rPr>
      <t xml:space="preserve">.</t>
    </r>
  </si>
  <si>
    <t xml:space="preserve">cards.0.positions.now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</si>
  <si>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당신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사용</t>
    </r>
  </si>
  <si>
    <r>
      <rPr>
        <sz val="10"/>
        <rFont val="Noto Sans CJK SC"/>
        <family val="2"/>
      </rPr>
      <t xml:space="preserve">마음 한쪽에 새로 시작하고 싶은 무언가가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아직 이름을 붙이지 못했을 수 있지만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지금 당신 안에 움직이고 싶은 에너지가 살아 있다는 뜻으로 읽을 수 있어요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</si>
  <si>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마음 한쪽에 새로 시작하고 싶은 무언가가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아직 이름을 붙이지 못했을 수 있지만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지금 내 안에 움직이고 싶은 에너지가 살아 있다는 뜻으로 읽을 수 있어요</t>
    </r>
    <r>
      <rPr>
        <sz val="10"/>
        <rFont val="Malgun Gothic"/>
        <family val="0"/>
        <charset val="1"/>
      </rPr>
      <t xml:space="preserve">.</t>
    </r>
  </si>
  <si>
    <t xml:space="preserve">cards.0.positions.step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</si>
  <si>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발끝으로 대 보듯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어색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대다는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을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를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목적어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</si>
  <si>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결과보다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해 보는 것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자체를 목표로 삼아 보세요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수달이 물이 차가운지 발끝으로 먼저 대 보듯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아주 작게 한 번 시도해 보는 거예요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</si>
  <si>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결과보다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해 보는 것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자체를 목표로 삼아 보세요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수달이 물이 차가운지 발끝을 먼저 대 보듯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아주 작게 한 번 시도해 보는 거예요</t>
    </r>
    <r>
      <rPr>
        <sz val="10"/>
        <rFont val="Malgun Gothic"/>
        <family val="0"/>
        <charset val="1"/>
      </rPr>
      <t xml:space="preserve">.</t>
    </r>
  </si>
  <si>
    <t xml:space="preserve">cards.1.about_origin</t>
  </si>
  <si>
    <r>
      <rPr>
        <sz val="10"/>
        <rFont val="Noto Sans CJK SC"/>
        <family val="2"/>
      </rPr>
      <t xml:space="preserve">원래 타로의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마법사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카드 자리로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가진 재능과 도구로 무언가를 이뤄 내는 힘을 뜻합니다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쏠 타로에서는 이미 내 손에 있는 자원을 알아보는 힘으로 읽어요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</si>
  <si>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원래 타로의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마법사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카드 자리로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가진 재능과 도구로 무언가를 이뤄 내는 힘을 뜻해요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쏠 타로에서는 이미 내 손에 있는 자원을 알아보는 힘으로 읽어요</t>
    </r>
    <r>
      <rPr>
        <sz val="10"/>
        <rFont val="Malgun Gothic"/>
        <family val="0"/>
        <charset val="1"/>
      </rPr>
      <t xml:space="preserve">.</t>
    </r>
  </si>
  <si>
    <t xml:space="preserve">cards.1.core</t>
  </si>
  <si>
    <r>
      <rPr>
        <sz val="10"/>
        <rFont val="Noto Sans CJK SC"/>
        <family val="2"/>
      </rPr>
      <t xml:space="preserve">필요한 것은 이미 당신 손 안에 꽤 많이 있어요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</si>
  <si>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필요한 것은 이미 내 손 안에 꽤 많이 있어요</t>
    </r>
    <r>
      <rPr>
        <sz val="10"/>
        <rFont val="Malgun Gothic"/>
        <family val="0"/>
        <charset val="1"/>
      </rPr>
      <t xml:space="preserve">.</t>
    </r>
  </si>
  <si>
    <t xml:space="preserve">cards.1.deep.now.0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</si>
  <si>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당신의 성실함</t>
    </r>
    <r>
      <rPr>
        <sz val="10"/>
        <rFont val="Malgun Gothic"/>
        <family val="0"/>
        <charset val="1"/>
      </rPr>
      <t xml:space="preserve">' - </t>
    </r>
    <r>
      <rPr>
        <sz val="10"/>
        <rFont val="Noto Sans CJK SC"/>
        <family val="2"/>
      </rPr>
      <t xml:space="preserve">보고서는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당신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대신 주어 생략 권장</t>
    </r>
  </si>
  <si>
    <r>
      <rPr>
        <sz val="10"/>
        <rFont val="Noto Sans CJK SC"/>
        <family val="2"/>
      </rPr>
      <t xml:space="preserve">해내고 싶은 마음이 크면 손이 저절로 여러 곳으로 뻗어요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지금의 분주함은 그만큼 많은 걸 책임지고 싶은 당신의 성실함에서 나온 것일 수 있어요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</si>
  <si>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해내고 싶은 마음이 크면 손이 저절로 여러 곳으로 뻗어요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지금의 분주함은 그만큼 많은 걸 책임지고 싶은 성실함에서 나온 것일 수 있어요</t>
    </r>
    <r>
      <rPr>
        <sz val="10"/>
        <rFont val="Malgun Gothic"/>
        <family val="0"/>
        <charset val="1"/>
      </rPr>
      <t xml:space="preserve">.</t>
    </r>
  </si>
  <si>
    <t xml:space="preserve">cards.1.deep.now.1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</si>
  <si>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뻗어 있는 손들 가운데 내가 쥐고 싶은 것</t>
    </r>
    <r>
      <rPr>
        <sz val="10"/>
        <rFont val="Malgun Gothic"/>
        <family val="0"/>
        <charset val="1"/>
      </rPr>
      <t xml:space="preserve">' - </t>
    </r>
    <r>
      <rPr>
        <sz val="10"/>
        <rFont val="Noto Sans CJK SC"/>
        <family val="2"/>
      </rPr>
      <t xml:space="preserve">손이 쥘 대상인 것처럼 읽혀 논리가 어긋남</t>
    </r>
  </si>
  <si>
    <r>
      <rPr>
        <sz val="10"/>
        <rFont val="Noto Sans CJK SC"/>
        <family val="2"/>
      </rPr>
      <t xml:space="preserve">지금 뻗어 있는 손들 가운데 정말 내가 쥐고 싶은 것은 무엇인가요</t>
    </r>
    <r>
      <rPr>
        <sz val="10"/>
        <rFont val="Malgun Gothic"/>
        <family val="0"/>
        <charset val="1"/>
      </rPr>
      <t xml:space="preserve">? </t>
    </r>
    <r>
      <rPr>
        <sz val="10"/>
        <rFont val="Noto Sans CJK SC"/>
        <family val="2"/>
      </rPr>
      <t xml:space="preserve">모든 손에 같은 힘을 줄 필요는 없어요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가장 마음이 가는 한두 곳을 먼저 골라 보면 분주함 속에서도 중심이 생겨요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</si>
  <si>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지금 손을 뻗고 있는 곳들 가운데 정말 내가 쥐고 싶은 것은 무엇인가요</t>
    </r>
    <r>
      <rPr>
        <sz val="10"/>
        <rFont val="Malgun Gothic"/>
        <family val="0"/>
        <charset val="1"/>
      </rPr>
      <t xml:space="preserve">? </t>
    </r>
    <r>
      <rPr>
        <sz val="10"/>
        <rFont val="Noto Sans CJK SC"/>
        <family val="2"/>
      </rPr>
      <t xml:space="preserve">모든 손에 같은 힘을 줄 필요는 없어요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가장 마음이 가는 한두 곳을 먼저 골라 보면 분주함 속에서도 중심이 생겨요</t>
    </r>
    <r>
      <rPr>
        <sz val="10"/>
        <rFont val="Malgun Gothic"/>
        <family val="0"/>
        <charset val="1"/>
      </rPr>
      <t xml:space="preserve">.</t>
    </r>
  </si>
  <si>
    <t xml:space="preserve">cards.1.reversed.positions.step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</si>
  <si>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여덟 갈래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와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한 손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의 단위가 맞지 않음</t>
    </r>
  </si>
  <si>
    <r>
      <rPr>
        <sz val="10"/>
        <rFont val="Noto Sans CJK SC"/>
        <family val="2"/>
      </rPr>
      <t xml:space="preserve">여덟 갈래 중 지금 꼭 필요한 한 손만 남기고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나머지는 잠시 내려놓아 보세요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</si>
  <si>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여덟 갈래의 손 중 지금 꼭 필요한 한 손만 남기고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나머지는 잠시 내려놓아 보세요</t>
    </r>
    <r>
      <rPr>
        <sz val="10"/>
        <rFont val="Malgun Gothic"/>
        <family val="0"/>
        <charset val="1"/>
      </rPr>
      <t xml:space="preserve">.</t>
    </r>
  </si>
  <si>
    <t xml:space="preserve">cards.10.about_origin</t>
  </si>
  <si>
    <r>
      <rPr>
        <sz val="10"/>
        <rFont val="Noto Sans CJK SC"/>
        <family val="2"/>
      </rPr>
      <t xml:space="preserve">원래 타로의 열 번째 카드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수레바퀴 자리로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돌고 도는 삶의 흐름과 변화의 시기를 뜻합니다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쏠 타로에서는 바뀌는 흐름 속에서 내가 고를 수 있는 움직임으로 읽어요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</si>
  <si>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원래 타로의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수레바퀴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카드 자리로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돌고 도는 삶의 흐름과 변화의 시기를 뜻해요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쏠 타로에서는 바뀌는 흐름 속에서 내가 고를 수 있는 움직임으로 읽어요</t>
    </r>
    <r>
      <rPr>
        <sz val="10"/>
        <rFont val="Malgun Gothic"/>
        <family val="0"/>
        <charset val="1"/>
      </rPr>
      <t xml:space="preserve">.</t>
    </r>
  </si>
  <si>
    <t xml:space="preserve">cards.10.deep.hold.0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</si>
  <si>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느껴져요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와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느껴지기 때문이에요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가 이어져 반복적이고 같은 말을 되풀이하는 느낌</t>
    </r>
  </si>
  <si>
    <r>
      <rPr>
        <sz val="10"/>
        <rFont val="Noto Sans CJK SC"/>
        <family val="2"/>
      </rPr>
      <t xml:space="preserve">힘든 시기에는 지금 상태가 영원히 계속될 것처럼 느껴져요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마음이 지친 만큼 시간도 멈춘 것처럼 느껴지기 때문이에요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</si>
  <si>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힘든 시기에는 지금 상태가 영원히 계속될 것만 같을 때가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마음이 지친 만큼 시간도 멈춘 것처럼 느껴지기 때문이에요</t>
    </r>
    <r>
      <rPr>
        <sz val="10"/>
        <rFont val="Malgun Gothic"/>
        <family val="0"/>
        <charset val="1"/>
      </rPr>
      <t xml:space="preserve">.</t>
    </r>
  </si>
  <si>
    <t xml:space="preserve">cards.10.deep.hold.1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</si>
  <si>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물살은 돌고</t>
    </r>
    <r>
      <rPr>
        <sz val="10"/>
        <rFont val="Malgun Gothic"/>
        <family val="0"/>
        <charset val="1"/>
      </rPr>
      <t xml:space="preserve">' - </t>
    </r>
    <r>
      <rPr>
        <sz val="10"/>
        <rFont val="Noto Sans CJK SC"/>
        <family val="2"/>
      </rPr>
      <t xml:space="preserve">뜻이 모호함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돌고 돈다는 뜻인지 불분명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</si>
  <si>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지난 몇 년을 돌아보면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그때는 끝나지 않을 것 같았는데 지나갔던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시기가 있었나요</t>
    </r>
    <r>
      <rPr>
        <sz val="10"/>
        <rFont val="Malgun Gothic"/>
        <family val="0"/>
        <charset val="1"/>
      </rPr>
      <t xml:space="preserve">? </t>
    </r>
    <r>
      <rPr>
        <sz val="10"/>
        <rFont val="Noto Sans CJK SC"/>
        <family val="2"/>
      </rPr>
      <t xml:space="preserve">그 기억을 잠시 꺼내 보세요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물살은 돌고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지금의 물살도 같은 방식으로 지나갈 수 있다는 걸 떠올리게 해 줘요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</si>
  <si>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지난 몇 년을 돌아보면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그때는 끝나지 않을 것 같았는데 지나갔던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시기가 있었나요</t>
    </r>
    <r>
      <rPr>
        <sz val="10"/>
        <rFont val="Malgun Gothic"/>
        <family val="0"/>
        <charset val="1"/>
      </rPr>
      <t xml:space="preserve">? </t>
    </r>
    <r>
      <rPr>
        <sz val="10"/>
        <rFont val="Noto Sans CJK SC"/>
        <family val="2"/>
      </rPr>
      <t xml:space="preserve">그 기억을 잠시 꺼내 보세요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물살은 늘 바뀌고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지금의 물살도 그렇게 지나갈 수 있다는 걸 떠올리게 해 줘요</t>
    </r>
    <r>
      <rPr>
        <sz val="10"/>
        <rFont val="Malgun Gothic"/>
        <family val="0"/>
        <charset val="1"/>
      </rPr>
      <t xml:space="preserve">.</t>
    </r>
  </si>
  <si>
    <t xml:space="preserve">cards.11.about_origin</t>
  </si>
  <si>
    <r>
      <rPr>
        <sz val="10"/>
        <rFont val="Noto Sans CJK SC"/>
        <family val="2"/>
      </rPr>
      <t xml:space="preserve">원래 타로의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정의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카드 자리로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균형과 공정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원인과 결과를 뜻합니다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쏠 타로에서는 나에게도 공정한 저울을 내미는 마음으로 읽어요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</si>
  <si>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원래 타로의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정의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카드 자리로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균형과 공정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원인과 결과를 뜻해요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쏠 타로에서는 나에게도 공정한 저울을 내미는 마음으로 읽어요</t>
    </r>
    <r>
      <rPr>
        <sz val="10"/>
        <rFont val="Malgun Gothic"/>
        <family val="0"/>
        <charset val="1"/>
      </rPr>
      <t xml:space="preserve">.</t>
    </r>
  </si>
  <si>
    <t xml:space="preserve">cards.11.practices.2.how</t>
  </si>
  <si>
    <r>
      <rPr>
        <sz val="10"/>
        <rFont val="Malgun Gothic"/>
        <family val="0"/>
        <charset val="1"/>
      </rPr>
      <t xml:space="preserve">'~</t>
    </r>
    <r>
      <rPr>
        <sz val="10"/>
        <rFont val="Noto Sans CJK SC"/>
        <family val="2"/>
      </rPr>
      <t xml:space="preserve">이고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그리고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는 연결이 겹침</t>
    </r>
  </si>
  <si>
    <r>
      <rPr>
        <sz val="10"/>
        <rFont val="Malgun Gothic"/>
        <family val="0"/>
        <charset val="1"/>
      </rPr>
      <t xml:space="preserve">'~</t>
    </r>
    <r>
      <rPr>
        <sz val="10"/>
        <rFont val="Noto Sans CJK SC"/>
        <family val="2"/>
      </rPr>
      <t xml:space="preserve">이긴 하지만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을 </t>
    </r>
    <r>
      <rPr>
        <sz val="10"/>
        <rFont val="Malgun Gothic"/>
        <family val="0"/>
        <charset val="1"/>
      </rPr>
      <t xml:space="preserve">'~</t>
    </r>
    <r>
      <rPr>
        <sz val="10"/>
        <rFont val="Noto Sans CJK SC"/>
        <family val="2"/>
      </rPr>
      <t xml:space="preserve">이고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그리고 </t>
    </r>
    <r>
      <rPr>
        <sz val="10"/>
        <rFont val="Malgun Gothic"/>
        <family val="0"/>
        <charset val="1"/>
      </rPr>
      <t xml:space="preserve">~</t>
    </r>
    <r>
      <rPr>
        <sz val="10"/>
        <rFont val="Noto Sans CJK SC"/>
        <family val="2"/>
      </rPr>
      <t xml:space="preserve">이기도 하다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로 바꿔 한 문장을 써요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</si>
  <si>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'~</t>
    </r>
    <r>
      <rPr>
        <sz val="10"/>
        <rFont val="Noto Sans CJK SC"/>
        <family val="2"/>
      </rPr>
      <t xml:space="preserve">이긴 하지만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을 </t>
    </r>
    <r>
      <rPr>
        <sz val="10"/>
        <rFont val="Malgun Gothic"/>
        <family val="0"/>
        <charset val="1"/>
      </rPr>
      <t xml:space="preserve">'~</t>
    </r>
    <r>
      <rPr>
        <sz val="10"/>
        <rFont val="Noto Sans CJK SC"/>
        <family val="2"/>
      </rPr>
      <t xml:space="preserve">이다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그리고 </t>
    </r>
    <r>
      <rPr>
        <sz val="10"/>
        <rFont val="Malgun Gothic"/>
        <family val="0"/>
        <charset val="1"/>
      </rPr>
      <t xml:space="preserve">~</t>
    </r>
    <r>
      <rPr>
        <sz val="10"/>
        <rFont val="Noto Sans CJK SC"/>
        <family val="2"/>
      </rPr>
      <t xml:space="preserve">이기도 하다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로 바꿔 한 문장을 써요</t>
    </r>
    <r>
      <rPr>
        <sz val="10"/>
        <rFont val="Malgun Gothic"/>
        <family val="0"/>
        <charset val="1"/>
      </rPr>
      <t xml:space="preserve">.</t>
    </r>
  </si>
  <si>
    <t xml:space="preserve">cards.12.about_origin</t>
  </si>
  <si>
    <r>
      <rPr>
        <sz val="10"/>
        <rFont val="Noto Sans CJK SC"/>
        <family val="2"/>
      </rPr>
      <t xml:space="preserve">원래 타로의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매달린 사람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카드 자리로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멈춤과 기다림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다르게 보기를 뜻합니다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쏠 타로에서는 다르게 보기 위한 쉼으로 읽어요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</si>
  <si>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원래 타로의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매달린 사람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카드 자리로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멈춤과 기다림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새로운 관점을 뜻해요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쏠 타로에서는 다르게 보기 위한 쉼으로 읽어요</t>
    </r>
    <r>
      <rPr>
        <sz val="10"/>
        <rFont val="Malgun Gothic"/>
        <family val="0"/>
        <charset val="1"/>
      </rPr>
      <t xml:space="preserve">.</t>
    </r>
  </si>
  <si>
    <t xml:space="preserve">cards.13.about_origin</t>
  </si>
  <si>
    <r>
      <rPr>
        <sz val="10"/>
        <rFont val="Noto Sans CJK SC"/>
        <family val="2"/>
      </rPr>
      <t xml:space="preserve">원래 타로의 열세 번째 카드 자리로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한 시기의 끝과 새로운 시작을 뜻합니다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쏠 타로에서는 맞지 않는 껍데기를 내려놓고 새 집으로 옮겨 가는 전환으로 읽어요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</si>
  <si>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원래 타로의 열세 번째 카드 자리로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한 시기의 끝과 새로운 시작을 뜻해요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쏠 타로에서는 맞지 않는 껍데기를 내려놓고 새 집으로 옮겨 가는 전환으로 읽어요</t>
    </r>
    <r>
      <rPr>
        <sz val="10"/>
        <rFont val="Malgun Gothic"/>
        <family val="0"/>
        <charset val="1"/>
      </rPr>
      <t xml:space="preserve">.</t>
    </r>
  </si>
  <si>
    <t xml:space="preserve">cards.13.deep.now.0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</si>
  <si>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마음은 몸보다 늦게 따라와요</t>
    </r>
    <r>
      <rPr>
        <sz val="10"/>
        <rFont val="Malgun Gothic"/>
        <family val="0"/>
        <charset val="1"/>
      </rPr>
      <t xml:space="preserve">' - </t>
    </r>
    <r>
      <rPr>
        <sz val="10"/>
        <rFont val="Noto Sans CJK SC"/>
        <family val="2"/>
      </rPr>
      <t xml:space="preserve">끝나는 상황에서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몸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과의 비교가 어색함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위치해석은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마음이 아직 따라가지 못하고</t>
    </r>
    <r>
      <rPr>
        <sz val="10"/>
        <rFont val="Malgun Gothic"/>
        <family val="0"/>
        <charset val="1"/>
      </rPr>
      <t xml:space="preserve">')</t>
    </r>
  </si>
  <si>
    <r>
      <rPr>
        <sz val="10"/>
        <rFont val="Noto Sans CJK SC"/>
        <family val="2"/>
      </rPr>
      <t xml:space="preserve">무언가가 끝날 때 마음은 대개 몸보다 늦게 따라와요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아쉬움과 홀가분함이 함께 드는 건 이상한 게 아니라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 시간이 나에게 의미 있었다는 증거예요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</si>
  <si>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무언가가 끝날 때 마음은 대개 상황보다 한발 늦게 따라와요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아쉬움과 홀가분함이 함께 드는 건 이상한 게 아니라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 시간이 나에게 의미 있었다는 증거예요</t>
    </r>
    <r>
      <rPr>
        <sz val="10"/>
        <rFont val="Malgun Gothic"/>
        <family val="0"/>
        <charset val="1"/>
      </rPr>
      <t xml:space="preserve">.</t>
    </r>
  </si>
  <si>
    <t xml:space="preserve">cards.13.practices.2.title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</si>
  <si>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새 집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이 방법</t>
    </r>
    <r>
      <rPr>
        <sz val="10"/>
        <rFont val="Malgun Gothic"/>
        <family val="0"/>
        <charset val="1"/>
      </rPr>
      <t xml:space="preserve">(6</t>
    </r>
    <r>
      <rPr>
        <sz val="10"/>
        <rFont val="Noto Sans CJK SC"/>
        <family val="2"/>
      </rPr>
      <t xml:space="preserve">개월 뒤의 평범한 하루</t>
    </r>
    <r>
      <rPr>
        <sz val="10"/>
        <rFont val="Malgun Gothic"/>
        <family val="0"/>
        <charset val="1"/>
      </rPr>
      <t xml:space="preserve">)</t>
    </r>
    <r>
      <rPr>
        <sz val="10"/>
        <rFont val="Noto Sans CJK SC"/>
        <family val="2"/>
      </rPr>
      <t xml:space="preserve">과 맞지 않아 이사로 읽힘</t>
    </r>
  </si>
  <si>
    <t xml:space="preserve">새 집의 하루</t>
  </si>
  <si>
    <r>
      <rPr>
        <sz val="10"/>
        <rFont val="Malgun Gothic"/>
        <family val="0"/>
        <charset val="1"/>
      </rPr>
      <t xml:space="preserve">6</t>
    </r>
    <r>
      <rPr>
        <sz val="10"/>
        <rFont val="Noto Sans CJK SC"/>
        <family val="2"/>
      </rPr>
      <t xml:space="preserve">개월 뒤의 하루</t>
    </r>
  </si>
  <si>
    <t xml:space="preserve">cards.13.reversed.positions.hold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</si>
  <si>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이사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비유가 설명 없이 나와 실제 이사로 읽힘</t>
    </r>
  </si>
  <si>
    <r>
      <rPr>
        <sz val="10"/>
        <rFont val="Noto Sans CJK SC"/>
        <family val="2"/>
      </rPr>
      <t xml:space="preserve">끝을 인정하면 모든 게 무너질 것 같은 마음이 이사를 미루게 하고 있을 수 있어요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</si>
  <si>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끝을 인정하면 모든 게 무너질 것 같은 마음이 새 껍데기로 옮겨 가는 걸 미루게 하고 있을 수 있어요</t>
    </r>
    <r>
      <rPr>
        <sz val="10"/>
        <rFont val="Malgun Gothic"/>
        <family val="0"/>
        <charset val="1"/>
      </rPr>
      <t xml:space="preserve">.</t>
    </r>
  </si>
  <si>
    <t xml:space="preserve">cards.14.about_origin</t>
  </si>
  <si>
    <r>
      <rPr>
        <sz val="10"/>
        <rFont val="Noto Sans CJK SC"/>
        <family val="2"/>
      </rPr>
      <t xml:space="preserve">원래 타로의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절제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카드 자리로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조화와 알맞음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서로 다른 것을 섞는 지혜를 뜻합니다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쏠 타로에서는 둘 중 하나가 아니라 알맞은 비율을 찾는 힘으로 읽어요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</si>
  <si>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원래 타로의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절제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카드 자리로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조화와 알맞음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서로 다른 것을 섞는 지혜를 뜻해요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쏠 타로에서는 둘 중 하나가 아니라 알맞은 비율을 찾는 힘으로 읽어요</t>
    </r>
    <r>
      <rPr>
        <sz val="10"/>
        <rFont val="Malgun Gothic"/>
        <family val="0"/>
        <charset val="1"/>
      </rPr>
      <t xml:space="preserve">.</t>
    </r>
  </si>
  <si>
    <t xml:space="preserve">cards.14.positions.now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</si>
  <si>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나와 너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가 역방향의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나와 남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과 다르고 반말 느낌</t>
    </r>
  </si>
  <si>
    <r>
      <rPr>
        <sz val="10"/>
        <rFont val="Noto Sans CJK SC"/>
        <family val="2"/>
      </rPr>
      <t xml:space="preserve">두 가지 사이에서 균형을 찾으려 애쓰고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일과 쉼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나와 너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해야 할 것과 하고 싶은 것 사이에서 저울질하고 있을 수 있어요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</si>
  <si>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두 가지 사이에서 균형을 찾으려 애쓰고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일과 쉼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나와 남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해야 할 것과 하고 싶은 것 사이에서 저울질하고 있을 수 있어요</t>
    </r>
    <r>
      <rPr>
        <sz val="10"/>
        <rFont val="Malgun Gothic"/>
        <family val="0"/>
        <charset val="1"/>
      </rPr>
      <t xml:space="preserve">.</t>
    </r>
  </si>
  <si>
    <t xml:space="preserve">cards.14.reversed.positions.hold</t>
  </si>
  <si>
    <r>
      <rPr>
        <sz val="10"/>
        <rFont val="Noto Sans CJK SC"/>
        <family val="2"/>
      </rPr>
      <t xml:space="preserve">정방향 </t>
    </r>
    <r>
      <rPr>
        <sz val="10"/>
        <rFont val="Malgun Gothic"/>
        <family val="0"/>
        <charset val="1"/>
      </rPr>
      <t xml:space="preserve">hold</t>
    </r>
    <r>
      <rPr>
        <sz val="10"/>
        <rFont val="Noto Sans CJK SC"/>
        <family val="2"/>
      </rPr>
      <t xml:space="preserve">와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전부 아니면 전무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표현이 그대로 겹침</t>
    </r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</si>
  <si>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전부 아니면 전무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라는 생각이 알맞은 중간을 찾지 못하게 하고 있을 수 있어요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</si>
  <si>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하나를 고르면 다른 하나를 다 잃을 것 같은 생각이 알맞은 중간을 찾지 못하게 하고 있을 수 있어요</t>
    </r>
    <r>
      <rPr>
        <sz val="10"/>
        <rFont val="Malgun Gothic"/>
        <family val="0"/>
        <charset val="1"/>
      </rPr>
      <t xml:space="preserve">.</t>
    </r>
  </si>
  <si>
    <t xml:space="preserve">cards.15.about_origin</t>
  </si>
  <si>
    <r>
      <rPr>
        <sz val="10"/>
        <rFont val="Noto Sans CJK SC"/>
        <family val="2"/>
      </rPr>
      <t xml:space="preserve">원래 타로의 열다섯 번째 카드 자리로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나를 얽매는 집착과 습관을 뜻합니다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쏠 타로에서는 나를 지키려던 가시를 알아차리는 일로 읽어요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</si>
  <si>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원래 타로의 열다섯 번째 카드 자리로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나를 얽매는 집착과 습관을 뜻해요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쏠 타로에서는 나를 지키려던 가시를 알아차리는 일로 읽어요</t>
    </r>
    <r>
      <rPr>
        <sz val="10"/>
        <rFont val="Malgun Gothic"/>
        <family val="0"/>
        <charset val="1"/>
      </rPr>
      <t xml:space="preserve">.</t>
    </r>
  </si>
  <si>
    <t xml:space="preserve">cards.15.asks.0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</si>
  <si>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습관이 있는데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로 습관이 있다고 전제함</t>
    </r>
  </si>
  <si>
    <r>
      <rPr>
        <sz val="10"/>
        <rFont val="Noto Sans CJK SC"/>
        <family val="2"/>
      </rPr>
      <t xml:space="preserve">불안할 때마다 반복하게 되는 습관이 있는데 멈추기 어렵지 않나요</t>
    </r>
    <r>
      <rPr>
        <sz val="10"/>
        <rFont val="Malgun Gothic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</si>
  <si>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불안할 때마다 나도 모르게 반복하게 되는 습관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멈추기 어렵진 않나요</t>
    </r>
    <r>
      <rPr>
        <sz val="10"/>
        <rFont val="Malgun Gothic"/>
        <family val="0"/>
        <charset val="1"/>
      </rPr>
      <t xml:space="preserve">?</t>
    </r>
  </si>
  <si>
    <t xml:space="preserve">cards.15.practices.0.how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</si>
  <si>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그 습관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이 무엇인지 앞에 설명이 없음</t>
    </r>
  </si>
  <si>
    <r>
      <rPr>
        <sz val="10"/>
        <rFont val="Noto Sans CJK SC"/>
        <family val="2"/>
      </rPr>
      <t xml:space="preserve">그 습관이 나온 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직전의 마음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하고 난 뒤의 기분을 세 칸에 기록해요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</si>
  <si>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바꾸고 싶은 습관이 나온 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직전의 마음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하고 난 뒤의 기분을 세 칸에 기록해요</t>
    </r>
    <r>
      <rPr>
        <sz val="10"/>
        <rFont val="Malgun Gothic"/>
        <family val="0"/>
        <charset val="1"/>
      </rPr>
      <t xml:space="preserve">.</t>
    </r>
  </si>
  <si>
    <t xml:space="preserve">cards.15.practices.1.why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</si>
  <si>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습관과 행동 사이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는 뜻이 겹침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습관도 행동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</si>
  <si>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습관과 행동 사이에 </t>
    </r>
    <r>
      <rPr>
        <sz val="10"/>
        <rFont val="Malgun Gothic"/>
        <family val="0"/>
        <charset val="1"/>
      </rPr>
      <t xml:space="preserve">10</t>
    </r>
    <r>
      <rPr>
        <sz val="10"/>
        <rFont val="Noto Sans CJK SC"/>
        <family val="2"/>
      </rPr>
      <t xml:space="preserve">초의 틈을 두면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늘 하던 반응 대신 고를 수 있는 여지가 생겨요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</si>
  <si>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습관이 시작되려는 순간과 행동 사이에 </t>
    </r>
    <r>
      <rPr>
        <sz val="10"/>
        <rFont val="Malgun Gothic"/>
        <family val="0"/>
        <charset val="1"/>
      </rPr>
      <t xml:space="preserve">10</t>
    </r>
    <r>
      <rPr>
        <sz val="10"/>
        <rFont val="Noto Sans CJK SC"/>
        <family val="2"/>
      </rPr>
      <t xml:space="preserve">초의 틈을 두면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늘 하던 반응 대신 고를 수 있는 여지가 생겨요</t>
    </r>
    <r>
      <rPr>
        <sz val="10"/>
        <rFont val="Malgun Gothic"/>
        <family val="0"/>
        <charset val="1"/>
      </rPr>
      <t xml:space="preserve">.</t>
    </r>
  </si>
  <si>
    <t xml:space="preserve">cards.16.about_origin</t>
  </si>
  <si>
    <r>
      <rPr>
        <sz val="10"/>
        <rFont val="Noto Sans CJK SC"/>
        <family val="2"/>
      </rPr>
      <t xml:space="preserve">원래 타로의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탑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카드 자리로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예상치 못한 변화와 그 뒤에 오는 새로운 깨달음을 뜻합니다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쏠 타로에서는 무너진 자리에서 다시 쌓는 회복의 힘으로 읽어요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</si>
  <si>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원래 타로의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탑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카드 자리로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예상치 못한 변화와 그 뒤에 오는 새로운 깨달음을 뜻해요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쏠 타로에서는 무너진 자리에서 다시 쌓는 회복의 힘으로 읽어요</t>
    </r>
    <r>
      <rPr>
        <sz val="10"/>
        <rFont val="Malgun Gothic"/>
        <family val="0"/>
        <charset val="1"/>
      </rPr>
      <t xml:space="preserve">.</t>
    </r>
  </si>
  <si>
    <t xml:space="preserve">cards.16.deep.hold.0</t>
  </si>
  <si>
    <r>
      <rPr>
        <sz val="10"/>
        <rFont val="Noto Sans CJK SC"/>
        <family val="2"/>
      </rPr>
      <t xml:space="preserve">첫 문장이 위치해석</t>
    </r>
    <r>
      <rPr>
        <sz val="10"/>
        <rFont val="Malgun Gothic"/>
        <family val="0"/>
        <charset val="1"/>
      </rPr>
      <t xml:space="preserve">('</t>
    </r>
    <r>
      <rPr>
        <sz val="10"/>
        <rFont val="Noto Sans CJK SC"/>
        <family val="2"/>
      </rPr>
      <t xml:space="preserve">처음부터 다시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라는 생각이 너무 커서 손을 대기 어려울</t>
    </r>
    <r>
      <rPr>
        <sz val="10"/>
        <rFont val="Malgun Gothic"/>
        <family val="0"/>
        <charset val="1"/>
      </rPr>
      <t xml:space="preserve">)</t>
    </r>
    <r>
      <rPr>
        <sz val="10"/>
        <rFont val="Noto Sans CJK SC"/>
        <family val="2"/>
      </rPr>
      <t xml:space="preserve">을 거의 그대로 반복하고</t>
    </r>
    <r>
      <rPr>
        <sz val="10"/>
        <rFont val="Malgun Gothic"/>
        <family val="0"/>
        <charset val="1"/>
      </rPr>
      <t xml:space="preserve">, '</t>
    </r>
    <r>
      <rPr>
        <sz val="10"/>
        <rFont val="Noto Sans CJK SC"/>
        <family val="2"/>
      </rPr>
      <t xml:space="preserve">해야 할 일이 한꺼번에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와 이어지며 내용이 겹침</t>
    </r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</si>
  <si>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처음부터 다시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라는 말은 너무 커서 손을 대기 어렵게 만들어요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해야 할 일이 한꺼번에 보이면 마음은 시작하기보다 멈추는 쪽을 택하기 쉬워요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</si>
  <si>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처음부터 다시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라고 생각하면 해야 할 일이 한꺼번에 눈앞에 쌓여 보여요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그러면 마음은 시작하기보다 멈추는 쪽을 택하기 쉬워요</t>
    </r>
    <r>
      <rPr>
        <sz val="10"/>
        <rFont val="Malgun Gothic"/>
        <family val="0"/>
        <charset val="1"/>
      </rPr>
      <t xml:space="preserve">.</t>
    </r>
  </si>
  <si>
    <t xml:space="preserve">cards.16.deep.now.0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</si>
  <si>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그 계획에</t>
    </r>
    <r>
      <rPr>
        <sz val="10"/>
        <rFont val="Malgun Gothic"/>
        <family val="0"/>
        <charset val="1"/>
      </rPr>
      <t xml:space="preserve">' - </t>
    </r>
    <r>
      <rPr>
        <sz val="10"/>
        <rFont val="Noto Sans CJK SC"/>
        <family val="2"/>
      </rPr>
      <t xml:space="preserve">위치해석은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계획이나 기대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인데 계획으로만 좁혀 관계 고민 등에서 어색함</t>
    </r>
  </si>
  <si>
    <r>
      <rPr>
        <sz val="10"/>
        <rFont val="Noto Sans CJK SC"/>
        <family val="2"/>
      </rPr>
      <t xml:space="preserve">믿어 왔던 것이 흔들리면 마음은 한동안 멍해지기도 하고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허탈함과 당황스러움이 번갈아 찾아오기도 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그건 약해서가 아니라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그만큼 그 계획에 마음을 쏟아 왔다는 뜻이에요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</si>
  <si>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믿어 왔던 것이 흔들리면 마음은 한동안 멍해지기도 하고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허탈함과 당황스러움이 번갈아 찾아오기도 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그건 약해서가 아니라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그만큼 그 계획이나 기대에 마음을 쏟아 왔다는 뜻이에요</t>
    </r>
    <r>
      <rPr>
        <sz val="10"/>
        <rFont val="Malgun Gothic"/>
        <family val="0"/>
        <charset val="1"/>
      </rPr>
      <t xml:space="preserve">.</t>
    </r>
  </si>
  <si>
    <t xml:space="preserve">cards.16.positions.step</t>
  </si>
  <si>
    <r>
      <rPr>
        <sz val="10"/>
        <rFont val="Malgun Gothic"/>
        <family val="0"/>
        <charset val="1"/>
      </rPr>
      <t xml:space="preserve">'~</t>
    </r>
    <r>
      <rPr>
        <sz val="10"/>
        <rFont val="Noto Sans CJK SC"/>
        <family val="2"/>
      </rPr>
      <t xml:space="preserve">부터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가 한 문장에 두 번</t>
    </r>
  </si>
  <si>
    <r>
      <rPr>
        <sz val="10"/>
        <rFont val="Noto Sans CJK SC"/>
        <family val="2"/>
      </rPr>
      <t xml:space="preserve">남아 있는 것부터 확인하고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나뭇가지 하나부터 다시 쌓아 보세요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비버가 무너진 둑을 한 번에 다 짓지 않듯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오늘 할 수 있는 한 조각이면 충분해요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</si>
  <si>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남아 있는 것을 먼저 확인하고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나뭇가지 하나부터 다시 쌓아 보세요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비버가 무너진 둑을 한 번에 다 짓지 않듯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오늘 할 수 있는 한 조각이면 충분해요</t>
    </r>
    <r>
      <rPr>
        <sz val="10"/>
        <rFont val="Malgun Gothic"/>
        <family val="0"/>
        <charset val="1"/>
      </rPr>
      <t xml:space="preserve">.</t>
    </r>
  </si>
  <si>
    <t xml:space="preserve">cards.16.practices.0.why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</si>
  <si>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처음부터 다시가 아니라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가 어색함</t>
    </r>
  </si>
  <si>
    <r>
      <rPr>
        <sz val="10"/>
        <rFont val="Noto Sans CJK SC"/>
        <family val="2"/>
      </rPr>
      <t xml:space="preserve">무너지지 않은 것을 세어 보면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처음부터 다시가 아니라 이어서 쌓으면 된다는 걸 알게 돼요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</si>
  <si>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무너지지 않은 것을 세어 보면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처음부터 다시 시작하는 게 아니라 이어서 쌓으면 된다는 걸 알게 돼요</t>
    </r>
    <r>
      <rPr>
        <sz val="10"/>
        <rFont val="Malgun Gothic"/>
        <family val="0"/>
        <charset val="1"/>
      </rPr>
      <t xml:space="preserve">.</t>
    </r>
  </si>
  <si>
    <t xml:space="preserve">cards.17.about_origin</t>
  </si>
  <si>
    <r>
      <rPr>
        <sz val="10"/>
        <rFont val="Noto Sans CJK SC"/>
        <family val="2"/>
      </rPr>
      <t xml:space="preserve">원래 타로의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별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카드 자리로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희망과 치유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다시 찾아오는 빛을 뜻합니다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쏠 타로에서는 천천히 자라는 회복으로 읽어요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</si>
  <si>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원래 타로의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별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카드 자리로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희망과 치유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다시 찾아오는 빛을 뜻해요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쏠 타로에서는 천천히 자라는 회복으로 읽어요</t>
    </r>
    <r>
      <rPr>
        <sz val="10"/>
        <rFont val="Malgun Gothic"/>
        <family val="0"/>
        <charset val="1"/>
      </rPr>
      <t xml:space="preserve">.</t>
    </r>
  </si>
  <si>
    <t xml:space="preserve">cards.17.positions.hold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</si>
  <si>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예전처럼 돌아가야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호응 어색</t>
    </r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</si>
  <si>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예전처럼 돌아가야 한다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는 기준이 지금의 회복을 작아 보이게 할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회복에도 저마다의 속도가 있다는 걸 잊고 스스로를 재촉하기 쉬워요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</si>
  <si>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예전으로 돌아가야 한다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는 기준이 지금의 회복을 작아 보이게 할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회복에도 저마다의 속도가 있다는 걸 잊고 스스로를 재촉하기 쉬워요</t>
    </r>
    <r>
      <rPr>
        <sz val="10"/>
        <rFont val="Malgun Gothic"/>
        <family val="0"/>
        <charset val="1"/>
      </rPr>
      <t xml:space="preserve">.</t>
    </r>
  </si>
  <si>
    <t xml:space="preserve">cards.17.positions.step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</si>
  <si>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희망이 눈에 보이게 돼요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결과 단정</t>
    </r>
  </si>
  <si>
    <r>
      <rPr>
        <sz val="10"/>
        <rFont val="Noto Sans CJK SC"/>
        <family val="2"/>
      </rPr>
      <t xml:space="preserve">작게 나아진 것을 알아봐 주세요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불가사리가 잃은 팔을 천천히 다시 키우듯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매일의 작은 회복을 기록하면 희망이 눈에 보이게 돼요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</si>
  <si>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작게 나아진 것을 알아봐 주세요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불가사리가 잃은 팔을 천천히 다시 키우듯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매일의 작은 회복을 기록하면 희망이 눈에 보일 수 있어요</t>
    </r>
    <r>
      <rPr>
        <sz val="10"/>
        <rFont val="Malgun Gothic"/>
        <family val="0"/>
        <charset val="1"/>
      </rPr>
      <t xml:space="preserve">.</t>
    </r>
  </si>
  <si>
    <t xml:space="preserve">cards.17.practices.2.how</t>
  </si>
  <si>
    <r>
      <rPr>
        <sz val="10"/>
        <rFont val="Noto Sans CJK SC"/>
        <family val="2"/>
      </rPr>
      <t xml:space="preserve">방법은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오늘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인데 걸리는 시간은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이번 주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로 맞지 않음</t>
    </r>
  </si>
  <si>
    <r>
      <rPr>
        <sz val="10"/>
        <rFont val="Noto Sans CJK SC"/>
        <family val="2"/>
      </rPr>
      <t xml:space="preserve">오늘의 컨디션을 </t>
    </r>
    <r>
      <rPr>
        <sz val="10"/>
        <rFont val="Malgun Gothic"/>
        <family val="0"/>
        <charset val="1"/>
      </rPr>
      <t xml:space="preserve">0~10</t>
    </r>
    <r>
      <rPr>
        <sz val="10"/>
        <rFont val="Noto Sans CJK SC"/>
        <family val="2"/>
      </rPr>
      <t xml:space="preserve">으로 적고</t>
    </r>
    <r>
      <rPr>
        <sz val="10"/>
        <rFont val="Malgun Gothic"/>
        <family val="0"/>
        <charset val="1"/>
      </rPr>
      <t xml:space="preserve">, 1</t>
    </r>
    <r>
      <rPr>
        <sz val="10"/>
        <rFont val="Noto Sans CJK SC"/>
        <family val="2"/>
      </rPr>
      <t xml:space="preserve">이라도 오른 날엔 무엇이 도왔는지 써요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</si>
  <si>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이번 주 매일 컨디션을 </t>
    </r>
    <r>
      <rPr>
        <sz val="10"/>
        <rFont val="Malgun Gothic"/>
        <family val="0"/>
        <charset val="1"/>
      </rPr>
      <t xml:space="preserve">0~10</t>
    </r>
    <r>
      <rPr>
        <sz val="10"/>
        <rFont val="Noto Sans CJK SC"/>
        <family val="2"/>
      </rPr>
      <t xml:space="preserve">으로 적고</t>
    </r>
    <r>
      <rPr>
        <sz val="10"/>
        <rFont val="Malgun Gothic"/>
        <family val="0"/>
        <charset val="1"/>
      </rPr>
      <t xml:space="preserve">, 1</t>
    </r>
    <r>
      <rPr>
        <sz val="10"/>
        <rFont val="Noto Sans CJK SC"/>
        <family val="2"/>
      </rPr>
      <t xml:space="preserve">이라도 오른 날엔 무엇이 도왔는지 써요</t>
    </r>
    <r>
      <rPr>
        <sz val="10"/>
        <rFont val="Malgun Gothic"/>
        <family val="0"/>
        <charset val="1"/>
      </rPr>
      <t xml:space="preserve">.</t>
    </r>
  </si>
  <si>
    <t xml:space="preserve">cards.18.about_origin</t>
  </si>
  <si>
    <r>
      <rPr>
        <sz val="10"/>
        <rFont val="Noto Sans CJK SC"/>
        <family val="2"/>
      </rPr>
      <t xml:space="preserve">원래 타로의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달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카드 자리로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불확실함과 상상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드러나지 않은 마음을 뜻합니다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쏠 타로에서는 다 보이지 않아도 한 걸음씩 가는 힘으로 읽어요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</si>
  <si>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원래 타로의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달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카드 자리로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불확실함과 상상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드러나지 않은 마음을 뜻해요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쏠 타로에서는 다 보이지 않아도 한 걸음씩 가는 힘으로 읽어요</t>
    </r>
    <r>
      <rPr>
        <sz val="10"/>
        <rFont val="Malgun Gothic"/>
        <family val="0"/>
        <charset val="1"/>
      </rPr>
      <t xml:space="preserve">.</t>
    </r>
  </si>
  <si>
    <t xml:space="preserve">cards.18.positions.step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</si>
  <si>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함께 떠다녀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의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함께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가 누구와인지 모호</t>
    </r>
  </si>
  <si>
    <r>
      <rPr>
        <sz val="10"/>
        <rFont val="Noto Sans CJK SC"/>
        <family val="2"/>
      </rPr>
      <t xml:space="preserve">불확실함을 없애려 하기보다 그 안에서 함께 떠다녀 보세요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해파리가 물결에 몸을 맡기며 은은하게 빛나듯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다음 한 걸음만 비출 수 있으면 충분해요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</si>
  <si>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불확실함을 없애려 하기보다 그 안에서 잠시 떠다녀 보세요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해파리가 물결에 몸을 맡기며 은은하게 빛나듯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다음 한 걸음만 비출 수 있으면 충분해요</t>
    </r>
    <r>
      <rPr>
        <sz val="10"/>
        <rFont val="Malgun Gothic"/>
        <family val="0"/>
        <charset val="1"/>
      </rPr>
      <t xml:space="preserve">.</t>
    </r>
  </si>
  <si>
    <t xml:space="preserve">cards.19.about_origin</t>
  </si>
  <si>
    <r>
      <rPr>
        <sz val="10"/>
        <rFont val="Noto Sans CJK SC"/>
        <family val="2"/>
      </rPr>
      <t xml:space="preserve">원래 타로의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태양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카드 자리로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기쁨과 활력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밝게 드러나는 것을 뜻합니다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쏠 타로에서는 지금 여기의 따뜻함을 누리는 힘으로 읽어요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</si>
  <si>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원래 타로의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태양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카드 자리로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기쁨과 활력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밝게 드러나는 것을 뜻해요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쏠 타로에서는 지금 여기의 따뜻함을 누리는 힘으로 읽어요</t>
    </r>
    <r>
      <rPr>
        <sz val="10"/>
        <rFont val="Malgun Gothic"/>
        <family val="0"/>
        <charset val="1"/>
      </rPr>
      <t xml:space="preserve">.</t>
    </r>
  </si>
  <si>
    <t xml:space="preserve">cards.19.deep.step.1</t>
  </si>
  <si>
    <r>
      <rPr>
        <sz val="10"/>
        <rFont val="Malgun Gothic"/>
        <family val="0"/>
        <charset val="1"/>
      </rPr>
      <t xml:space="preserve">'30</t>
    </r>
    <r>
      <rPr>
        <sz val="10"/>
        <rFont val="Noto Sans CJK SC"/>
        <family val="2"/>
      </rPr>
      <t xml:space="preserve">초만 더</t>
    </r>
    <r>
      <rPr>
        <sz val="10"/>
        <rFont val="Malgun Gothic"/>
        <family val="0"/>
        <charset val="1"/>
      </rPr>
      <t xml:space="preserve">' - </t>
    </r>
    <r>
      <rPr>
        <sz val="10"/>
        <rFont val="Noto Sans CJK SC"/>
        <family val="2"/>
      </rPr>
      <t xml:space="preserve">같은 카드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위치의 역방향 위치해석은 </t>
    </r>
    <r>
      <rPr>
        <sz val="10"/>
        <rFont val="Malgun Gothic"/>
        <family val="0"/>
        <charset val="1"/>
      </rPr>
      <t xml:space="preserve">'1</t>
    </r>
    <r>
      <rPr>
        <sz val="10"/>
        <rFont val="Noto Sans CJK SC"/>
        <family val="2"/>
      </rPr>
      <t xml:space="preserve">분만 더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라 함께 보이면 숫자가 어긋남</t>
    </r>
  </si>
  <si>
    <r>
      <rPr>
        <sz val="10"/>
        <rFont val="Noto Sans CJK SC"/>
        <family val="2"/>
      </rPr>
      <t xml:space="preserve">오늘 좋았던 순간 하나를 골라 </t>
    </r>
    <r>
      <rPr>
        <sz val="10"/>
        <rFont val="Malgun Gothic"/>
        <family val="0"/>
        <charset val="1"/>
      </rPr>
      <t xml:space="preserve">30</t>
    </r>
    <r>
      <rPr>
        <sz val="10"/>
        <rFont val="Noto Sans CJK SC"/>
        <family val="2"/>
      </rPr>
      <t xml:space="preserve">초만 더 머물러 보세요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그때의 소리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냄새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표정을 떠올리며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좋았다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고 마음속으로 말해 보는 거예요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물개가 햇살에 몸을 데우듯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기쁨도 머무는 만큼 따뜻해져요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</si>
  <si>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오늘 좋았던 순간 하나를 골라 </t>
    </r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분만 더 머물러 보세요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그때의 소리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냄새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표정을 떠올리며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좋았다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고 마음속으로 말해 보는 거예요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물개가 햇살에 몸을 데우듯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기쁨도 머무는 만큼 따뜻해져요</t>
    </r>
    <r>
      <rPr>
        <sz val="10"/>
        <rFont val="Malgun Gothic"/>
        <family val="0"/>
        <charset val="1"/>
      </rPr>
      <t xml:space="preserve">.</t>
    </r>
  </si>
  <si>
    <t xml:space="preserve">cards.19.positions.now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</si>
  <si>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그 순간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의 가리키는 대상이 불분명</t>
    </r>
    <r>
      <rPr>
        <sz val="10"/>
        <rFont val="Malgun Gothic"/>
        <family val="0"/>
        <charset val="1"/>
      </rPr>
      <t xml:space="preserve">, '</t>
    </r>
    <r>
      <rPr>
        <sz val="10"/>
        <rFont val="Noto Sans CJK SC"/>
        <family val="2"/>
      </rPr>
      <t xml:space="preserve">당신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사용</t>
    </r>
  </si>
  <si>
    <r>
      <rPr>
        <sz val="10"/>
        <rFont val="Noto Sans CJK SC"/>
        <family val="2"/>
      </rPr>
      <t xml:space="preserve">고민이 있어도 마음 한쪽에 기쁨과 기대가 살아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순간에도 웃을 수 있는 힘이 지금 당신의 큰 자원이에요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</si>
  <si>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고민이 있어도 마음 한쪽에 기쁨과 기대가 살아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힘든 순간에도 웃을 수 있는 힘이 지금의 큰 자원이에요</t>
    </r>
    <r>
      <rPr>
        <sz val="10"/>
        <rFont val="Malgun Gothic"/>
        <family val="0"/>
        <charset val="1"/>
      </rPr>
      <t xml:space="preserve">.</t>
    </r>
  </si>
  <si>
    <t xml:space="preserve">cards.19.positions.step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</si>
  <si>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햇살 바위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어색</t>
    </r>
  </si>
  <si>
    <r>
      <rPr>
        <sz val="10"/>
        <rFont val="Noto Sans CJK SC"/>
        <family val="2"/>
      </rPr>
      <t xml:space="preserve">좋은 순간을 조금 더 오래 머금어 보세요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물개가 햇살 바위 위에서 몸을 데우듯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기쁨을 음미하는 시간이 마음의 배터리를 채워 줘요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</si>
  <si>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좋은 순간을 조금 더 오래 머금어 보세요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물개가 햇살 드는 바위 위에서 몸을 데우듯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기쁨을 음미하는 시간이 마음의 배터리를 채워 줘요</t>
    </r>
    <r>
      <rPr>
        <sz val="10"/>
        <rFont val="Malgun Gothic"/>
        <family val="0"/>
        <charset val="1"/>
      </rPr>
      <t xml:space="preserve">.</t>
    </r>
  </si>
  <si>
    <t xml:space="preserve">cards.2.about_origin</t>
  </si>
  <si>
    <r>
      <rPr>
        <sz val="10"/>
        <rFont val="Noto Sans CJK SC"/>
        <family val="2"/>
      </rPr>
      <t xml:space="preserve">원래 타로의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여사제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카드 자리로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직관과 내면의 지혜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아직 드러나지 않은 앎을 뜻합니다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쏠 타로에서는 조용히 바라볼 때 들리는 내 안의 목소리로 읽어요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</si>
  <si>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원래 타로의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여사제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카드 자리로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직관과 내면의 지혜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아직 드러나지 않은 앎을 뜻해요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쏠 타로에서는 조용히 바라볼 때 들리는 내 안의 목소리로 읽어요</t>
    </r>
    <r>
      <rPr>
        <sz val="10"/>
        <rFont val="Malgun Gothic"/>
        <family val="0"/>
        <charset val="1"/>
      </rPr>
      <t xml:space="preserve">.</t>
    </r>
  </si>
  <si>
    <t xml:space="preserve">cards.2.asks.1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</si>
  <si>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마음은 이미 한쪽으로 기울어 있는데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로 사실을 단정하며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같은 카드 설명</t>
    </r>
    <r>
      <rPr>
        <sz val="10"/>
        <rFont val="Malgun Gothic"/>
        <family val="0"/>
        <charset val="1"/>
      </rPr>
      <t xml:space="preserve">('</t>
    </r>
    <r>
      <rPr>
        <sz val="10"/>
        <rFont val="Noto Sans CJK SC"/>
        <family val="2"/>
      </rPr>
      <t xml:space="preserve">마음이 어디로 기우는지 잘 모를 때</t>
    </r>
    <r>
      <rPr>
        <sz val="10"/>
        <rFont val="Malgun Gothic"/>
        <family val="0"/>
        <charset val="1"/>
      </rPr>
      <t xml:space="preserve">')</t>
    </r>
    <r>
      <rPr>
        <sz val="10"/>
        <rFont val="Noto Sans CJK SC"/>
        <family val="2"/>
      </rPr>
      <t xml:space="preserve">과 충돌</t>
    </r>
  </si>
  <si>
    <r>
      <rPr>
        <sz val="10"/>
        <rFont val="Noto Sans CJK SC"/>
        <family val="2"/>
      </rPr>
      <t xml:space="preserve">마음은 이미 한쪽으로 기울어 있는데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 마음을 믿어도 될지 망설이고 있나요</t>
    </r>
    <r>
      <rPr>
        <sz val="10"/>
        <rFont val="Malgun Gothic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</si>
  <si>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마음이 한쪽으로 기우는 것 같은데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 마음을 믿어도 될지 망설이고 있나요</t>
    </r>
    <r>
      <rPr>
        <sz val="10"/>
        <rFont val="Malgun Gothic"/>
        <family val="0"/>
        <charset val="1"/>
      </rPr>
      <t xml:space="preserve">?</t>
    </r>
  </si>
  <si>
    <t xml:space="preserve">cards.2.deep.hold.0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</si>
  <si>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목소리는 작고 망설이는 모양이라</t>
    </r>
    <r>
      <rPr>
        <sz val="10"/>
        <rFont val="Malgun Gothic"/>
        <family val="0"/>
        <charset val="1"/>
      </rPr>
      <t xml:space="preserve">' - </t>
    </r>
    <r>
      <rPr>
        <sz val="10"/>
        <rFont val="Noto Sans CJK SC"/>
        <family val="2"/>
      </rPr>
      <t xml:space="preserve">목소리에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모양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이 어울리지 않음</t>
    </r>
  </si>
  <si>
    <r>
      <rPr>
        <sz val="10"/>
        <rFont val="Noto Sans CJK SC"/>
        <family val="2"/>
      </rPr>
      <t xml:space="preserve">다른 사람의 의견이나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해야 하는 것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은 소리가 크고 분명해서 쉽게 들려요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반면 내 안의 목소리는 작고 망설이는 모양이라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바쁜 날에는 그 소리를 놓치기 쉬워요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</si>
  <si>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다른 사람의 의견이나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해야 하는 것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은 소리가 크고 분명해서 쉽게 들려요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반면 내 안의 목소리는 작고 머뭇거릴 때가 많아서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바쁜 날에는 그 소리를 놓치기 쉬워요</t>
    </r>
    <r>
      <rPr>
        <sz val="10"/>
        <rFont val="Malgun Gothic"/>
        <family val="0"/>
        <charset val="1"/>
      </rPr>
      <t xml:space="preserve">.</t>
    </r>
  </si>
  <si>
    <t xml:space="preserve">cards.2.practices.0.title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</si>
  <si>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호흡 공간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은 기법명 직역투</t>
    </r>
  </si>
  <si>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분 호흡 공간</t>
    </r>
  </si>
  <si>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분 숨 고르기</t>
    </r>
  </si>
  <si>
    <t xml:space="preserve">cards.2.practices.1.how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</si>
  <si>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선택지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가 무엇인지 앞에 설명이 없어 갑작스러움</t>
    </r>
  </si>
  <si>
    <r>
      <rPr>
        <sz val="10"/>
        <rFont val="Noto Sans CJK SC"/>
        <family val="2"/>
      </rPr>
      <t xml:space="preserve">선택지를 하나씩 떠올리며 몸이 조여지는지 풀리는지 한 줄씩 적어요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</si>
  <si>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지금 고민 중인 선택지를 하나씩 떠올리며 몸이 조여지는지 풀리는지 한 줄씩 적어요</t>
    </r>
    <r>
      <rPr>
        <sz val="10"/>
        <rFont val="Malgun Gothic"/>
        <family val="0"/>
        <charset val="1"/>
      </rPr>
      <t xml:space="preserve">.</t>
    </r>
  </si>
  <si>
    <t xml:space="preserve">cards.2.reversed.positions.step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</si>
  <si>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조언을 멈추고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는 조언을 하는 쪽으로 읽힘</t>
    </r>
  </si>
  <si>
    <r>
      <rPr>
        <sz val="10"/>
        <rFont val="Noto Sans CJK SC"/>
        <family val="2"/>
      </rPr>
      <t xml:space="preserve">검색과 조언을 잠시 멈추고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하루 </t>
    </r>
    <r>
      <rPr>
        <sz val="10"/>
        <rFont val="Malgun Gothic"/>
        <family val="0"/>
        <charset val="1"/>
      </rPr>
      <t xml:space="preserve">10</t>
    </r>
    <r>
      <rPr>
        <sz val="10"/>
        <rFont val="Noto Sans CJK SC"/>
        <family val="2"/>
      </rPr>
      <t xml:space="preserve">분은 아무 정보 없이 내 마음만 들어 보세요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</si>
  <si>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검색과 조언 구하기를 잠시 멈추고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하루 </t>
    </r>
    <r>
      <rPr>
        <sz val="10"/>
        <rFont val="Malgun Gothic"/>
        <family val="0"/>
        <charset val="1"/>
      </rPr>
      <t xml:space="preserve">10</t>
    </r>
    <r>
      <rPr>
        <sz val="10"/>
        <rFont val="Noto Sans CJK SC"/>
        <family val="2"/>
      </rPr>
      <t xml:space="preserve">분은 아무 정보 없이 내 마음만 들어 보세요</t>
    </r>
    <r>
      <rPr>
        <sz val="10"/>
        <rFont val="Malgun Gothic"/>
        <family val="0"/>
        <charset val="1"/>
      </rPr>
      <t xml:space="preserve">.</t>
    </r>
  </si>
  <si>
    <t xml:space="preserve">cards.20.about_origin</t>
  </si>
  <si>
    <r>
      <rPr>
        <sz val="10"/>
        <rFont val="Noto Sans CJK SC"/>
        <family val="2"/>
      </rPr>
      <t xml:space="preserve">원래 타로의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심판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카드 자리로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깨어남과 부름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새 시작을 위한 돌아봄을 뜻합니다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쏠 타로에서는 마음 깊은 곳의 부름에 답하는 일로 읽어요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</si>
  <si>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원래 타로의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심판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카드 자리로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깨어남과 부름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새 시작을 위한 돌아봄을 뜻해요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쏠 타로에서는 마음 깊은 곳의 부름에 답하는 일로 읽어요</t>
    </r>
    <r>
      <rPr>
        <sz val="10"/>
        <rFont val="Malgun Gothic"/>
        <family val="0"/>
        <charset val="1"/>
      </rPr>
      <t xml:space="preserve">.</t>
    </r>
  </si>
  <si>
    <t xml:space="preserve">cards.20.practices.2.how</t>
  </si>
  <si>
    <r>
      <rPr>
        <sz val="10"/>
        <rFont val="Noto Sans CJK SC"/>
        <family val="2"/>
      </rPr>
      <t xml:space="preserve">제목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이유는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가치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인데 방법은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공통점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이라 연결이 약하고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앞 실천을 안 봤으면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찾은 공통점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이 모호함</t>
    </r>
  </si>
  <si>
    <r>
      <rPr>
        <sz val="10"/>
        <rFont val="Noto Sans CJK SC"/>
        <family val="2"/>
      </rPr>
      <t xml:space="preserve">찾은 공통점에 맞는 행동 하나를 이번 주 일정에 넣어요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</si>
  <si>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의미 있었던 순간들의 공통점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곧 내가 소중히 여기는 것에 맞는 행동 하나를 이번 주 일정에 넣어요</t>
    </r>
    <r>
      <rPr>
        <sz val="10"/>
        <rFont val="Malgun Gothic"/>
        <family val="0"/>
        <charset val="1"/>
      </rPr>
      <t xml:space="preserve">.</t>
    </r>
  </si>
  <si>
    <t xml:space="preserve">cards.20.reversed.positions.hold</t>
  </si>
  <si>
    <r>
      <rPr>
        <sz val="10"/>
        <rFont val="Noto Sans CJK SC"/>
        <family val="2"/>
      </rPr>
      <t xml:space="preserve">정방향 </t>
    </r>
    <r>
      <rPr>
        <sz val="10"/>
        <rFont val="Malgun Gothic"/>
        <family val="0"/>
        <charset val="1"/>
      </rPr>
      <t xml:space="preserve">hold('</t>
    </r>
    <r>
      <rPr>
        <sz val="10"/>
        <rFont val="Noto Sans CJK SC"/>
        <family val="2"/>
      </rPr>
      <t xml:space="preserve">지난 선택에 대한 후회나 스스로에 대한 평가</t>
    </r>
    <r>
      <rPr>
        <sz val="10"/>
        <rFont val="Malgun Gothic"/>
        <family val="0"/>
        <charset val="1"/>
      </rPr>
      <t xml:space="preserve">')</t>
    </r>
    <r>
      <rPr>
        <sz val="10"/>
        <rFont val="Noto Sans CJK SC"/>
        <family val="2"/>
      </rPr>
      <t xml:space="preserve">와 거의 같은 문장</t>
    </r>
  </si>
  <si>
    <r>
      <rPr>
        <sz val="10"/>
        <rFont val="Noto Sans CJK SC"/>
        <family val="2"/>
      </rPr>
      <t xml:space="preserve">지난 선택에 대한 후회나 자기 비판이 새로운 시작을 붙잡고 있을 수 있어요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</si>
  <si>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스스로에게 너무 높은 기준을 대느라 새로운 시작이 자꾸 뒤로 밀리고 있을 수 있어요</t>
    </r>
    <r>
      <rPr>
        <sz val="10"/>
        <rFont val="Malgun Gothic"/>
        <family val="0"/>
        <charset val="1"/>
      </rPr>
      <t xml:space="preserve">.</t>
    </r>
  </si>
  <si>
    <t xml:space="preserve">cards.21.about_origin</t>
  </si>
  <si>
    <r>
      <rPr>
        <sz val="10"/>
        <rFont val="Noto Sans CJK SC"/>
        <family val="2"/>
      </rPr>
      <t xml:space="preserve">원래 타로의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세계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카드 자리로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완성과 통합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한 바퀴를 돈 여정을 뜻합니다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쏠 타로에서는 지나온 여정 전체를 인정하는 일로 읽어요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</si>
  <si>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원래 타로의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세계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카드 자리로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완성과 통합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한 바퀴를 돈 여정을 뜻해요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쏠 타로에서는 지나온 여정 전체를 인정하는 일로 읽어요</t>
    </r>
    <r>
      <rPr>
        <sz val="10"/>
        <rFont val="Malgun Gothic"/>
        <family val="0"/>
        <charset val="1"/>
      </rPr>
      <t xml:space="preserve">.</t>
    </r>
  </si>
  <si>
    <t xml:space="preserve">cards.21.asks.1</t>
  </si>
  <si>
    <r>
      <rPr>
        <sz val="10"/>
        <rFont val="Noto Sans CJK SC"/>
        <family val="2"/>
      </rPr>
      <t xml:space="preserve">같은 카드 </t>
    </r>
    <r>
      <rPr>
        <sz val="10"/>
        <rFont val="Malgun Gothic"/>
        <family val="0"/>
        <charset val="1"/>
      </rPr>
      <t xml:space="preserve">asks.0('</t>
    </r>
    <r>
      <rPr>
        <sz val="10"/>
        <rFont val="Noto Sans CJK SC"/>
        <family val="2"/>
      </rPr>
      <t xml:space="preserve">다음 목표에 쫓겨 스스로를 인정해 주지 못하고</t>
    </r>
    <r>
      <rPr>
        <sz val="10"/>
        <rFont val="Malgun Gothic"/>
        <family val="0"/>
        <charset val="1"/>
      </rPr>
      <t xml:space="preserve">')</t>
    </r>
    <r>
      <rPr>
        <sz val="10"/>
        <rFont val="Noto Sans CJK SC"/>
        <family val="2"/>
      </rPr>
      <t xml:space="preserve">과 내용이 거의 겹침</t>
    </r>
  </si>
  <si>
    <r>
      <rPr>
        <sz val="10"/>
        <rFont val="Noto Sans CJK SC"/>
        <family val="2"/>
      </rPr>
      <t xml:space="preserve">지나온 시간을 돌아볼 여유 없이 바로 다음으로 넘어가고 있진 않으세요</t>
    </r>
    <r>
      <rPr>
        <sz val="10"/>
        <rFont val="Malgun Gothic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</si>
  <si>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애써 지나온 시간을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별거 아니었다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며 작게 여기고 있진 않으세요</t>
    </r>
    <r>
      <rPr>
        <sz val="10"/>
        <rFont val="Malgun Gothic"/>
        <family val="0"/>
        <charset val="1"/>
      </rPr>
      <t xml:space="preserve">?</t>
    </r>
  </si>
  <si>
    <t xml:space="preserve">cards.21.core</t>
  </si>
  <si>
    <r>
      <rPr>
        <sz val="10"/>
        <rFont val="Noto Sans CJK SC"/>
        <family val="2"/>
      </rPr>
      <t xml:space="preserve">여기까지 온 당신의 여정 전체가 하나의 바다예요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</si>
  <si>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여기까지 걸어온 여정 전체가 하나의 바다예요</t>
    </r>
    <r>
      <rPr>
        <sz val="10"/>
        <rFont val="Malgun Gothic"/>
        <family val="0"/>
        <charset val="1"/>
      </rPr>
      <t xml:space="preserve">.</t>
    </r>
  </si>
  <si>
    <t xml:space="preserve">cards.3.about_origin</t>
  </si>
  <si>
    <r>
      <rPr>
        <sz val="10"/>
        <rFont val="Noto Sans CJK SC"/>
        <family val="2"/>
      </rPr>
      <t xml:space="preserve">원래 타로의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여황제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카드 자리로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풍요와 돌봄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무언가를 길러 내는 힘을 뜻합니다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쏠 타로에서는 남을 품듯 나를 품어 주는 자기돌봄으로 읽어요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</si>
  <si>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원래 타로의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여황제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카드 자리로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풍요와 돌봄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무언가를 길러 내는 힘을 뜻해요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쏠 타로에서는 남을 품듯 나를 품어 주는 자기돌봄으로 읽어요</t>
    </r>
    <r>
      <rPr>
        <sz val="10"/>
        <rFont val="Malgun Gothic"/>
        <family val="0"/>
        <charset val="1"/>
      </rPr>
      <t xml:space="preserve">.</t>
    </r>
  </si>
  <si>
    <t xml:space="preserve">cards.3.deep.hold.1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</si>
  <si>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당연하다는 걸 허락해 보는 거예요</t>
    </r>
    <r>
      <rPr>
        <sz val="10"/>
        <rFont val="Malgun Gothic"/>
        <family val="0"/>
        <charset val="1"/>
      </rPr>
      <t xml:space="preserve">' - </t>
    </r>
    <r>
      <rPr>
        <sz val="10"/>
        <rFont val="Noto Sans CJK SC"/>
        <family val="2"/>
      </rPr>
      <t xml:space="preserve">사실</t>
    </r>
    <r>
      <rPr>
        <sz val="10"/>
        <rFont val="Malgun Gothic"/>
        <family val="0"/>
        <charset val="1"/>
      </rPr>
      <t xml:space="preserve">(~</t>
    </r>
    <r>
      <rPr>
        <sz val="10"/>
        <rFont val="Noto Sans CJK SC"/>
        <family val="2"/>
      </rPr>
      <t xml:space="preserve">라는 것</t>
    </r>
    <r>
      <rPr>
        <sz val="10"/>
        <rFont val="Malgun Gothic"/>
        <family val="0"/>
        <charset val="1"/>
      </rPr>
      <t xml:space="preserve">)</t>
    </r>
    <r>
      <rPr>
        <sz val="10"/>
        <rFont val="Noto Sans CJK SC"/>
        <family val="2"/>
      </rPr>
      <t xml:space="preserve">을 허락한다는 어색한 연결</t>
    </r>
  </si>
  <si>
    <r>
      <rPr>
        <sz val="10"/>
        <rFont val="Noto Sans CJK SC"/>
        <family val="2"/>
      </rPr>
      <t xml:space="preserve">소중한 사람이 지금의 나처럼 지쳐 있다면 뭐라고 말해 줄까요</t>
    </r>
    <r>
      <rPr>
        <sz val="10"/>
        <rFont val="Malgun Gothic"/>
        <family val="0"/>
        <charset val="1"/>
      </rPr>
      <t xml:space="preserve">? </t>
    </r>
    <r>
      <rPr>
        <sz val="10"/>
        <rFont val="Noto Sans CJK SC"/>
        <family val="2"/>
      </rPr>
      <t xml:space="preserve">그 말을 그대로 나에게 돌려줘 보세요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남에게는 당연한 쉼이 나에게도 똑같이 당연하다는 걸 조금씩 허락해 보는 거예요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</si>
  <si>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소중한 사람이 지금의 나처럼 지쳐 있다면 뭐라고 말해 줄까요</t>
    </r>
    <r>
      <rPr>
        <sz val="10"/>
        <rFont val="Malgun Gothic"/>
        <family val="0"/>
        <charset val="1"/>
      </rPr>
      <t xml:space="preserve">? </t>
    </r>
    <r>
      <rPr>
        <sz val="10"/>
        <rFont val="Noto Sans CJK SC"/>
        <family val="2"/>
      </rPr>
      <t xml:space="preserve">그 말을 그대로 나에게 돌려줘 보세요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남에게는 당연한 쉼을 나에게도 똑같이 조금씩 허락해 보는 거예요</t>
    </r>
    <r>
      <rPr>
        <sz val="10"/>
        <rFont val="Malgun Gothic"/>
        <family val="0"/>
        <charset val="1"/>
      </rPr>
      <t xml:space="preserve">.</t>
    </r>
  </si>
  <si>
    <t xml:space="preserve">cards.4.about_origin</t>
  </si>
  <si>
    <r>
      <rPr>
        <sz val="10"/>
        <rFont val="Noto Sans CJK SC"/>
        <family val="2"/>
      </rPr>
      <t xml:space="preserve">원래 타로의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황제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카드 자리로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질서와 책임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든든한 구조를 뜻합니다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쏠 타로에서는 흔들릴 때 나를 지켜 주는 작은 질서로 읽어요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</si>
  <si>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원래 타로의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황제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카드 자리로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질서와 책임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든든한 구조를 뜻해요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쏠 타로에서는 흔들릴 때 나를 지켜 주는 작은 질서로 읽어요</t>
    </r>
    <r>
      <rPr>
        <sz val="10"/>
        <rFont val="Malgun Gothic"/>
        <family val="0"/>
        <charset val="1"/>
      </rPr>
      <t xml:space="preserve">.</t>
    </r>
  </si>
  <si>
    <t xml:space="preserve">cards.4.deep.now.0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</si>
  <si>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당신의 어깨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호칭</t>
    </r>
    <r>
      <rPr>
        <sz val="10"/>
        <rFont val="Malgun Gothic"/>
        <family val="0"/>
        <charset val="1"/>
      </rPr>
      <t xml:space="preserve">, '</t>
    </r>
    <r>
      <rPr>
        <sz val="10"/>
        <rFont val="Noto Sans CJK SC"/>
        <family val="2"/>
      </rPr>
      <t xml:space="preserve">가능성이 커요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가 위치해석</t>
    </r>
    <r>
      <rPr>
        <sz val="10"/>
        <rFont val="Malgun Gothic"/>
        <family val="0"/>
        <charset val="1"/>
      </rPr>
      <t xml:space="preserve">('</t>
    </r>
    <r>
      <rPr>
        <sz val="10"/>
        <rFont val="Noto Sans CJK SC"/>
        <family val="2"/>
      </rPr>
      <t xml:space="preserve">든든한 존재일 가능성이 커요</t>
    </r>
    <r>
      <rPr>
        <sz val="10"/>
        <rFont val="Malgun Gothic"/>
        <family val="0"/>
        <charset val="1"/>
      </rPr>
      <t xml:space="preserve">')</t>
    </r>
    <r>
      <rPr>
        <sz val="10"/>
        <rFont val="Noto Sans CJK SC"/>
        <family val="2"/>
      </rPr>
      <t xml:space="preserve">과 겹침</t>
    </r>
  </si>
  <si>
    <r>
      <rPr>
        <sz val="10"/>
        <rFont val="Noto Sans CJK SC"/>
        <family val="2"/>
      </rPr>
      <t xml:space="preserve">책임감이 큰 사람은 흔들리는 상황에서도 자리를 지키는 쪽을 택해요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묵묵함 덕분에 주변이 안정을 얻고 있을 가능성이 커요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그만큼 당신의 어깨에도 무게가 실려 있어요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</si>
  <si>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책임감이 큰 사람은 흔들리는 상황에서도 자리를 지키는 쪽을 택해요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묵묵함 덕분에 주변이 안정을 얻기도 하지만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그만큼 내 어깨에도 무게가 실려 있어요</t>
    </r>
    <r>
      <rPr>
        <sz val="10"/>
        <rFont val="Malgun Gothic"/>
        <family val="0"/>
        <charset val="1"/>
      </rPr>
      <t xml:space="preserve">.</t>
    </r>
  </si>
  <si>
    <t xml:space="preserve">cards.4.positions.now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</si>
  <si>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당신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사용</t>
    </r>
    <r>
      <rPr>
        <sz val="10"/>
        <rFont val="Malgun Gothic"/>
        <family val="0"/>
        <charset val="1"/>
      </rPr>
      <t xml:space="preserve">, '</t>
    </r>
    <r>
      <rPr>
        <sz val="10"/>
        <rFont val="Noto Sans CJK SC"/>
        <family val="2"/>
      </rPr>
      <t xml:space="preserve">커요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가 두 문장에서 반복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상대 반응 단정</t>
    </r>
  </si>
  <si>
    <r>
      <rPr>
        <sz val="10"/>
        <rFont val="Noto Sans CJK SC"/>
        <family val="2"/>
      </rPr>
      <t xml:space="preserve">지켜야 할 것이 많고 책임감이 커요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맡은 자리를 묵묵히 버티고 있는 당신은 주변 사람들에게 든든한 존재일 가능성이 커요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</si>
  <si>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지켜야 할 것이 많고 책임감이 커요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맡은 자리를 묵묵히 버티고 있는 모습이 주변 사람들에게 든든한 힘이 되고 있을지도 몰라요</t>
    </r>
    <r>
      <rPr>
        <sz val="10"/>
        <rFont val="Malgun Gothic"/>
        <family val="0"/>
        <charset val="1"/>
      </rPr>
      <t xml:space="preserve">.</t>
    </r>
  </si>
  <si>
    <t xml:space="preserve">cards.4.positions.step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</si>
  <si>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나눠 보세요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와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나눠 지는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이 다른 뜻으로 반복되고</t>
    </r>
    <r>
      <rPr>
        <sz val="10"/>
        <rFont val="Malgun Gothic"/>
        <family val="0"/>
        <charset val="1"/>
      </rPr>
      <t xml:space="preserve">, '</t>
    </r>
    <r>
      <rPr>
        <sz val="10"/>
        <rFont val="Noto Sans CJK SC"/>
        <family val="2"/>
      </rPr>
      <t xml:space="preserve">바꾸</t>
    </r>
    <r>
      <rPr>
        <sz val="10"/>
        <rFont val="Malgun Gothic"/>
        <family val="0"/>
        <charset val="1"/>
      </rPr>
      <t xml:space="preserve">-'</t>
    </r>
    <r>
      <rPr>
        <sz val="10"/>
        <rFont val="Noto Sans CJK SC"/>
        <family val="2"/>
      </rPr>
      <t xml:space="preserve">가 네 번 나옴</t>
    </r>
  </si>
  <si>
    <r>
      <rPr>
        <sz val="10"/>
        <rFont val="Noto Sans CJK SC"/>
        <family val="2"/>
      </rPr>
      <t xml:space="preserve">내가 바꿀 수 있는 것과 바꿀 수 없는 것을 나눠 보세요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펭귄 무리가 자리를 바꿔 가며 추위를 함께 견디듯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바꿀 수 있는 쪽에 힘을 쓰고 나머지는 나눠 지는 거예요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</si>
  <si>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내가 바꿀 수 있는 것과 바꿀 수 없는 것을 구분해 보세요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펭귄 무리가 자리를 바꿔 가며 추위를 함께 견디듯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바꿀 수 있는 쪽에 힘을 쓰고 나머지는 함께 나눠 지는 거예요</t>
    </r>
    <r>
      <rPr>
        <sz val="10"/>
        <rFont val="Malgun Gothic"/>
        <family val="0"/>
        <charset val="1"/>
      </rPr>
      <t xml:space="preserve">.</t>
    </r>
  </si>
  <si>
    <t xml:space="preserve">cards.4.practices.0.how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</si>
  <si>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원 두 개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의 안쪽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바깥이 무엇인지 모호함</t>
    </r>
  </si>
  <si>
    <r>
      <rPr>
        <sz val="10"/>
        <rFont val="Noto Sans CJK SC"/>
        <family val="2"/>
      </rPr>
      <t xml:space="preserve">원 두 개를 그리고 안쪽에는 내가 바꿀 수 있는 것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바깥에는 바꿀 수 없는 것을 적어요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</si>
  <si>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큰 원 안에 작은 원을 그리고 안쪽 원에는 내가 바꿀 수 있는 것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바깥 원에는 바꿀 수 없는 것을 적어요</t>
    </r>
    <r>
      <rPr>
        <sz val="10"/>
        <rFont val="Malgun Gothic"/>
        <family val="0"/>
        <charset val="1"/>
      </rPr>
      <t xml:space="preserve">.</t>
    </r>
  </si>
  <si>
    <t xml:space="preserve">cards.5.about_origin</t>
  </si>
  <si>
    <r>
      <rPr>
        <sz val="10"/>
        <rFont val="Noto Sans CJK SC"/>
        <family val="2"/>
      </rPr>
      <t xml:space="preserve">원래 타로의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교황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카드 자리로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전통과 가르침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믿을 만한 조언을 뜻합니다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쏠 타로에서는 혼자 짊어지지 않고 지혜에 기대는 힘으로 읽어요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</si>
  <si>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원래 타로의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교황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카드 자리로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전통과 가르침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믿을 만한 조언을 뜻해요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쏠 타로에서는 혼자 짊어지지 않고 지혜에 기대는 힘으로 읽어요</t>
    </r>
    <r>
      <rPr>
        <sz val="10"/>
        <rFont val="Malgun Gothic"/>
        <family val="0"/>
        <charset val="1"/>
      </rPr>
      <t xml:space="preserve">.</t>
    </r>
  </si>
  <si>
    <t xml:space="preserve">cards.5.asks.1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</si>
  <si>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같은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이 한 문장에 두 번 반복</t>
    </r>
  </si>
  <si>
    <r>
      <rPr>
        <sz val="10"/>
        <rFont val="Noto Sans CJK SC"/>
        <family val="2"/>
      </rPr>
      <t xml:space="preserve">같은 생각을 며칠째 되풀이하며 같은 자리를 맴도는 느낌이 드나요</t>
    </r>
    <r>
      <rPr>
        <sz val="10"/>
        <rFont val="Malgun Gothic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</si>
  <si>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한 가지 생각을 며칠째 되풀이하며 같은 자리를 맴도는 느낌이 드나요</t>
    </r>
    <r>
      <rPr>
        <sz val="10"/>
        <rFont val="Malgun Gothic"/>
        <family val="0"/>
        <charset val="1"/>
      </rPr>
      <t xml:space="preserve">?</t>
    </r>
  </si>
  <si>
    <t xml:space="preserve">cards.5.deep.now.0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</si>
  <si>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당신이 가진 큰 장점</t>
    </r>
    <r>
      <rPr>
        <sz val="10"/>
        <rFont val="Malgun Gothic"/>
        <family val="0"/>
        <charset val="1"/>
      </rPr>
      <t xml:space="preserve">' - '</t>
    </r>
    <r>
      <rPr>
        <sz val="10"/>
        <rFont val="Noto Sans CJK SC"/>
        <family val="2"/>
      </rPr>
      <t xml:space="preserve">당신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호칭</t>
    </r>
  </si>
  <si>
    <r>
      <rPr>
        <sz val="10"/>
        <rFont val="Noto Sans CJK SC"/>
        <family val="2"/>
      </rPr>
      <t xml:space="preserve">스스로 답을 찾으려는 힘은 당신이 가진 큰 장점이에요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다만 같은 질문을 혼자 오래 붙잡고 있으면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생각이 새 길을 찾기보다 익숙한 길을 다시 걷게 되기 쉬워요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</si>
  <si>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스스로 답을 찾으려는 힘은 큰 장점이에요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다만 같은 질문을 혼자 오래 붙잡고 있으면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생각이 새 길을 찾기보다 익숙한 길을 다시 걷게 되기 쉬워요</t>
    </r>
    <r>
      <rPr>
        <sz val="10"/>
        <rFont val="Malgun Gothic"/>
        <family val="0"/>
        <charset val="1"/>
      </rPr>
      <t xml:space="preserve">.</t>
    </r>
  </si>
  <si>
    <t xml:space="preserve">cards.5.deep.step.0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</si>
  <si>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같은 길을 먼저 지나간 사람의 이야기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가 위치해석 문장을 그대로 반복하고</t>
    </r>
    <r>
      <rPr>
        <sz val="10"/>
        <rFont val="Malgun Gothic"/>
        <family val="0"/>
        <charset val="1"/>
      </rPr>
      <t xml:space="preserve">, '</t>
    </r>
    <r>
      <rPr>
        <sz val="10"/>
        <rFont val="Noto Sans CJK SC"/>
        <family val="2"/>
      </rPr>
      <t xml:space="preserve">지도가 담겨 있어요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는 단정</t>
    </r>
  </si>
  <si>
    <r>
      <rPr>
        <sz val="10"/>
        <rFont val="Noto Sans CJK SC"/>
        <family val="2"/>
      </rPr>
      <t xml:space="preserve">오래 검증된 지혜는 책 한 권일 수도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경험 많은 선배의 한마디일 수도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전문가의 도움일 수도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같은 길을 먼저 지나간 사람의 이야기에는 내가 아직 보지 못한 지도가 담겨 있어요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</si>
  <si>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오래 검증된 지혜는 책 한 권일 수도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경험 많은 선배의 한마디일 수도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전문가의 도움일 수도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먼저 그 길을 걸어 본 사람의 이야기에는 내가 아직 보지 못한 지도가 담겨 있을 수 있어요</t>
    </r>
    <r>
      <rPr>
        <sz val="10"/>
        <rFont val="Malgun Gothic"/>
        <family val="0"/>
        <charset val="1"/>
      </rPr>
      <t xml:space="preserve">.</t>
    </r>
  </si>
  <si>
    <t xml:space="preserve">cards.6.about_origin</t>
  </si>
  <si>
    <r>
      <rPr>
        <sz val="10"/>
        <rFont val="Noto Sans CJK SC"/>
        <family val="2"/>
      </rPr>
      <t xml:space="preserve">원래 타로의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연인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카드 자리로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사랑과 조화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그리고 가치에 따른 선택을 뜻합니다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쏠 타로에서는 나다운 가치에서 시작하는 연결로 읽어요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</si>
  <si>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원래 타로의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연인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카드 자리로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사랑과 조화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그리고 가치에 따른 선택을 뜻해요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쏠 타로에서는 나다운 가치에서 시작하는 연결로 읽어요</t>
    </r>
    <r>
      <rPr>
        <sz val="10"/>
        <rFont val="Malgun Gothic"/>
        <family val="0"/>
        <charset val="1"/>
      </rPr>
      <t xml:space="preserve">.</t>
    </r>
  </si>
  <si>
    <t xml:space="preserve">cards.6.deep.hold.0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</si>
  <si>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탓을 덜 받을</t>
    </r>
    <r>
      <rPr>
        <sz val="10"/>
        <rFont val="Malgun Gothic"/>
        <family val="0"/>
        <charset val="1"/>
      </rPr>
      <t xml:space="preserve">' - </t>
    </r>
    <r>
      <rPr>
        <sz val="10"/>
        <rFont val="Noto Sans CJK SC"/>
        <family val="2"/>
      </rPr>
      <t xml:space="preserve">관용 표현은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탓을 듣다</t>
    </r>
    <r>
      <rPr>
        <sz val="10"/>
        <rFont val="Malgun Gothic"/>
        <family val="0"/>
        <charset val="1"/>
      </rPr>
      <t xml:space="preserve">'</t>
    </r>
  </si>
  <si>
    <r>
      <rPr>
        <sz val="10"/>
        <rFont val="Noto Sans CJK SC"/>
        <family val="2"/>
      </rPr>
      <t xml:space="preserve">상대의 마음을 먼저 확인하고 싶은 건 상처받고 싶지 않은 마음에서 비롯될 때가 많아요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또 남이 보기에 좋은 선택을 따르면 적어도 탓을 덜 받을 것 같아 안전하게 느껴지기도 해요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</si>
  <si>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상대의 마음을 먼저 확인하고 싶은 건 상처받고 싶지 않은 마음에서 비롯될 때가 많아요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또 남이 보기에 좋은 선택을 따르면 적어도 탓을 덜 들을 것 같아 안전하게 느껴지기도 해요</t>
    </r>
    <r>
      <rPr>
        <sz val="10"/>
        <rFont val="Malgun Gothic"/>
        <family val="0"/>
        <charset val="1"/>
      </rPr>
      <t xml:space="preserve">.</t>
    </r>
  </si>
  <si>
    <t xml:space="preserve">cards.6.deep.now.1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</si>
  <si>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앞으로의 마음을 고르는 기준</t>
    </r>
    <r>
      <rPr>
        <sz val="10"/>
        <rFont val="Malgun Gothic"/>
        <family val="0"/>
        <charset val="1"/>
      </rPr>
      <t xml:space="preserve">' - </t>
    </r>
    <r>
      <rPr>
        <sz val="10"/>
        <rFont val="Noto Sans CJK SC"/>
        <family val="2"/>
      </rPr>
      <t xml:space="preserve">마음을 고른다는 표현이 어색함</t>
    </r>
  </si>
  <si>
    <r>
      <rPr>
        <sz val="10"/>
        <rFont val="Noto Sans CJK SC"/>
        <family val="2"/>
      </rPr>
      <t xml:space="preserve">이 관계나 선택에서 내가 가장 지키고 싶은 것은 무엇인가요</t>
    </r>
    <r>
      <rPr>
        <sz val="10"/>
        <rFont val="Malgun Gothic"/>
        <family val="0"/>
        <charset val="1"/>
      </rPr>
      <t xml:space="preserve">? </t>
    </r>
    <r>
      <rPr>
        <sz val="10"/>
        <rFont val="Noto Sans CJK SC"/>
        <family val="2"/>
      </rPr>
      <t xml:space="preserve">편안함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존중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성장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함께하는 시간처럼 한두 단어로 적어 보세요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단어가 앞으로의 마음을 고르는 기준이 되어 줄 수 있어요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</si>
  <si>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이 관계나 선택에서 내가 가장 지키고 싶은 것은 무엇인가요</t>
    </r>
    <r>
      <rPr>
        <sz val="10"/>
        <rFont val="Malgun Gothic"/>
        <family val="0"/>
        <charset val="1"/>
      </rPr>
      <t xml:space="preserve">? </t>
    </r>
    <r>
      <rPr>
        <sz val="10"/>
        <rFont val="Noto Sans CJK SC"/>
        <family val="2"/>
      </rPr>
      <t xml:space="preserve">편안함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존중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성장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함께하는 시간처럼 한두 단어로 적어 보세요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단어가 앞으로 마음을 정할 때 기준이 되어 줄 수 있어요</t>
    </r>
    <r>
      <rPr>
        <sz val="10"/>
        <rFont val="Malgun Gothic"/>
        <family val="0"/>
        <charset val="1"/>
      </rPr>
      <t xml:space="preserve">.</t>
    </r>
  </si>
  <si>
    <t xml:space="preserve">cards.6.positions.now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</si>
  <si>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마음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또는 </t>
    </r>
    <r>
      <rPr>
        <sz val="10"/>
        <rFont val="Malgun Gothic"/>
        <family val="0"/>
        <charset val="1"/>
      </rPr>
      <t xml:space="preserve">~</t>
    </r>
    <r>
      <rPr>
        <sz val="10"/>
        <rFont val="Noto Sans CJK SC"/>
        <family val="2"/>
      </rPr>
      <t xml:space="preserve">마음이 오가고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병렬이 어긋남</t>
    </r>
    <r>
      <rPr>
        <sz val="10"/>
        <rFont val="Malgun Gothic"/>
        <family val="0"/>
        <charset val="1"/>
      </rPr>
      <t xml:space="preserve">, '</t>
    </r>
    <r>
      <rPr>
        <sz val="10"/>
        <rFont val="Noto Sans CJK SC"/>
        <family val="2"/>
      </rPr>
      <t xml:space="preserve">당신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사용</t>
    </r>
  </si>
  <si>
    <r>
      <rPr>
        <sz val="10"/>
        <rFont val="Noto Sans CJK SC"/>
        <family val="2"/>
      </rPr>
      <t xml:space="preserve">누군가와 더 가까워지고 싶은 마음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또는 중요한 선택 앞에서 마음이 오가고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관계와 선택 모두 당신에게 그만큼 소중하다는 뜻으로 읽을 수 있어요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</si>
  <si>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누군가와 더 가까워지고 싶거나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중요한 선택 앞에서 마음이 오가고 있을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관계와 선택 모두 나에게 그만큼 소중하다는 뜻으로 읽을 수 있어요</t>
    </r>
    <r>
      <rPr>
        <sz val="10"/>
        <rFont val="Malgun Gothic"/>
        <family val="0"/>
        <charset val="1"/>
      </rPr>
      <t xml:space="preserve">.</t>
    </r>
  </si>
  <si>
    <t xml:space="preserve">cards.7.about_origin</t>
  </si>
  <si>
    <r>
      <rPr>
        <sz val="10"/>
        <rFont val="Noto Sans CJK SC"/>
        <family val="2"/>
      </rPr>
      <t xml:space="preserve">원래 타로의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전차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카드 자리로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의지와 추진력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방향을 잡고 나아가는 힘을 뜻합니다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쏠 타로에서는 거스르기보다 흐름을 타고 나아가는 힘으로 읽어요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</si>
  <si>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원래 타로의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전차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카드 자리로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의지와 추진력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방향을 잡고 나아가는 힘을 뜻해요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쏠 타로에서는 거스르기보다 흐름을 타고 나아가는 힘으로 읽어요</t>
    </r>
    <r>
      <rPr>
        <sz val="10"/>
        <rFont val="Malgun Gothic"/>
        <family val="0"/>
        <charset val="1"/>
      </rPr>
      <t xml:space="preserve">.</t>
    </r>
  </si>
  <si>
    <t xml:space="preserve">cards.7.deep.hold.1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</si>
  <si>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다음 파도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가 연속 두 문장에 반복</t>
    </r>
  </si>
  <si>
    <r>
      <rPr>
        <sz val="10"/>
        <rFont val="Noto Sans CJK SC"/>
        <family val="2"/>
      </rPr>
      <t xml:space="preserve">지금 내가 맞추려 애쓰는 기대들 가운데 꼭 지금 맞춰야 하는 것은 몇 개인가요</t>
    </r>
    <r>
      <rPr>
        <sz val="10"/>
        <rFont val="Malgun Gothic"/>
        <family val="0"/>
        <charset val="1"/>
      </rPr>
      <t xml:space="preserve">? </t>
    </r>
    <r>
      <rPr>
        <sz val="10"/>
        <rFont val="Noto Sans CJK SC"/>
        <family val="2"/>
      </rPr>
      <t xml:space="preserve">몇 개는 다음 파도로 미뤄도 괜찮을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쉬는 것도 다음 파도를 타기 위한 준비라는 걸 잊지 마세요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</si>
  <si>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지금 내가 맞추려 애쓰는 기대들 가운데 꼭 지금 맞춰야 하는 것은 몇 개인가요</t>
    </r>
    <r>
      <rPr>
        <sz val="10"/>
        <rFont val="Malgun Gothic"/>
        <family val="0"/>
        <charset val="1"/>
      </rPr>
      <t xml:space="preserve">? </t>
    </r>
    <r>
      <rPr>
        <sz val="10"/>
        <rFont val="Noto Sans CJK SC"/>
        <family val="2"/>
      </rPr>
      <t xml:space="preserve">몇 개는 다음으로 미뤄도 괜찮을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쉬는 것도 다음 파도를 타기 위한 준비라는 걸 잊지 마세요</t>
    </r>
    <r>
      <rPr>
        <sz val="10"/>
        <rFont val="Malgun Gothic"/>
        <family val="0"/>
        <charset val="1"/>
      </rPr>
      <t xml:space="preserve">.</t>
    </r>
  </si>
  <si>
    <t xml:space="preserve">cards.7.reversed.positions.hold</t>
  </si>
  <si>
    <r>
      <rPr>
        <sz val="10"/>
        <rFont val="Noto Sans CJK SC"/>
        <family val="2"/>
      </rPr>
      <t xml:space="preserve">정방향 </t>
    </r>
    <r>
      <rPr>
        <sz val="10"/>
        <rFont val="Malgun Gothic"/>
        <family val="0"/>
        <charset val="1"/>
      </rPr>
      <t xml:space="preserve">hold('</t>
    </r>
    <r>
      <rPr>
        <sz val="10"/>
        <rFont val="Noto Sans CJK SC"/>
        <family val="2"/>
      </rPr>
      <t xml:space="preserve">여러 방향의 기대를 모두 맞추려다 힘이 흩어지고</t>
    </r>
    <r>
      <rPr>
        <sz val="10"/>
        <rFont val="Malgun Gothic"/>
        <family val="0"/>
        <charset val="1"/>
      </rPr>
      <t xml:space="preserve">')</t>
    </r>
    <r>
      <rPr>
        <sz val="10"/>
        <rFont val="Noto Sans CJK SC"/>
        <family val="2"/>
      </rPr>
      <t xml:space="preserve">와 거의 같은 문장</t>
    </r>
  </si>
  <si>
    <r>
      <rPr>
        <sz val="10"/>
        <rFont val="Noto Sans CJK SC"/>
        <family val="2"/>
      </rPr>
      <t xml:space="preserve">여러 방향을 동시에 밀어붙이다 힘이 흩어지고 있을 수 있어요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</si>
  <si>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쉬지 않고 밀어붙이는 데만 익숙해져 힘이 바닥나고 있을 수 있어요</t>
    </r>
    <r>
      <rPr>
        <sz val="10"/>
        <rFont val="Malgun Gothic"/>
        <family val="0"/>
        <charset val="1"/>
      </rPr>
      <t xml:space="preserve">.</t>
    </r>
  </si>
  <si>
    <t xml:space="preserve">cards.8.about_origin</t>
  </si>
  <si>
    <r>
      <rPr>
        <sz val="10"/>
        <rFont val="Noto Sans CJK SC"/>
        <family val="2"/>
      </rPr>
      <t xml:space="preserve">원래 타로의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힘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카드 자리로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부드러움으로 거친 것을 다스리는 내면의 힘을 뜻합니다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쏠 타로에서는 불편함을 품어 단단해지는 힘으로 읽어요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</si>
  <si>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원래 타로의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힘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카드 자리로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부드러움으로 거친 것을 다스리는 내면의 힘을 뜻해요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쏠 타로에서는 불편함을 품어 단단해지는 힘으로 읽어요</t>
    </r>
    <r>
      <rPr>
        <sz val="10"/>
        <rFont val="Malgun Gothic"/>
        <family val="0"/>
        <charset val="1"/>
      </rPr>
      <t xml:space="preserve">.</t>
    </r>
  </si>
  <si>
    <t xml:space="preserve">cards.8.deep.hold.1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</si>
  <si>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불러 줘 보세요</t>
    </r>
    <r>
      <rPr>
        <sz val="10"/>
        <rFont val="Malgun Gothic"/>
        <family val="0"/>
        <charset val="1"/>
      </rPr>
      <t xml:space="preserve">' - </t>
    </r>
    <r>
      <rPr>
        <sz val="10"/>
        <rFont val="Noto Sans CJK SC"/>
        <family val="2"/>
      </rPr>
      <t xml:space="preserve">보조용언이 겹쳐 어색함</t>
    </r>
  </si>
  <si>
    <r>
      <rPr>
        <sz val="10"/>
        <rFont val="Noto Sans CJK SC"/>
        <family val="2"/>
      </rPr>
      <t xml:space="preserve">감정이 올라올 때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없어져야 해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대신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지금 이런 마음이 있구나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하고 한 번만 불러 줘 보세요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감정은 이름이 붙으면 덜 낯설어지고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낯설지 않은 감정은 덜 무섭게 느껴져요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</si>
  <si>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감정이 올라올 때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없어져야 해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대신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지금 이런 마음이 있구나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하고 한 번 불러 보세요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감정은 이름이 붙으면 덜 낯설어지고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낯설지 않은 감정은 덜 무섭게 느껴져요</t>
    </r>
    <r>
      <rPr>
        <sz val="10"/>
        <rFont val="Malgun Gothic"/>
        <family val="0"/>
        <charset val="1"/>
      </rPr>
      <t xml:space="preserve">.</t>
    </r>
  </si>
  <si>
    <t xml:space="preserve">cards.8.deep.step.1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</si>
  <si>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하루 중 </t>
    </r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분</t>
    </r>
    <r>
      <rPr>
        <sz val="10"/>
        <rFont val="Malgun Gothic"/>
        <family val="0"/>
        <charset val="1"/>
      </rPr>
      <t xml:space="preserve">'(</t>
    </r>
    <r>
      <rPr>
        <sz val="10"/>
        <rFont val="Noto Sans CJK SC"/>
        <family val="2"/>
      </rPr>
      <t xml:space="preserve">정해 둔 시간</t>
    </r>
    <r>
      <rPr>
        <sz val="10"/>
        <rFont val="Malgun Gothic"/>
        <family val="0"/>
        <charset val="1"/>
      </rPr>
      <t xml:space="preserve">)</t>
    </r>
    <r>
      <rPr>
        <sz val="10"/>
        <rFont val="Noto Sans CJK SC"/>
        <family val="2"/>
      </rPr>
      <t xml:space="preserve">과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올라오면</t>
    </r>
    <r>
      <rPr>
        <sz val="10"/>
        <rFont val="Malgun Gothic"/>
        <family val="0"/>
        <charset val="1"/>
      </rPr>
      <t xml:space="preserve">'(</t>
    </r>
    <r>
      <rPr>
        <sz val="10"/>
        <rFont val="Noto Sans CJK SC"/>
        <family val="2"/>
      </rPr>
      <t xml:space="preserve">그때그때</t>
    </r>
    <r>
      <rPr>
        <sz val="10"/>
        <rFont val="Malgun Gothic"/>
        <family val="0"/>
        <charset val="1"/>
      </rPr>
      <t xml:space="preserve">)</t>
    </r>
    <r>
      <rPr>
        <sz val="10"/>
        <rFont val="Noto Sans CJK SC"/>
        <family val="2"/>
      </rPr>
      <t xml:space="preserve">이 서로 어긋남</t>
    </r>
  </si>
  <si>
    <r>
      <rPr>
        <sz val="10"/>
        <rFont val="Noto Sans CJK SC"/>
        <family val="2"/>
      </rPr>
      <t xml:space="preserve">하루 중 </t>
    </r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분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불편한 마음이 올라오면 숨을 천천히 쉬면서 그 감정이 몸 어디에 있는지 느껴 보세요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바꾸려 하지 않고 곁에 두는 연습이 쌓이면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같은 감정이 와도 덜 휩쓸리게 될 수 있어요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</si>
  <si>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불편한 마음이 올라올 때 </t>
    </r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분 정도 숨을 천천히 쉬면서 그 감정이 몸 어디에 있는지 느껴 보세요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바꾸려 하지 않고 곁에 두는 연습이 쌓이면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같은 감정이 와도 덜 휩쓸리게 될 수 있어요</t>
    </r>
    <r>
      <rPr>
        <sz val="10"/>
        <rFont val="Malgun Gothic"/>
        <family val="0"/>
        <charset val="1"/>
      </rPr>
      <t xml:space="preserve">.</t>
    </r>
  </si>
  <si>
    <t xml:space="preserve">cards.8.practices.1.how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</si>
  <si>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그 감정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이 가리키는 대상이 이 문장만으로는 없음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따로 보이면 어색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</si>
  <si>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그 감정이 몸 어디에서 느껴지는지 찾아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분 동안 바꾸려 하지 않고 바라봐요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</si>
  <si>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지금 느끼는 감정이 몸 어디에서 느껴지는지 찾아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분 동안 바꾸려 하지 않고 바라봐요</t>
    </r>
    <r>
      <rPr>
        <sz val="10"/>
        <rFont val="Malgun Gothic"/>
        <family val="0"/>
        <charset val="1"/>
      </rPr>
      <t xml:space="preserve">.</t>
    </r>
  </si>
  <si>
    <t xml:space="preserve">cards.9.about_origin</t>
  </si>
  <si>
    <r>
      <rPr>
        <sz val="10"/>
        <rFont val="Noto Sans CJK SC"/>
        <family val="2"/>
      </rPr>
      <t xml:space="preserve">원래 타로의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은둔자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카드 자리로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고독 속의 성찰과 내면을 비추는 등불을 뜻합니다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쏠 타로에서는 혼자만의 시간을 나를 비추는 시간으로 바꾸는 힘으로 읽어요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</si>
  <si>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원래 타로의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은둔자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카드 자리로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고독 속의 성찰과 내면을 비추는 등불을 뜻해요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쏠 타로에서는 혼자만의 시간을 나를 비추는 시간으로 바꾸는 힘으로 읽어요</t>
    </r>
    <r>
      <rPr>
        <sz val="10"/>
        <rFont val="Malgun Gothic"/>
        <family val="0"/>
        <charset val="1"/>
      </rPr>
      <t xml:space="preserve">.</t>
    </r>
  </si>
  <si>
    <t xml:space="preserve">cards.9.practices.2.why</t>
  </si>
  <si>
    <r>
      <rPr>
        <sz val="10"/>
        <rFont val="Malgun Gothic"/>
        <family val="0"/>
        <charset val="1"/>
      </rPr>
      <t xml:space="preserve">'~</t>
    </r>
    <r>
      <rPr>
        <sz val="10"/>
        <rFont val="Noto Sans CJK SC"/>
        <family val="2"/>
      </rPr>
      <t xml:space="preserve">면 </t>
    </r>
    <r>
      <rPr>
        <sz val="10"/>
        <rFont val="Malgun Gothic"/>
        <family val="0"/>
        <charset val="1"/>
      </rPr>
      <t xml:space="preserve">... </t>
    </r>
    <r>
      <rPr>
        <sz val="10"/>
        <rFont val="Noto Sans CJK SC"/>
        <family val="2"/>
      </rPr>
      <t xml:space="preserve">지켜 줘요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의 주어가 없어 문장이 맞지 않음</t>
    </r>
  </si>
  <si>
    <r>
      <rPr>
        <sz val="10"/>
        <rFont val="Noto Sans CJK SC"/>
        <family val="2"/>
      </rPr>
      <t xml:space="preserve">혼자만의 시간에도 연결 하나를 이어 두면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고독이 고립으로 바뀌지 않게 지켜 줘요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</si>
  <si>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혼자만의 시간에도 연결 하나를 이어 두면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고독이 고립으로 바뀌지 않게 지킬 수 있어요</t>
    </r>
    <r>
      <rPr>
        <sz val="10"/>
        <rFont val="Malgun Gothic"/>
        <family val="0"/>
        <charset val="1"/>
      </rPr>
      <t xml:space="preserve">.</t>
    </r>
  </si>
  <si>
    <t xml:space="preserve">cards.9.reversed.positions.step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</si>
  <si>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사람과 짧게 이어져 보세요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어색</t>
    </r>
  </si>
  <si>
    <r>
      <rPr>
        <sz val="10"/>
        <rFont val="Noto Sans CJK SC"/>
        <family val="2"/>
      </rPr>
      <t xml:space="preserve">등불을 들고 한 걸음만 밖으로 나와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편한 사람 한 명과 짧게 이어져 보세요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</si>
  <si>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등불을 들고 한 걸음만 밖으로 나와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편한 사람 한 명과 짧게라도 연결되어 보세요</t>
    </r>
    <r>
      <rPr>
        <sz val="10"/>
        <rFont val="Malgun Gothic"/>
        <family val="0"/>
        <charset val="1"/>
      </rPr>
      <t xml:space="preserve">.</t>
    </r>
  </si>
  <si>
    <t xml:space="preserve">copy.cta_chat.body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</si>
  <si>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지금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이 한 문장에 두 번</t>
    </r>
  </si>
  <si>
    <r>
      <rPr>
        <sz val="10"/>
        <rFont val="Noto Sans CJK SC"/>
        <family val="2"/>
      </rPr>
      <t xml:space="preserve">카드에서 마음에 걸린 문장이 있다면 쏘웰라에게 이어서 이야기해 보세요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쏘웰라는 전문 상담사가 설계한 웰니스 대화예요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타로를 보신 분들은 </t>
    </r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일 동안 무료로 이용할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지금 계정 그대로 쏘웰라에 접속할 수 있으니 바로 대화해 볼까요</t>
    </r>
    <r>
      <rPr>
        <sz val="10"/>
        <rFont val="Malgun Gothic"/>
        <family val="0"/>
        <charset val="1"/>
      </rPr>
      <t xml:space="preserve">?</t>
    </r>
  </si>
  <si>
    <t xml:space="preserve">copy.experience.sub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</si>
  <si>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처음이신지요</t>
    </r>
    <r>
      <rPr>
        <sz val="10"/>
        <rFont val="Malgun Gothic"/>
        <family val="0"/>
        <charset val="1"/>
      </rPr>
      <t xml:space="preserve">?'</t>
    </r>
    <r>
      <rPr>
        <sz val="10"/>
        <rFont val="Noto Sans CJK SC"/>
        <family val="2"/>
      </rPr>
      <t xml:space="preserve">가 예스럽고 딱딱함</t>
    </r>
  </si>
  <si>
    <r>
      <rPr>
        <sz val="10"/>
        <rFont val="Noto Sans CJK SC"/>
        <family val="2"/>
      </rPr>
      <t xml:space="preserve">타로카드는 처음이신가요</t>
    </r>
    <r>
      <rPr>
        <sz val="10"/>
        <rFont val="Malgun Gothic"/>
        <family val="0"/>
        <charset val="1"/>
      </rPr>
      <t xml:space="preserve">?</t>
    </r>
  </si>
  <si>
    <t xml:space="preserve">copy.pick.guide</t>
  </si>
  <si>
    <r>
      <rPr>
        <sz val="10"/>
        <rFont val="Noto Sans CJK SC"/>
        <family val="2"/>
      </rPr>
      <t xml:space="preserve">카드 단위 </t>
    </r>
    <r>
      <rPr>
        <sz val="10"/>
        <rFont val="Malgun Gothic"/>
        <family val="0"/>
        <charset val="1"/>
      </rPr>
      <t xml:space="preserve">'3</t>
    </r>
    <r>
      <rPr>
        <sz val="10"/>
        <rFont val="Noto Sans CJK SC"/>
        <family val="2"/>
      </rPr>
      <t xml:space="preserve">개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가 다른 화면</t>
    </r>
    <r>
      <rPr>
        <sz val="10"/>
        <rFont val="Malgun Gothic"/>
        <family val="0"/>
        <charset val="1"/>
      </rPr>
      <t xml:space="preserve">('</t>
    </r>
    <r>
      <rPr>
        <sz val="10"/>
        <rFont val="Noto Sans CJK SC"/>
        <family val="2"/>
      </rPr>
      <t xml:space="preserve">세 장</t>
    </r>
    <r>
      <rPr>
        <sz val="10"/>
        <rFont val="Malgun Gothic"/>
        <family val="0"/>
        <charset val="1"/>
      </rPr>
      <t xml:space="preserve">')</t>
    </r>
    <r>
      <rPr>
        <sz val="10"/>
        <rFont val="Noto Sans CJK SC"/>
        <family val="2"/>
      </rPr>
      <t xml:space="preserve">과 불일치</t>
    </r>
  </si>
  <si>
    <r>
      <rPr>
        <sz val="10"/>
        <rFont val="Noto Sans CJK SC"/>
        <family val="2"/>
      </rPr>
      <t xml:space="preserve">고민을 되새기면서 가장 마음이 가는 카드 세 장을 뽑아주세요</t>
    </r>
    <r>
      <rPr>
        <sz val="10"/>
        <rFont val="Malgun Gothic"/>
        <family val="0"/>
        <charset val="1"/>
      </rPr>
      <t xml:space="preserve">.</t>
    </r>
  </si>
  <si>
    <t xml:space="preserve">copy.safety.watch_box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</si>
  <si>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함께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가 한 문장에 두 번</t>
    </r>
  </si>
  <si>
    <r>
      <rPr>
        <sz val="10"/>
        <rFont val="Noto Sans CJK SC"/>
        <family val="2"/>
      </rPr>
      <t xml:space="preserve">요즘 마음이 많이 무거우셨던 것 같아요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카드 해석과 함께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필요할 때 언제든 기댈 수 있는 곳도 함께 적어 둘게요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</si>
  <si>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요즘 마음이 많이 무거우셨던 것 같아요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카드 해석과 함께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필요할 때 언제든 기댈 수 있는 곳도 적어 둘게요</t>
    </r>
    <r>
      <rPr>
        <sz val="10"/>
        <rFont val="Malgun Gothic"/>
        <family val="0"/>
        <charset val="1"/>
      </rPr>
      <t xml:space="preserve">.</t>
    </r>
  </si>
  <si>
    <t xml:space="preserve">copy.shuffle.guide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</si>
  <si>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구체적으로 생각하고 뽑을수록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은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많이 뽑을수록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으로 읽혀 비문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합쇼체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해요체 섞임</t>
    </r>
  </si>
  <si>
    <r>
      <rPr>
        <sz val="10"/>
        <rFont val="Noto Sans CJK SC"/>
        <family val="2"/>
      </rPr>
      <t xml:space="preserve">이제 카드를 고를 시간이에요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가장 고민되는 부분을 생각하면서 골라 주세요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고민을 구체적으로 떠올릴수록 좋아요</t>
    </r>
    <r>
      <rPr>
        <sz val="10"/>
        <rFont val="Malgun Gothic"/>
        <family val="0"/>
        <charset val="1"/>
      </rPr>
      <t xml:space="preserve">.</t>
    </r>
  </si>
  <si>
    <t xml:space="preserve">copy.worry.sub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</si>
  <si>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도움이 됩니다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와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볼 수 있어요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어체 섞임</t>
    </r>
  </si>
  <si>
    <r>
      <rPr>
        <sz val="10"/>
        <rFont val="Noto Sans CJK SC"/>
        <family val="2"/>
      </rPr>
      <t xml:space="preserve">구체적으로 쓸수록 도움이 돼요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고민을 굳이 작성하지 않으셔도 타로카드는 볼 수 있어요</t>
    </r>
    <r>
      <rPr>
        <sz val="10"/>
        <rFont val="Malgun Gothic"/>
        <family val="0"/>
        <charset val="1"/>
      </rPr>
      <t xml:space="preserve">.</t>
    </r>
  </si>
  <si>
    <t xml:space="preserve">deep_reversed_common.now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</si>
  <si>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과하게 느껴진다면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그건 그만큼 이 고민을 오래 품어 왔다는 신호</t>
    </r>
    <r>
      <rPr>
        <sz val="10"/>
        <rFont val="Malgun Gothic"/>
        <family val="0"/>
        <charset val="1"/>
      </rPr>
      <t xml:space="preserve">' - </t>
    </r>
    <r>
      <rPr>
        <sz val="10"/>
        <rFont val="Noto Sans CJK SC"/>
        <family val="2"/>
      </rPr>
      <t xml:space="preserve">막힘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과함과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오래 품어 왔다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의 연결이 비약이고 모두에게 해당하지 않는 넘겨짚기</t>
    </r>
  </si>
  <si>
    <r>
      <rPr>
        <sz val="10"/>
        <rFont val="Noto Sans CJK SC"/>
        <family val="2"/>
      </rPr>
      <t xml:space="preserve">역방향으로 나온 카드는 그 카드의 힘이 사라졌다는 뜻이 아니라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아직 안쪽에 머물러 있거나 평소와 다른 방향으로 흐르고 있다는 뜻이에요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지금의 마음이 조금 막히거나 과하게 느껴진다면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그건 그만큼 이 고민을 오래 품어 왔다는 신호일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무엇이 그 힘을 안쪽에 묶어 두고 있는지 천천히 살펴보는 것부터 시작해 보세요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</si>
  <si>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역방향으로 나온 카드는 그 카드의 힘이 사라졌다는 뜻이 아니라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아직 안쪽에 머물러 있거나 평소와 다른 방향으로 흐르고 있다는 뜻이에요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지금의 마음이 조금 막히거나 과하게 느껴진다면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그건 그만큼 이 고민이 나에게 중요하다는 신호일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무엇이 그 힘을 안쪽에 묶어 두고 있는지 천천히 살펴보는 것부터 시작해 보세요</t>
    </r>
    <r>
      <rPr>
        <sz val="10"/>
        <rFont val="Malgun Gothic"/>
        <family val="0"/>
        <charset val="1"/>
      </rPr>
      <t xml:space="preserve">.</t>
    </r>
  </si>
  <si>
    <r>
      <rPr>
        <b val="true"/>
        <sz val="10"/>
        <color rgb="FFFFFFFF"/>
        <rFont val="Malgun Gothic"/>
        <family val="0"/>
        <charset val="1"/>
      </rPr>
      <t xml:space="preserve">ID (</t>
    </r>
    <r>
      <rPr>
        <b val="true"/>
        <sz val="10"/>
        <color rgb="FFFFFFFF"/>
        <rFont val="Noto Sans CJK SC"/>
        <family val="2"/>
      </rPr>
      <t xml:space="preserve">수정 금지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</si>
  <si>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t xml:space="preserve">최종 글자 수</t>
  </si>
  <si>
    <t xml:space="preserve">분량</t>
  </si>
  <si>
    <t xml:space="preserve">cards.0.basic.keywords</t>
  </si>
  <si>
    <r>
      <rPr>
        <sz val="10"/>
        <rFont val="Malgun Gothic"/>
        <family val="0"/>
        <charset val="1"/>
      </rPr>
      <t xml:space="preserve">00 </t>
    </r>
    <r>
      <rPr>
        <sz val="10"/>
        <rFont val="Noto Sans CJK SC"/>
        <family val="2"/>
      </rPr>
      <t xml:space="preserve">첫 물장구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수달</t>
    </r>
  </si>
  <si>
    <r>
      <rPr>
        <sz val="10"/>
        <rFont val="Noto Sans CJK SC"/>
        <family val="2"/>
      </rPr>
      <t xml:space="preserve">정방향 키워드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쉼표로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</si>
  <si>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시작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호기심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가벼움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용기</t>
    </r>
  </si>
  <si>
    <t xml:space="preserve">cards.0.basic.desc</t>
  </si>
  <si>
    <r>
      <rPr>
        <sz val="10"/>
        <rFont val="Noto Sans CJK SC"/>
        <family val="2"/>
      </rPr>
      <t xml:space="preserve">정방향 기본 설명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세 문장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</si>
  <si>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첫 물장구는 새로운 시작과 호기심을 상징하는 카드입니다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완벽하게 준비되지 않아도 가볍게 첫발을 내딛는 용기를 뜻해요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새 운동을 등록하거나 미뤄 둔 공부를 펼쳐 보는 것처럼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작게라도 일단 해 보는 순간에 잘 어울리는 카드입니다</t>
    </r>
    <r>
      <rPr>
        <sz val="10"/>
        <rFont val="Malgun Gothic"/>
        <family val="0"/>
        <charset val="1"/>
      </rPr>
      <t xml:space="preserve">.</t>
    </r>
  </si>
  <si>
    <t xml:space="preserve">cards.0.basic.overview</t>
  </si>
  <si>
    <r>
      <rPr>
        <sz val="10"/>
        <rFont val="Noto Sans CJK SC"/>
        <family val="2"/>
      </rPr>
      <t xml:space="preserve">정방향 </t>
    </r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쪽 개요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두 문장</t>
    </r>
    <r>
      <rPr>
        <sz val="10"/>
        <rFont val="Malgun Gothic"/>
        <family val="0"/>
        <charset val="1"/>
      </rPr>
      <t xml:space="preserve">, v2.14)</t>
    </r>
  </si>
  <si>
    <r>
      <rPr>
        <sz val="10"/>
        <rFont val="Noto Sans CJK SC"/>
        <family val="2"/>
      </rPr>
      <t xml:space="preserve">수달이 처음 물에 뛰어들듯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새로운 일을 가볍게 시작하는 마음을 보여 주는 카드예요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준비가 덜 된 채로 내딛는 작은 시도가 새 흐름의 출발점이 된다고 말합니다</t>
    </r>
    <r>
      <rPr>
        <sz val="10"/>
        <rFont val="Malgun Gothic"/>
        <family val="0"/>
        <charset val="1"/>
      </rPr>
      <t xml:space="preserve">.</t>
    </r>
  </si>
  <si>
    <t xml:space="preserve">cards.0.reversed.basic.keywords</t>
  </si>
  <si>
    <r>
      <rPr>
        <sz val="10"/>
        <rFont val="Noto Sans CJK SC"/>
        <family val="2"/>
      </rPr>
      <t xml:space="preserve">역방향 키워드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쉼표로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</si>
  <si>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망설임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완벽주의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준비 미루기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두려움</t>
    </r>
  </si>
  <si>
    <t xml:space="preserve">cards.0.reversed.basic.desc</t>
  </si>
  <si>
    <r>
      <rPr>
        <sz val="10"/>
        <rFont val="Noto Sans CJK SC"/>
        <family val="2"/>
      </rPr>
      <t xml:space="preserve">역방향 기본 설명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세 문장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</si>
  <si>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역방향의 첫 물장구는 시작하고 싶은 마음이 아직 물가에서 머뭇거리는 상태를 뜻합니다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잘해야 한다는 부담이 첫걸음을 무겁게 만들고 있을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하고 싶은 일의 정보만 계속 찾아보면서 정작 시작은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다음 주부터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로 미루고 있을 때 자주 나옵니다</t>
    </r>
    <r>
      <rPr>
        <sz val="10"/>
        <rFont val="Malgun Gothic"/>
        <family val="0"/>
        <charset val="1"/>
      </rPr>
      <t xml:space="preserve">.</t>
    </r>
  </si>
  <si>
    <t xml:space="preserve">cards.0.reversed.basic.overview</t>
  </si>
  <si>
    <r>
      <rPr>
        <sz val="10"/>
        <rFont val="Noto Sans CJK SC"/>
        <family val="2"/>
      </rPr>
      <t xml:space="preserve">역방향 </t>
    </r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쪽 개요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두 문장</t>
    </r>
    <r>
      <rPr>
        <sz val="10"/>
        <rFont val="Malgun Gothic"/>
        <family val="0"/>
        <charset val="1"/>
      </rPr>
      <t xml:space="preserve">, v2.14)</t>
    </r>
  </si>
  <si>
    <r>
      <rPr>
        <sz val="10"/>
        <rFont val="Noto Sans CJK SC"/>
        <family val="2"/>
      </rPr>
      <t xml:space="preserve">해 보고 싶은 마음은 있는데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잘해야 한다는 부담에 첫발이 자꾸 늦어지는 때예요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지금은 멋진 출발보다 발끝만 살짝 담가 보는 정도로도 충분합니다</t>
    </r>
    <r>
      <rPr>
        <sz val="10"/>
        <rFont val="Malgun Gothic"/>
        <family val="0"/>
        <charset val="1"/>
      </rPr>
      <t xml:space="preserve">.</t>
    </r>
  </si>
  <si>
    <t xml:space="preserve">cards.1.basic.keywords</t>
  </si>
  <si>
    <r>
      <rPr>
        <sz val="10"/>
        <rFont val="Malgun Gothic"/>
        <family val="0"/>
        <charset val="1"/>
      </rPr>
      <t xml:space="preserve">01 </t>
    </r>
    <r>
      <rPr>
        <sz val="10"/>
        <rFont val="Noto Sans CJK SC"/>
        <family val="2"/>
      </rPr>
      <t xml:space="preserve">여덟 갈래의 손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문어</t>
    </r>
  </si>
  <si>
    <r>
      <rPr>
        <sz val="10"/>
        <rFont val="Noto Sans CJK SC"/>
        <family val="2"/>
      </rPr>
      <t xml:space="preserve">자원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실행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주도성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가능성</t>
    </r>
  </si>
  <si>
    <t xml:space="preserve">cards.1.basic.desc</t>
  </si>
  <si>
    <r>
      <rPr>
        <sz val="10"/>
        <rFont val="Noto Sans CJK SC"/>
        <family val="2"/>
      </rPr>
      <t xml:space="preserve">여덟 갈래의 손은 이미 가진 자원과 그 자원을 꺼내 쓰는 실행력을 상징하는 카드예요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필요한 도구가 생각보다 가까이에 있다는 뜻입니다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할 일이 많을수록 새 도구를 찾기보다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이미 가진 경험과 주변의 도움을 꺼내 쓰면 길이 보인다고 말해 줘요</t>
    </r>
    <r>
      <rPr>
        <sz val="10"/>
        <rFont val="Malgun Gothic"/>
        <family val="0"/>
        <charset val="1"/>
      </rPr>
      <t xml:space="preserve">.</t>
    </r>
  </si>
  <si>
    <t xml:space="preserve">cards.1.basic.overview</t>
  </si>
  <si>
    <r>
      <rPr>
        <sz val="10"/>
        <rFont val="Noto Sans CJK SC"/>
        <family val="2"/>
      </rPr>
      <t xml:space="preserve">필요한 힘과 도구가 이미 내 곁에 꽤 많다는 걸 알려 주는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문어의 여덟 팔 같은 카드입니다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새것을 더 구하기보다 이미 가진 것을 알아보는 데서 힘이 생긴다고 말해요</t>
    </r>
    <r>
      <rPr>
        <sz val="10"/>
        <rFont val="Malgun Gothic"/>
        <family val="0"/>
        <charset val="1"/>
      </rPr>
      <t xml:space="preserve">.</t>
    </r>
  </si>
  <si>
    <t xml:space="preserve">cards.1.reversed.basic.keywords</t>
  </si>
  <si>
    <r>
      <rPr>
        <sz val="10"/>
        <rFont val="Noto Sans CJK SC"/>
        <family val="2"/>
      </rPr>
      <t xml:space="preserve">분산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과부하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자원 놓침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조급함</t>
    </r>
  </si>
  <si>
    <t xml:space="preserve">cards.1.reversed.basic.desc</t>
  </si>
  <si>
    <r>
      <rPr>
        <sz val="10"/>
        <rFont val="Noto Sans CJK SC"/>
        <family val="2"/>
      </rPr>
      <t xml:space="preserve">역방향의 여덟 갈래의 손은 가진 힘이 여러 곳으로 흩어져 제자리를 찾지 못하는 상태를 뜻합니다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다 해내려는 마음이 에너지를 조각내고 있을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이것저것 동시에 붙잡느라 하루가 끝나도 무엇 하나 끝낸 느낌이 없을 때 떠올려 보면 좋습니다</t>
    </r>
    <r>
      <rPr>
        <sz val="10"/>
        <rFont val="Malgun Gothic"/>
        <family val="0"/>
        <charset val="1"/>
      </rPr>
      <t xml:space="preserve">.</t>
    </r>
  </si>
  <si>
    <t xml:space="preserve">cards.1.reversed.basic.overview</t>
  </si>
  <si>
    <r>
      <rPr>
        <sz val="10"/>
        <rFont val="Noto Sans CJK SC"/>
        <family val="2"/>
      </rPr>
      <t xml:space="preserve">할 일을 한꺼번에 붙잡느라 가진 힘이 여기저기 나뉘어 있는 모습이에요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여덟 가지 중 하나만 골라 끝까지 해 보는 것만으로도 마음이 가벼워질 수 있습니다</t>
    </r>
    <r>
      <rPr>
        <sz val="10"/>
        <rFont val="Malgun Gothic"/>
        <family val="0"/>
        <charset val="1"/>
      </rPr>
      <t xml:space="preserve">.</t>
    </r>
  </si>
  <si>
    <t xml:space="preserve">cards.2.basic.keywords</t>
  </si>
  <si>
    <r>
      <rPr>
        <sz val="10"/>
        <rFont val="Malgun Gothic"/>
        <family val="0"/>
        <charset val="1"/>
      </rPr>
      <t xml:space="preserve">02 </t>
    </r>
    <r>
      <rPr>
        <sz val="10"/>
        <rFont val="Noto Sans CJK SC"/>
        <family val="2"/>
      </rPr>
      <t xml:space="preserve">고요히 바라보기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왜가리</t>
    </r>
  </si>
  <si>
    <r>
      <rPr>
        <sz val="10"/>
        <rFont val="Noto Sans CJK SC"/>
        <family val="2"/>
      </rPr>
      <t xml:space="preserve">직관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고요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관찰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내면의 목소리</t>
    </r>
  </si>
  <si>
    <t xml:space="preserve">cards.2.basic.desc</t>
  </si>
  <si>
    <r>
      <rPr>
        <sz val="10"/>
        <rFont val="Noto Sans CJK SC"/>
        <family val="2"/>
      </rPr>
      <t xml:space="preserve">고요히 바라보기는 직관과 조용한 관찰을 상징하는 카드예요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서두르지 않고 지켜볼 때 내 안의 답이 들린다는 뜻입니다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결정을 서두르기보다 하루쯤 묵혀 두고 마음이 어느 쪽으로 기우는지 지켜보라는 신호이기도 해요</t>
    </r>
    <r>
      <rPr>
        <sz val="10"/>
        <rFont val="Malgun Gothic"/>
        <family val="0"/>
        <charset val="1"/>
      </rPr>
      <t xml:space="preserve">.</t>
    </r>
  </si>
  <si>
    <t xml:space="preserve">cards.2.basic.overview</t>
  </si>
  <si>
    <r>
      <rPr>
        <sz val="10"/>
        <rFont val="Noto Sans CJK SC"/>
        <family val="2"/>
      </rPr>
      <t xml:space="preserve">조용히 지켜볼 때 들리는 내 안의 답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곧 직관을 뜻하는 카드입니다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답을 서둘러 정하기보다 한 발 물러설 때 내 마음이 향하는 곳이 보인다고 말해요</t>
    </r>
    <r>
      <rPr>
        <sz val="10"/>
        <rFont val="Malgun Gothic"/>
        <family val="0"/>
        <charset val="1"/>
      </rPr>
      <t xml:space="preserve">.</t>
    </r>
  </si>
  <si>
    <t xml:space="preserve">cards.2.reversed.basic.keywords</t>
  </si>
  <si>
    <r>
      <rPr>
        <sz val="10"/>
        <rFont val="Noto Sans CJK SC"/>
        <family val="2"/>
      </rPr>
      <t xml:space="preserve">생각 과잉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외면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정보 과부하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흐려진 직감</t>
    </r>
  </si>
  <si>
    <t xml:space="preserve">cards.2.reversed.basic.desc</t>
  </si>
  <si>
    <r>
      <rPr>
        <sz val="10"/>
        <rFont val="Noto Sans CJK SC"/>
        <family val="2"/>
      </rPr>
      <t xml:space="preserve">역방향의 고요히 바라보기는 내 안의 목소리가 바깥의 소음에 묻혀 있는 상태를 뜻해요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생각과 정보가 많아 직감이 잘 들리지 않을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선택을 앞두고 후기와 조언을 끝없이 찾아보다가 오히려 더 헷갈리는 모습이 여기에 가까워요</t>
    </r>
    <r>
      <rPr>
        <sz val="10"/>
        <rFont val="Malgun Gothic"/>
        <family val="0"/>
        <charset val="1"/>
      </rPr>
      <t xml:space="preserve">.</t>
    </r>
  </si>
  <si>
    <t xml:space="preserve">cards.2.reversed.basic.overview</t>
  </si>
  <si>
    <r>
      <rPr>
        <sz val="10"/>
        <rFont val="Noto Sans CJK SC"/>
        <family val="2"/>
      </rPr>
      <t xml:space="preserve">바깥의 말과 정보가 너무 많아 내 목소리가 잘 들리지 않는 상태입니다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답이 바깥에 있다고 느낄수록 처음 느낀 마음이 흐려지기 쉬운 때를 비춰요</t>
    </r>
    <r>
      <rPr>
        <sz val="10"/>
        <rFont val="Malgun Gothic"/>
        <family val="0"/>
        <charset val="1"/>
      </rPr>
      <t xml:space="preserve">.</t>
    </r>
  </si>
  <si>
    <t xml:space="preserve">cards.3.basic.keywords</t>
  </si>
  <si>
    <r>
      <rPr>
        <sz val="10"/>
        <rFont val="Malgun Gothic"/>
        <family val="0"/>
        <charset val="1"/>
      </rPr>
      <t xml:space="preserve">03 </t>
    </r>
    <r>
      <rPr>
        <sz val="10"/>
        <rFont val="Noto Sans CJK SC"/>
        <family val="2"/>
      </rPr>
      <t xml:space="preserve">품어 주는 품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해달</t>
    </r>
  </si>
  <si>
    <r>
      <rPr>
        <sz val="10"/>
        <rFont val="Noto Sans CJK SC"/>
        <family val="2"/>
      </rPr>
      <t xml:space="preserve">포용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받아들이기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돌봄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채움</t>
    </r>
  </si>
  <si>
    <t xml:space="preserve">cards.3.basic.desc</t>
  </si>
  <si>
    <r>
      <rPr>
        <sz val="10"/>
        <rFont val="Noto Sans CJK SC"/>
        <family val="2"/>
      </rPr>
      <t xml:space="preserve">품어 주는 품은 포용과 돌봄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있는 그대로 받아들이는 마음을 상징하는 카드입니다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남을 품듯 나 자신도 따뜻하게 품어 줄 수 있다는 뜻이에요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남에게 건네던 다정함을 나에게도 건네며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쉬고 먹고 자는 기본부터 채워 보라는 메시지입니다</t>
    </r>
    <r>
      <rPr>
        <sz val="10"/>
        <rFont val="Malgun Gothic"/>
        <family val="0"/>
        <charset val="1"/>
      </rPr>
      <t xml:space="preserve">.</t>
    </r>
  </si>
  <si>
    <t xml:space="preserve">cards.3.basic.overview</t>
  </si>
  <si>
    <r>
      <rPr>
        <sz val="10"/>
        <rFont val="Noto Sans CJK SC"/>
        <family val="2"/>
      </rPr>
      <t xml:space="preserve">해달이 새끼를 배 위에 올려 품듯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있는 그대로 받아 주는 돌봄을 뜻하는 카드예요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남을 챙기는 손길이 나에게도 향할 때 힘이 다시 차오른다고 말합니다</t>
    </r>
    <r>
      <rPr>
        <sz val="10"/>
        <rFont val="Malgun Gothic"/>
        <family val="0"/>
        <charset val="1"/>
      </rPr>
      <t xml:space="preserve">.</t>
    </r>
  </si>
  <si>
    <t xml:space="preserve">cards.3.reversed.basic.keywords</t>
  </si>
  <si>
    <r>
      <rPr>
        <sz val="10"/>
        <rFont val="Noto Sans CJK SC"/>
        <family val="2"/>
      </rPr>
      <t xml:space="preserve">소진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받기 어려움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자기희생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빈 그릇</t>
    </r>
  </si>
  <si>
    <t xml:space="preserve">cards.3.reversed.basic.desc</t>
  </si>
  <si>
    <r>
      <rPr>
        <sz val="10"/>
        <rFont val="Noto Sans CJK SC"/>
        <family val="2"/>
      </rPr>
      <t xml:space="preserve">역방향의 품어 주는 품은 남을 돌보느라 정작 내가 비어 가는 상태를 뜻해요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받는 일이 어색해서 도움받을 기회를 놓치고 있을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누가 챙겨 주면 고맙기보다 미안한 마음이 먼저 들거나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내 끼니와 잠을 계속 뒤로 미루는 모습이 여기에 가까워요</t>
    </r>
    <r>
      <rPr>
        <sz val="10"/>
        <rFont val="Malgun Gothic"/>
        <family val="0"/>
        <charset val="1"/>
      </rPr>
      <t xml:space="preserve">.</t>
    </r>
  </si>
  <si>
    <t xml:space="preserve">cards.3.reversed.basic.overview</t>
  </si>
  <si>
    <r>
      <rPr>
        <sz val="10"/>
        <rFont val="Noto Sans CJK SC"/>
        <family val="2"/>
      </rPr>
      <t xml:space="preserve">남을 챙기는 데 마음을 다 쓰고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정작 나는 비어 가는 모습입니다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남이 건네는 호의를 받기 어색하게 느끼는 마음이 채워질 틈을 줄이는 때를 비춰요</t>
    </r>
    <r>
      <rPr>
        <sz val="10"/>
        <rFont val="Malgun Gothic"/>
        <family val="0"/>
        <charset val="1"/>
      </rPr>
      <t xml:space="preserve">.</t>
    </r>
  </si>
  <si>
    <t xml:space="preserve">cards.4.basic.keywords</t>
  </si>
  <si>
    <r>
      <rPr>
        <sz val="10"/>
        <rFont val="Malgun Gothic"/>
        <family val="0"/>
        <charset val="1"/>
      </rPr>
      <t xml:space="preserve">04 </t>
    </r>
    <r>
      <rPr>
        <sz val="10"/>
        <rFont val="Noto Sans CJK SC"/>
        <family val="2"/>
      </rPr>
      <t xml:space="preserve">지키는 자리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펭귄</t>
    </r>
  </si>
  <si>
    <r>
      <rPr>
        <sz val="10"/>
        <rFont val="Noto Sans CJK SC"/>
        <family val="2"/>
      </rPr>
      <t xml:space="preserve">책임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질서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든든함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보호</t>
    </r>
  </si>
  <si>
    <t xml:space="preserve">cards.4.basic.desc</t>
  </si>
  <si>
    <r>
      <rPr>
        <sz val="10"/>
        <rFont val="Noto Sans CJK SC"/>
        <family val="2"/>
      </rPr>
      <t xml:space="preserve">지키는 자리는 책임과 질서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무언가를 든든히 지키는 힘을 상징하는 카드예요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흔들릴 때 작은 규칙과 구조가 나를 받쳐 준다는 뜻입니다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정해진 시간에 일어나기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하루를 마무리하는 습관처럼 작은 질서부터 챙겨 보라는 메시지예요</t>
    </r>
    <r>
      <rPr>
        <sz val="10"/>
        <rFont val="Malgun Gothic"/>
        <family val="0"/>
        <charset val="1"/>
      </rPr>
      <t xml:space="preserve">.</t>
    </r>
  </si>
  <si>
    <t xml:space="preserve">cards.4.basic.overview</t>
  </si>
  <si>
    <r>
      <rPr>
        <sz val="10"/>
        <rFont val="Noto Sans CJK SC"/>
        <family val="2"/>
      </rPr>
      <t xml:space="preserve">지키는 자리는 책임과 질서로 나를 든든하게 받쳐 주는 힘을 뜻합니다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마음이 흔들릴 때일수록 매일 지키는 작은 습관 하나가 버팀목이 되어 줘요</t>
    </r>
    <r>
      <rPr>
        <sz val="10"/>
        <rFont val="Malgun Gothic"/>
        <family val="0"/>
        <charset val="1"/>
      </rPr>
      <t xml:space="preserve">.</t>
    </r>
  </si>
  <si>
    <t xml:space="preserve">cards.4.reversed.basic.keywords</t>
  </si>
  <si>
    <r>
      <rPr>
        <sz val="10"/>
        <rFont val="Noto Sans CJK SC"/>
        <family val="2"/>
      </rPr>
      <t xml:space="preserve">통제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경직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긴장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혼자 짊어짐</t>
    </r>
  </si>
  <si>
    <t xml:space="preserve">cards.4.reversed.basic.desc</t>
  </si>
  <si>
    <r>
      <rPr>
        <sz val="10"/>
        <rFont val="Noto Sans CJK SC"/>
        <family val="2"/>
      </rPr>
      <t xml:space="preserve">역방향의 지키는 자리는 지키려는 힘이 너무 단단해져 나를 가두는 상태를 뜻해요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모든 걸 통제하려다 쉽게 지칠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계획이 조금만 어긋나도 하루 전체가 망가진 것처럼 느껴지거나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맡긴 일도 결국 다시 손보게 될 때 자주 나와요</t>
    </r>
    <r>
      <rPr>
        <sz val="10"/>
        <rFont val="Malgun Gothic"/>
        <family val="0"/>
        <charset val="1"/>
      </rPr>
      <t xml:space="preserve">.</t>
    </r>
  </si>
  <si>
    <t xml:space="preserve">cards.4.reversed.basic.overview</t>
  </si>
  <si>
    <r>
      <rPr>
        <sz val="10"/>
        <rFont val="Noto Sans CJK SC"/>
        <family val="2"/>
      </rPr>
      <t xml:space="preserve">지키려는 마음이 너무 커져서 모든 걸 내 손으로 통제하려는 때입니다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계획이 조금만 어긋나도 마음이 크게 흔들리기 쉬운 때를 비춰요</t>
    </r>
    <r>
      <rPr>
        <sz val="10"/>
        <rFont val="Malgun Gothic"/>
        <family val="0"/>
        <charset val="1"/>
      </rPr>
      <t xml:space="preserve">.</t>
    </r>
  </si>
  <si>
    <t xml:space="preserve">cards.5.basic.keywords</t>
  </si>
  <si>
    <r>
      <rPr>
        <sz val="10"/>
        <rFont val="Malgun Gothic"/>
        <family val="0"/>
        <charset val="1"/>
      </rPr>
      <t xml:space="preserve">05 </t>
    </r>
    <r>
      <rPr>
        <sz val="10"/>
        <rFont val="Noto Sans CJK SC"/>
        <family val="2"/>
      </rPr>
      <t xml:space="preserve">오래된 지혜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거북</t>
    </r>
  </si>
  <si>
    <r>
      <rPr>
        <sz val="10"/>
        <rFont val="Noto Sans CJK SC"/>
        <family val="2"/>
      </rPr>
      <t xml:space="preserve">배움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지혜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조언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기댈 곳</t>
    </r>
  </si>
  <si>
    <t xml:space="preserve">cards.5.basic.desc</t>
  </si>
  <si>
    <r>
      <rPr>
        <sz val="10"/>
        <rFont val="Noto Sans CJK SC"/>
        <family val="2"/>
      </rPr>
      <t xml:space="preserve">오래된 지혜는 배움과 믿을 만한 조언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기댈 수 있는 곳을 상징하는 카드입니다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혼자 답을 찾지 않아도 먼저 걸어간 이들의 지혜가 있다는 뜻이에요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같은 고민을 먼저 지나간 사람의 글이나 오래 검증된 방법에서 실마리를 찾아보라는 메시지입니다</t>
    </r>
    <r>
      <rPr>
        <sz val="10"/>
        <rFont val="Malgun Gothic"/>
        <family val="0"/>
        <charset val="1"/>
      </rPr>
      <t xml:space="preserve">.</t>
    </r>
  </si>
  <si>
    <t xml:space="preserve">cards.5.basic.overview</t>
  </si>
  <si>
    <r>
      <rPr>
        <sz val="10"/>
        <rFont val="Noto Sans CJK SC"/>
        <family val="2"/>
      </rPr>
      <t xml:space="preserve">거북처럼 오랜 시간 쌓인 지혜와 기댈 수 있는 배움을 뜻하는 카드예요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먼저 그 길을 지나간 사람들의 경험이 내 고민에도 길잡이가 된다는 뜻을 담고 있습니다</t>
    </r>
    <r>
      <rPr>
        <sz val="10"/>
        <rFont val="Malgun Gothic"/>
        <family val="0"/>
        <charset val="1"/>
      </rPr>
      <t xml:space="preserve">.</t>
    </r>
  </si>
  <si>
    <t xml:space="preserve">cards.5.reversed.basic.keywords</t>
  </si>
  <si>
    <r>
      <rPr>
        <sz val="10"/>
        <rFont val="Noto Sans CJK SC"/>
        <family val="2"/>
      </rPr>
      <t xml:space="preserve">고립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묻지 못함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맞지 않는 틀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혼자 해결</t>
    </r>
  </si>
  <si>
    <t xml:space="preserve">cards.5.reversed.basic.desc</t>
  </si>
  <si>
    <r>
      <rPr>
        <sz val="10"/>
        <rFont val="Noto Sans CJK SC"/>
        <family val="2"/>
      </rPr>
      <t xml:space="preserve">역방향의 오래된 지혜는 도움을 구하는 문을 아직 두드리지 못한 상태를 뜻해요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남들의 방식에 나를 맞추느라 내게 맞는 답을 놓치고 있을 수 있습니다</t>
    </r>
    <r>
      <rPr>
        <sz val="10"/>
        <rFont val="Malgun Gothic"/>
        <family val="0"/>
        <charset val="1"/>
      </rPr>
      <t xml:space="preserve">. '</t>
    </r>
    <r>
      <rPr>
        <sz val="10"/>
        <rFont val="Noto Sans CJK SC"/>
        <family val="2"/>
      </rPr>
      <t xml:space="preserve">이 정도는 혼자 해야지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하며 묻기를 미루다 같은 자리를 오래 맴돌고 있을 때 떠올려 보면 좋아요</t>
    </r>
    <r>
      <rPr>
        <sz val="10"/>
        <rFont val="Malgun Gothic"/>
        <family val="0"/>
        <charset val="1"/>
      </rPr>
      <t xml:space="preserve">.</t>
    </r>
  </si>
  <si>
    <t xml:space="preserve">cards.5.reversed.basic.overview</t>
  </si>
  <si>
    <r>
      <rPr>
        <sz val="10"/>
        <rFont val="Noto Sans CJK SC"/>
        <family val="2"/>
      </rPr>
      <t xml:space="preserve">혼자 해내야 한다는 생각에 묻는 일을 자꾸 미뤄 온 모습입니다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남들 방식에 맞추려는 마음이 나에게 맞는 방법을 가리는 때를 비춰요</t>
    </r>
    <r>
      <rPr>
        <sz val="10"/>
        <rFont val="Malgun Gothic"/>
        <family val="0"/>
        <charset val="1"/>
      </rPr>
      <t xml:space="preserve">.</t>
    </r>
  </si>
  <si>
    <t xml:space="preserve">cards.6.basic.keywords</t>
  </si>
  <si>
    <r>
      <rPr>
        <sz val="10"/>
        <rFont val="Malgun Gothic"/>
        <family val="0"/>
        <charset val="1"/>
      </rPr>
      <t xml:space="preserve">06 </t>
    </r>
    <r>
      <rPr>
        <sz val="10"/>
        <rFont val="Noto Sans CJK SC"/>
        <family val="2"/>
      </rPr>
      <t xml:space="preserve">나란히 헤엄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원앙</t>
    </r>
  </si>
  <si>
    <r>
      <rPr>
        <sz val="10"/>
        <rFont val="Noto Sans CJK SC"/>
        <family val="2"/>
      </rPr>
      <t xml:space="preserve">연결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선택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가치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조화</t>
    </r>
  </si>
  <si>
    <t xml:space="preserve">cards.6.basic.desc</t>
  </si>
  <si>
    <r>
      <rPr>
        <sz val="10"/>
        <rFont val="Noto Sans CJK SC"/>
        <family val="2"/>
      </rPr>
      <t xml:space="preserve">나란히 헤엄은 마음이 통하는 관계와 나다운 선택을 상징하는 카드입니다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내가 소중히 여기는 가치에서 좋은 관계와 결정이 시작된다는 뜻이에요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누구와 함께할지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무엇을 고를지 고민될 때 내가 정말 중요하게 여기는 것을 먼저 떠올려 보라고 말해 줍니다</t>
    </r>
    <r>
      <rPr>
        <sz val="10"/>
        <rFont val="Malgun Gothic"/>
        <family val="0"/>
        <charset val="1"/>
      </rPr>
      <t xml:space="preserve">.</t>
    </r>
  </si>
  <si>
    <t xml:space="preserve">cards.6.basic.overview</t>
  </si>
  <si>
    <r>
      <rPr>
        <sz val="10"/>
        <rFont val="Noto Sans CJK SC"/>
        <family val="2"/>
      </rPr>
      <t xml:space="preserve">원앙 한 쌍이 나란히 헤엄치는 모습처럼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마음이 통하는 관계와 나다운 선택을 뜻해요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남의 기대보다 내가 소중히 여기는 것에 맞는 선택일 때 마음이 편안해진다고 말합니다</t>
    </r>
    <r>
      <rPr>
        <sz val="10"/>
        <rFont val="Malgun Gothic"/>
        <family val="0"/>
        <charset val="1"/>
      </rPr>
      <t xml:space="preserve">.</t>
    </r>
  </si>
  <si>
    <t xml:space="preserve">cards.6.reversed.basic.keywords</t>
  </si>
  <si>
    <r>
      <rPr>
        <sz val="10"/>
        <rFont val="Noto Sans CJK SC"/>
        <family val="2"/>
      </rPr>
      <t xml:space="preserve">엇갈림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머뭇거림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확인 욕구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미뤄 둔 진심</t>
    </r>
  </si>
  <si>
    <t xml:space="preserve">cards.6.reversed.basic.desc</t>
  </si>
  <si>
    <r>
      <rPr>
        <sz val="10"/>
        <rFont val="Noto Sans CJK SC"/>
        <family val="2"/>
      </rPr>
      <t xml:space="preserve">역방향의 나란히 헤엄은 가까워지고 싶은 마음과 상처받기 싫은 마음이 엇갈린 상태를 뜻합니다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상대의 반응을 먼저 확인하느라 내 진심이 뒤로 밀려 있을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상대의 답장이나 표정부터 살피느라 정작 내가 원하는 것은 말하지 못하고 있을 때 자주 나옵니다</t>
    </r>
    <r>
      <rPr>
        <sz val="10"/>
        <rFont val="Malgun Gothic"/>
        <family val="0"/>
        <charset val="1"/>
      </rPr>
      <t xml:space="preserve">.</t>
    </r>
  </si>
  <si>
    <t xml:space="preserve">cards.6.reversed.basic.overview</t>
  </si>
  <si>
    <r>
      <rPr>
        <sz val="10"/>
        <rFont val="Noto Sans CJK SC"/>
        <family val="2"/>
      </rPr>
      <t xml:space="preserve">가까워지고 싶은 마음과 상처받기 싫은 마음 사이에서 머뭇거리는 상태예요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상대의 반응을 먼저 살피느라 내가 원하는 것이 뒤로 밀리기 쉬운 때를 비춥니다</t>
    </r>
    <r>
      <rPr>
        <sz val="10"/>
        <rFont val="Malgun Gothic"/>
        <family val="0"/>
        <charset val="1"/>
      </rPr>
      <t xml:space="preserve">.</t>
    </r>
  </si>
  <si>
    <t xml:space="preserve">cards.7.basic.keywords</t>
  </si>
  <si>
    <r>
      <rPr>
        <sz val="10"/>
        <rFont val="Malgun Gothic"/>
        <family val="0"/>
        <charset val="1"/>
      </rPr>
      <t xml:space="preserve">07 </t>
    </r>
    <r>
      <rPr>
        <sz val="10"/>
        <rFont val="Noto Sans CJK SC"/>
        <family val="2"/>
      </rPr>
      <t xml:space="preserve">파도를 타는 힘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돌고래</t>
    </r>
  </si>
  <si>
    <r>
      <rPr>
        <sz val="10"/>
        <rFont val="Noto Sans CJK SC"/>
        <family val="2"/>
      </rPr>
      <t xml:space="preserve">추진력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방향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흐름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전진</t>
    </r>
  </si>
  <si>
    <t xml:space="preserve">cards.7.basic.desc</t>
  </si>
  <si>
    <r>
      <rPr>
        <sz val="10"/>
        <rFont val="Noto Sans CJK SC"/>
        <family val="2"/>
      </rPr>
      <t xml:space="preserve">파도를 타는 힘은 앞으로 나아가는 추진력과 흐름을 타는 지혜를 상징하는 카드예요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힘껏 거스르기보다 흐름을 빌려 한 방향으로 나아간다는 뜻입니다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이미 잘 풀리고 있는 쪽에 힘을 실으면 같은 노력으로도 더 멀리 갈 수 있다는 뜻이기도 해요</t>
    </r>
    <r>
      <rPr>
        <sz val="10"/>
        <rFont val="Malgun Gothic"/>
        <family val="0"/>
        <charset val="1"/>
      </rPr>
      <t xml:space="preserve">.</t>
    </r>
  </si>
  <si>
    <t xml:space="preserve">cards.7.basic.overview</t>
  </si>
  <si>
    <r>
      <rPr>
        <sz val="10"/>
        <rFont val="Noto Sans CJK SC"/>
        <family val="2"/>
      </rPr>
      <t xml:space="preserve">파도를 거스르지 않고 그 흐름을 타며 앞으로 나아가는 힘을 보여 주는 카드입니다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억지로 밀어붙이는 힘보다 이미 순조롭게 굴러가는 흐름을 타는 힘을 비춰요</t>
    </r>
    <r>
      <rPr>
        <sz val="10"/>
        <rFont val="Malgun Gothic"/>
        <family val="0"/>
        <charset val="1"/>
      </rPr>
      <t xml:space="preserve">.</t>
    </r>
  </si>
  <si>
    <t xml:space="preserve">cards.7.reversed.basic.keywords</t>
  </si>
  <si>
    <r>
      <rPr>
        <sz val="10"/>
        <rFont val="Noto Sans CJK SC"/>
        <family val="2"/>
      </rPr>
      <t xml:space="preserve">방향 상실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조급함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소진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제자리걸음</t>
    </r>
  </si>
  <si>
    <t xml:space="preserve">cards.7.reversed.basic.desc</t>
  </si>
  <si>
    <r>
      <rPr>
        <sz val="10"/>
        <rFont val="Noto Sans CJK SC"/>
        <family val="2"/>
      </rPr>
      <t xml:space="preserve">역방향의 파도를 타는 힘은 나아가려는 힘이 방향을 잃고 맴도는 상태를 뜻합니다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애는 쓰는데 앞으로 가지 않는 느낌에 조급해질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열심히는 하는데 이것저것 손대느라 어디로 가고 있는지 흐려진 모습이 여기에 가깝습니다</t>
    </r>
    <r>
      <rPr>
        <sz val="10"/>
        <rFont val="Malgun Gothic"/>
        <family val="0"/>
        <charset val="1"/>
      </rPr>
      <t xml:space="preserve">.</t>
    </r>
  </si>
  <si>
    <t xml:space="preserve">cards.7.reversed.basic.overview</t>
  </si>
  <si>
    <r>
      <rPr>
        <sz val="10"/>
        <rFont val="Noto Sans CJK SC"/>
        <family val="2"/>
      </rPr>
      <t xml:space="preserve">열심히 애쓰는데도 방향이 흐려져 같은 자리를 맴도는 모습이에요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속도보다 방향이 먼저 흐려져 있어서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애쓴 만큼 앞으로 나아가는 느낌이 적은 때입니다</t>
    </r>
    <r>
      <rPr>
        <sz val="10"/>
        <rFont val="Malgun Gothic"/>
        <family val="0"/>
        <charset val="1"/>
      </rPr>
      <t xml:space="preserve">.</t>
    </r>
  </si>
  <si>
    <t xml:space="preserve">cards.8.basic.keywords</t>
  </si>
  <si>
    <r>
      <rPr>
        <sz val="10"/>
        <rFont val="Malgun Gothic"/>
        <family val="0"/>
        <charset val="1"/>
      </rPr>
      <t xml:space="preserve">08 </t>
    </r>
    <r>
      <rPr>
        <sz val="10"/>
        <rFont val="Noto Sans CJK SC"/>
        <family val="2"/>
      </rPr>
      <t xml:space="preserve">진주를 품는 힘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조개</t>
    </r>
  </si>
  <si>
    <r>
      <rPr>
        <sz val="10"/>
        <rFont val="Noto Sans CJK SC"/>
        <family val="2"/>
      </rPr>
      <t xml:space="preserve">인내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수용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내면의 힘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부드러운 강함</t>
    </r>
  </si>
  <si>
    <t xml:space="preserve">cards.8.basic.desc</t>
  </si>
  <si>
    <r>
      <rPr>
        <sz val="10"/>
        <rFont val="Noto Sans CJK SC"/>
        <family val="2"/>
      </rPr>
      <t xml:space="preserve">진주를 품는 힘은 불편한 감정을 끌어안는 부드러운 강함을 상징하는 카드입니다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감정을 피하지 않고 느껴 보는 시간이 마음을 단단하게 만든다는 뜻이에요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불편한 감정을 억지로 밀어내기보다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지금 이런 마음이구나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하고 알아주는 연습을 권하는 카드입니다</t>
    </r>
    <r>
      <rPr>
        <sz val="10"/>
        <rFont val="Malgun Gothic"/>
        <family val="0"/>
        <charset val="1"/>
      </rPr>
      <t xml:space="preserve">.</t>
    </r>
  </si>
  <si>
    <t xml:space="preserve">cards.8.basic.overview</t>
  </si>
  <si>
    <r>
      <rPr>
        <sz val="10"/>
        <rFont val="Noto Sans CJK SC"/>
        <family val="2"/>
      </rPr>
      <t xml:space="preserve">진주를 품는 힘은 불편한 감정을 피하지 않고 끌어안는 부드러운 강함을 뜻합니다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불편한 마음을 밀어내기보다 알아줄 때 오히려 단단해지는 힘을 비춰요</t>
    </r>
    <r>
      <rPr>
        <sz val="10"/>
        <rFont val="Malgun Gothic"/>
        <family val="0"/>
        <charset val="1"/>
      </rPr>
      <t xml:space="preserve">.</t>
    </r>
  </si>
  <si>
    <t xml:space="preserve">cards.8.reversed.basic.keywords</t>
  </si>
  <si>
    <r>
      <rPr>
        <sz val="10"/>
        <rFont val="Noto Sans CJK SC"/>
        <family val="2"/>
      </rPr>
      <t xml:space="preserve">혼자 참기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버거움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도움 미루기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지침</t>
    </r>
  </si>
  <si>
    <t xml:space="preserve">cards.8.reversed.basic.desc</t>
  </si>
  <si>
    <r>
      <rPr>
        <sz val="10"/>
        <rFont val="Noto Sans CJK SC"/>
        <family val="2"/>
      </rPr>
      <t xml:space="preserve">역방향의 진주를 품는 힘은 불편함을 너무 오래 혼자 품고 있는 상태를 뜻합니다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견디는 것만이 강하다는 생각이 도움을 청하는 길을 막고 있을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버거운 일도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이 정도는 괜찮아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라며 넘기다 어느 순간 크게 지쳐 버릴 때 떠올려 보면 좋습니다</t>
    </r>
    <r>
      <rPr>
        <sz val="10"/>
        <rFont val="Malgun Gothic"/>
        <family val="0"/>
        <charset val="1"/>
      </rPr>
      <t xml:space="preserve">.</t>
    </r>
  </si>
  <si>
    <t xml:space="preserve">cards.8.reversed.basic.overview</t>
  </si>
  <si>
    <r>
      <rPr>
        <sz val="10"/>
        <rFont val="Noto Sans CJK SC"/>
        <family val="2"/>
      </rPr>
      <t xml:space="preserve">힘든 일을 혼자 꾹 참으며 너무 오래 버텨 온 때입니다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견디는 데 힘을 다 쓰느라 내 몫의 무게가 지나치게 커진 때를 비춰요</t>
    </r>
    <r>
      <rPr>
        <sz val="10"/>
        <rFont val="Malgun Gothic"/>
        <family val="0"/>
        <charset val="1"/>
      </rPr>
      <t xml:space="preserve">.</t>
    </r>
  </si>
  <si>
    <t xml:space="preserve">cards.9.basic.keywords</t>
  </si>
  <si>
    <r>
      <rPr>
        <sz val="10"/>
        <rFont val="Malgun Gothic"/>
        <family val="0"/>
        <charset val="1"/>
      </rPr>
      <t xml:space="preserve">09 </t>
    </r>
    <r>
      <rPr>
        <sz val="10"/>
        <rFont val="Noto Sans CJK SC"/>
        <family val="2"/>
      </rPr>
      <t xml:space="preserve">나만의 등불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바다의 노인</t>
    </r>
  </si>
  <si>
    <r>
      <rPr>
        <sz val="10"/>
        <rFont val="Noto Sans CJK SC"/>
        <family val="2"/>
      </rPr>
      <t xml:space="preserve">성찰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혼자만의 시간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내면의 빛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고요</t>
    </r>
  </si>
  <si>
    <t xml:space="preserve">cards.9.basic.desc</t>
  </si>
  <si>
    <r>
      <rPr>
        <sz val="10"/>
        <rFont val="Noto Sans CJK SC"/>
        <family val="2"/>
      </rPr>
      <t xml:space="preserve">나만의 등불은 혼자만의 시간과 깊은 성찰을 상징하는 카드예요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조용히 나를 비추는 시간이 길을 밝혀 준다는 뜻입니다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사람들 속에서 잠시 떨어져 산책하거나 일기를 쓰며 생각을 정리하는 시간과 잘 어울리는 카드예요</t>
    </r>
    <r>
      <rPr>
        <sz val="10"/>
        <rFont val="Malgun Gothic"/>
        <family val="0"/>
        <charset val="1"/>
      </rPr>
      <t xml:space="preserve">.</t>
    </r>
  </si>
  <si>
    <t xml:space="preserve">cards.9.basic.overview</t>
  </si>
  <si>
    <r>
      <rPr>
        <sz val="10"/>
        <rFont val="Noto Sans CJK SC"/>
        <family val="2"/>
      </rPr>
      <t xml:space="preserve">혼자 조용히 생각을 정리하며 나만의 길을 찾아가는 시간을 뜻하는 카드예요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사람들 사이에서 지쳤다면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잠시 떨어져 혼자 있어 보는 것도 좋은 쉼입니다</t>
    </r>
    <r>
      <rPr>
        <sz val="10"/>
        <rFont val="Malgun Gothic"/>
        <family val="0"/>
        <charset val="1"/>
      </rPr>
      <t xml:space="preserve">.</t>
    </r>
  </si>
  <si>
    <t xml:space="preserve">cards.9.reversed.basic.keywords</t>
  </si>
  <si>
    <r>
      <rPr>
        <sz val="10"/>
        <rFont val="Noto Sans CJK SC"/>
        <family val="2"/>
      </rPr>
      <t xml:space="preserve">고립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외로움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닫힌 마음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무거움</t>
    </r>
  </si>
  <si>
    <t xml:space="preserve">cards.9.reversed.basic.desc</t>
  </si>
  <si>
    <r>
      <rPr>
        <sz val="10"/>
        <rFont val="Noto Sans CJK SC"/>
        <family val="2"/>
      </rPr>
      <t xml:space="preserve">역방향의 나만의 등불은 혼자의 시간이 쉼이 아니라 고립이 되어 가는 상태를 뜻합니다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아무도 이해하지 못할 거라는 생각이 사람들과의 거리를 넓히고 있을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혼자 있는 시간이 길어질수록 마음이 가벼워지기보다 더 무거워질 때 자주 나옵니다</t>
    </r>
    <r>
      <rPr>
        <sz val="10"/>
        <rFont val="Malgun Gothic"/>
        <family val="0"/>
        <charset val="1"/>
      </rPr>
      <t xml:space="preserve">.</t>
    </r>
  </si>
  <si>
    <t xml:space="preserve">cards.9.reversed.basic.overview</t>
  </si>
  <si>
    <r>
      <rPr>
        <sz val="10"/>
        <rFont val="Noto Sans CJK SC"/>
        <family val="2"/>
      </rPr>
      <t xml:space="preserve">혼자 있는 시간이 쉼이 되기보다 점점 마음을 무겁게 하는 상태입니다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아무도 몰라줄 거라는 생각이 실제보다 더 크게 느껴지기 쉬운 때를 비춰요</t>
    </r>
    <r>
      <rPr>
        <sz val="10"/>
        <rFont val="Malgun Gothic"/>
        <family val="0"/>
        <charset val="1"/>
      </rPr>
      <t xml:space="preserve">.</t>
    </r>
  </si>
  <si>
    <t xml:space="preserve">cards.10.basic.keywords</t>
  </si>
  <si>
    <r>
      <rPr>
        <sz val="10"/>
        <rFont val="Malgun Gothic"/>
        <family val="0"/>
        <charset val="1"/>
      </rPr>
      <t xml:space="preserve">10 </t>
    </r>
    <r>
      <rPr>
        <sz val="10"/>
        <rFont val="Noto Sans CJK SC"/>
        <family val="2"/>
      </rPr>
      <t xml:space="preserve">물살의 순환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가오리</t>
    </r>
  </si>
  <si>
    <r>
      <rPr>
        <sz val="10"/>
        <rFont val="Noto Sans CJK SC"/>
        <family val="2"/>
      </rPr>
      <t xml:space="preserve">순환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변화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흐름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전환점</t>
    </r>
  </si>
  <si>
    <t xml:space="preserve">cards.10.basic.desc</t>
  </si>
  <si>
    <r>
      <rPr>
        <sz val="10"/>
        <rFont val="Noto Sans CJK SC"/>
        <family val="2"/>
      </rPr>
      <t xml:space="preserve">물살의 순환은 돌고 도는 삶의 흐름과 변화를 상징하는 카드예요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지금의 상황도 지나가며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 안에서도 내가 할 수 있는 선택이 있다는 뜻입니다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이직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이사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관계의 변화처럼 내 뜻과 상관없이 상황이 바뀌는 시기에 자주 나오는 카드예요</t>
    </r>
    <r>
      <rPr>
        <sz val="10"/>
        <rFont val="Malgun Gothic"/>
        <family val="0"/>
        <charset val="1"/>
      </rPr>
      <t xml:space="preserve">.</t>
    </r>
  </si>
  <si>
    <t xml:space="preserve">cards.10.basic.overview</t>
  </si>
  <si>
    <r>
      <rPr>
        <sz val="10"/>
        <rFont val="Noto Sans CJK SC"/>
        <family val="2"/>
      </rPr>
      <t xml:space="preserve">좋은 때도 힘든 때도 한자리에 머물지 않고 돌고 돈다는 걸 알려 주는 카드예요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지금 상황이 내 뜻대로 되지 않아도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 안에서 고를 수 있는 것 하나는 남아 있습니다</t>
    </r>
    <r>
      <rPr>
        <sz val="10"/>
        <rFont val="Malgun Gothic"/>
        <family val="0"/>
        <charset val="1"/>
      </rPr>
      <t xml:space="preserve">.</t>
    </r>
  </si>
  <si>
    <t xml:space="preserve">cards.10.reversed.basic.keywords</t>
  </si>
  <si>
    <r>
      <rPr>
        <sz val="10"/>
        <rFont val="Noto Sans CJK SC"/>
        <family val="2"/>
      </rPr>
      <t xml:space="preserve">저항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버팀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예전에 머묾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흔들림</t>
    </r>
  </si>
  <si>
    <t xml:space="preserve">cards.10.reversed.basic.desc</t>
  </si>
  <si>
    <r>
      <rPr>
        <sz val="10"/>
        <rFont val="Noto Sans CJK SC"/>
        <family val="2"/>
      </rPr>
      <t xml:space="preserve">역방향의 물살의 순환은 바뀌는 흐름에 맞서느라 힘이 잔뜩 들어간 상태를 뜻해요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예전으로 돌아가고 싶은 마음이 새 흐름을 타는 걸 막고 있을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바뀐 상황을 받아들이기 어려워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예전에는 이랬는데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를 자주 떠올리는 모습이 여기에 가까워요</t>
    </r>
    <r>
      <rPr>
        <sz val="10"/>
        <rFont val="Malgun Gothic"/>
        <family val="0"/>
        <charset val="1"/>
      </rPr>
      <t xml:space="preserve">.</t>
    </r>
  </si>
  <si>
    <t xml:space="preserve">cards.10.reversed.basic.overview</t>
  </si>
  <si>
    <r>
      <rPr>
        <sz val="10"/>
        <rFont val="Noto Sans CJK SC"/>
        <family val="2"/>
      </rPr>
      <t xml:space="preserve">바뀐 흐름을 받아들이기 어려워 예전 모습을 자꾸 붙잡고 있는 모습입니다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바뀐 흐름에 맞서느라 힘이 많이 들어가 있는 때를 비춰요</t>
    </r>
    <r>
      <rPr>
        <sz val="10"/>
        <rFont val="Malgun Gothic"/>
        <family val="0"/>
        <charset val="1"/>
      </rPr>
      <t xml:space="preserve">.</t>
    </r>
  </si>
  <si>
    <t xml:space="preserve">cards.11.basic.keywords</t>
  </si>
  <si>
    <r>
      <rPr>
        <sz val="10"/>
        <rFont val="Malgun Gothic"/>
        <family val="0"/>
        <charset val="1"/>
      </rPr>
      <t xml:space="preserve">11 </t>
    </r>
    <r>
      <rPr>
        <sz val="10"/>
        <rFont val="Noto Sans CJK SC"/>
        <family val="2"/>
      </rPr>
      <t xml:space="preserve">고요한 균형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백조</t>
    </r>
  </si>
  <si>
    <r>
      <rPr>
        <sz val="10"/>
        <rFont val="Noto Sans CJK SC"/>
        <family val="2"/>
      </rPr>
      <t xml:space="preserve">균형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공정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정직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판단</t>
    </r>
  </si>
  <si>
    <t xml:space="preserve">cards.11.basic.desc</t>
  </si>
  <si>
    <r>
      <rPr>
        <sz val="10"/>
        <rFont val="Noto Sans CJK SC"/>
        <family val="2"/>
      </rPr>
      <t xml:space="preserve">고요한 균형은 공정함과 균형 잡힌 판단을 상징하는 카드입니다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남을 대하듯 나에게도 공정할 수 있다는 뜻이에요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억울함이나 미안함 앞에서 감정과 사실을 나눠 보고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나에게도 같은 기준을 적용해 보라는 메시지입니다</t>
    </r>
    <r>
      <rPr>
        <sz val="10"/>
        <rFont val="Malgun Gothic"/>
        <family val="0"/>
        <charset val="1"/>
      </rPr>
      <t xml:space="preserve">.</t>
    </r>
  </si>
  <si>
    <t xml:space="preserve">cards.11.basic.overview</t>
  </si>
  <si>
    <r>
      <rPr>
        <sz val="10"/>
        <rFont val="Noto Sans CJK SC"/>
        <family val="2"/>
      </rPr>
      <t xml:space="preserve">백조처럼 고요하게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한쪽에 치우치지 않는 공정한 판단을 뜻하는 카드입니다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다른 사람에게 쓰는 너그러운 기준을 나에게도 똑같이 쓸 수 있는지를 묻는 카드예요</t>
    </r>
    <r>
      <rPr>
        <sz val="10"/>
        <rFont val="Malgun Gothic"/>
        <family val="0"/>
        <charset val="1"/>
      </rPr>
      <t xml:space="preserve">.</t>
    </r>
  </si>
  <si>
    <t xml:space="preserve">cards.11.reversed.basic.keywords</t>
  </si>
  <si>
    <r>
      <rPr>
        <sz val="10"/>
        <rFont val="Noto Sans CJK SC"/>
        <family val="2"/>
      </rPr>
      <t xml:space="preserve">치우침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자기 비난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따지기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결론 서두름</t>
    </r>
  </si>
  <si>
    <t xml:space="preserve">cards.11.reversed.basic.desc</t>
  </si>
  <si>
    <r>
      <rPr>
        <sz val="10"/>
        <rFont val="Noto Sans CJK SC"/>
        <family val="2"/>
      </rPr>
      <t xml:space="preserve">역방향의 고요한 균형은 저울이 한쪽으로 기울어 있는 상태를 뜻해요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나에게만 엄격하거나 옳고 그름을 따지느라 마음이 쉬지 못할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남의 실수는 넘기면서 내 실수는 오래 곱씹거나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누가 옳은지 따지느라 잠 못 드는 밤이 여기에 가까워요</t>
    </r>
    <r>
      <rPr>
        <sz val="10"/>
        <rFont val="Malgun Gothic"/>
        <family val="0"/>
        <charset val="1"/>
      </rPr>
      <t xml:space="preserve">.</t>
    </r>
  </si>
  <si>
    <t xml:space="preserve">cards.11.reversed.basic.overview</t>
  </si>
  <si>
    <r>
      <rPr>
        <sz val="10"/>
        <rFont val="Noto Sans CJK SC"/>
        <family val="2"/>
      </rPr>
      <t xml:space="preserve">나에게만 유독 엄격하거나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누가 옳은지 따지느라 마음이 쉬지 못하는 때입니다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지난 실수를 곱씹는 마음이 지금의 판단까지 무겁게 만드는 때를 비춰요</t>
    </r>
    <r>
      <rPr>
        <sz val="10"/>
        <rFont val="Malgun Gothic"/>
        <family val="0"/>
        <charset val="1"/>
      </rPr>
      <t xml:space="preserve">.</t>
    </r>
  </si>
  <si>
    <t xml:space="preserve">cards.12.basic.keywords</t>
  </si>
  <si>
    <r>
      <rPr>
        <sz val="10"/>
        <rFont val="Noto Sans CJK SC"/>
        <family val="2"/>
      </rPr>
      <t xml:space="preserve">멈춤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쉼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관점 전환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기다림</t>
    </r>
  </si>
  <si>
    <t xml:space="preserve">cards.12.basic.desc</t>
  </si>
  <si>
    <r>
      <rPr>
        <sz val="10"/>
        <rFont val="Noto Sans CJK SC"/>
        <family val="2"/>
      </rPr>
      <t xml:space="preserve">바위 위의 쉼은 잠시 멈춤과 쉼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새로운 시선을 상징하는 카드입니다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멈추는 시간이 뒤처짐이 아니라 새로운 관점을 얻는 시간이라는 뜻이에요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열심히 달려왔는데 제자리인 것 같을 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잠시 멈춰야 비로소 보이는 길이 있다고 말해 줍니다</t>
    </r>
    <r>
      <rPr>
        <sz val="10"/>
        <rFont val="Malgun Gothic"/>
        <family val="0"/>
        <charset val="1"/>
      </rPr>
      <t xml:space="preserve">.</t>
    </r>
  </si>
  <si>
    <t xml:space="preserve">cards.12.basic.overview</t>
  </si>
  <si>
    <r>
      <rPr>
        <sz val="10"/>
        <rFont val="Noto Sans CJK SC"/>
        <family val="2"/>
      </rPr>
      <t xml:space="preserve">물범이 바위 위에서 쉬어 가듯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잠시 멈추고 다르게 바라보는 시간을 뜻하는 카드입니다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멈추는 시간이 뒤처지는 시간이 아니라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새로 보이는 것이 생기는 시간이라고 말해요</t>
    </r>
    <r>
      <rPr>
        <sz val="10"/>
        <rFont val="Malgun Gothic"/>
        <family val="0"/>
        <charset val="1"/>
      </rPr>
      <t xml:space="preserve">.</t>
    </r>
  </si>
  <si>
    <t xml:space="preserve">cards.12.reversed.basic.keywords</t>
  </si>
  <si>
    <r>
      <rPr>
        <sz val="10"/>
        <rFont val="Noto Sans CJK SC"/>
        <family val="2"/>
      </rPr>
      <t xml:space="preserve">정체감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죄책감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개운하지 않음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끼어 있음</t>
    </r>
  </si>
  <si>
    <t xml:space="preserve">cards.12.reversed.basic.desc</t>
  </si>
  <si>
    <r>
      <rPr>
        <sz val="10"/>
        <rFont val="Noto Sans CJK SC"/>
        <family val="2"/>
      </rPr>
      <t xml:space="preserve">역방향의 바위 위의 쉼은 멈춰 있는 시간이 쉼이 아니라 정체처럼 느껴지는 상태를 뜻합니다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쉬면서도 스스로를 탓하느라 회복이 잘 되지 않을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쉬는 날에도 머릿속으로 일을 붙잡고 있어 쉬고 나서도 개운하지 않을 때 자주 나옵니다</t>
    </r>
    <r>
      <rPr>
        <sz val="10"/>
        <rFont val="Malgun Gothic"/>
        <family val="0"/>
        <charset val="1"/>
      </rPr>
      <t xml:space="preserve">.</t>
    </r>
  </si>
  <si>
    <t xml:space="preserve">cards.12.reversed.basic.overview</t>
  </si>
  <si>
    <r>
      <rPr>
        <sz val="10"/>
        <rFont val="Noto Sans CJK SC"/>
        <family val="2"/>
      </rPr>
      <t xml:space="preserve">몸은 쉬고 있어도 머릿속은 계속 일을 붙들고 있어 개운하지 않은 상태예요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쉬면서도 쉬는 나를 탓하느라 제대로 쉬지 못하는 때를 비춥니다</t>
    </r>
    <r>
      <rPr>
        <sz val="10"/>
        <rFont val="Malgun Gothic"/>
        <family val="0"/>
        <charset val="1"/>
      </rPr>
      <t xml:space="preserve">.</t>
    </r>
  </si>
  <si>
    <t xml:space="preserve">cards.13.basic.keywords</t>
  </si>
  <si>
    <r>
      <rPr>
        <sz val="10"/>
        <rFont val="Malgun Gothic"/>
        <family val="0"/>
        <charset val="1"/>
      </rPr>
      <t xml:space="preserve">13 </t>
    </r>
    <r>
      <rPr>
        <sz val="10"/>
        <rFont val="Noto Sans CJK SC"/>
        <family val="2"/>
      </rPr>
      <t xml:space="preserve">새 집으로 이사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소라게</t>
    </r>
  </si>
  <si>
    <r>
      <rPr>
        <sz val="10"/>
        <rFont val="Noto Sans CJK SC"/>
        <family val="2"/>
      </rPr>
      <t xml:space="preserve">끝맺음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전환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새 출발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내려놓기</t>
    </r>
  </si>
  <si>
    <t xml:space="preserve">cards.13.basic.desc</t>
  </si>
  <si>
    <r>
      <rPr>
        <sz val="10"/>
        <rFont val="Noto Sans CJK SC"/>
        <family val="2"/>
      </rPr>
      <t xml:space="preserve">새 집으로 이사는 한 시기의 끝과 새로운 시작을 상징하는 카드예요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맞지 않게 된 것을 내려놓을 때 다음 자리로 옮겨 갈 수 있다는 뜻입니다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직장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관계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오래된 습관처럼 지금의 나에게 작아진 것을 정리하고 다음으로 넘어갈 때와 잘 어울려요</t>
    </r>
    <r>
      <rPr>
        <sz val="10"/>
        <rFont val="Malgun Gothic"/>
        <family val="0"/>
        <charset val="1"/>
      </rPr>
      <t xml:space="preserve">.</t>
    </r>
  </si>
  <si>
    <t xml:space="preserve">cards.13.basic.overview</t>
  </si>
  <si>
    <r>
      <rPr>
        <sz val="10"/>
        <rFont val="Noto Sans CJK SC"/>
        <family val="2"/>
      </rPr>
      <t xml:space="preserve">한 시기를 마무리하고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소라게처럼 더 잘 맞는 새 집으로 옮겨 가는 때를 뜻해요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지금의 나에게 맞지 않게 된 것을 고마움과 함께 내려놓는 변화를 비춥니다</t>
    </r>
    <r>
      <rPr>
        <sz val="10"/>
        <rFont val="Malgun Gothic"/>
        <family val="0"/>
        <charset val="1"/>
      </rPr>
      <t xml:space="preserve">.</t>
    </r>
  </si>
  <si>
    <t xml:space="preserve">cards.13.reversed.basic.keywords</t>
  </si>
  <si>
    <r>
      <rPr>
        <sz val="10"/>
        <rFont val="Noto Sans CJK SC"/>
        <family val="2"/>
      </rPr>
      <t xml:space="preserve">붙잡음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변화 두려움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미루기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익숙함</t>
    </r>
  </si>
  <si>
    <t xml:space="preserve">cards.13.reversed.basic.desc</t>
  </si>
  <si>
    <r>
      <rPr>
        <sz val="10"/>
        <rFont val="Noto Sans CJK SC"/>
        <family val="2"/>
      </rPr>
      <t xml:space="preserve">역방향의 새 집으로 이사는 내려놓을 것을 아직 놓지 못한 상태를 뜻합니다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익숙한 껍데기를 떠나는 게 두려워 변화를 미루고 있을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끝내야 할 것 같으면서도 익숙함이 아까워 정리를 망설이고 있을 때 떠올려 보면 좋습니다</t>
    </r>
    <r>
      <rPr>
        <sz val="10"/>
        <rFont val="Malgun Gothic"/>
        <family val="0"/>
        <charset val="1"/>
      </rPr>
      <t xml:space="preserve">.</t>
    </r>
  </si>
  <si>
    <t xml:space="preserve">cards.13.reversed.basic.overview</t>
  </si>
  <si>
    <r>
      <rPr>
        <sz val="10"/>
        <rFont val="Noto Sans CJK SC"/>
        <family val="2"/>
      </rPr>
      <t xml:space="preserve">익숙함이 아까워서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이미 작아진 껍데기를 아직 놓지 못한 모습이에요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떠날 준비보다 무엇을 정리하고 싶은지 아직 이름이 붙지 않은 상태를 비춥니다</t>
    </r>
    <r>
      <rPr>
        <sz val="10"/>
        <rFont val="Malgun Gothic"/>
        <family val="0"/>
        <charset val="1"/>
      </rPr>
      <t xml:space="preserve">.</t>
    </r>
  </si>
  <si>
    <t xml:space="preserve">cards.14.basic.keywords</t>
  </si>
  <si>
    <r>
      <rPr>
        <sz val="10"/>
        <rFont val="Malgun Gothic"/>
        <family val="0"/>
        <charset val="1"/>
      </rPr>
      <t xml:space="preserve">14 </t>
    </r>
    <r>
      <rPr>
        <sz val="10"/>
        <rFont val="Noto Sans CJK SC"/>
        <family val="2"/>
      </rPr>
      <t xml:space="preserve">물과 뭍 사이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개구리</t>
    </r>
  </si>
  <si>
    <r>
      <rPr>
        <sz val="10"/>
        <rFont val="Noto Sans CJK SC"/>
        <family val="2"/>
      </rPr>
      <t xml:space="preserve">조율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균형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알맞음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섞기</t>
    </r>
  </si>
  <si>
    <t xml:space="preserve">cards.14.basic.desc</t>
  </si>
  <si>
    <r>
      <rPr>
        <sz val="10"/>
        <rFont val="Noto Sans CJK SC"/>
        <family val="2"/>
      </rPr>
      <t xml:space="preserve">물과 뭍 사이는 서로 다른 것을 알맞게 섞는 조율을 상징하는 카드입니다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둘 중 하나를 고르기보다 나에게 맞는 비율을 찾는다는 뜻이에요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일과 쉼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나와 다른 사람 사이에서 오늘은 </t>
    </r>
    <r>
      <rPr>
        <sz val="10"/>
        <rFont val="Malgun Gothic"/>
        <family val="0"/>
        <charset val="1"/>
      </rPr>
      <t xml:space="preserve">7 </t>
    </r>
    <r>
      <rPr>
        <sz val="10"/>
        <rFont val="Noto Sans CJK SC"/>
        <family val="2"/>
      </rPr>
      <t xml:space="preserve">대 </t>
    </r>
    <r>
      <rPr>
        <sz val="10"/>
        <rFont val="Malgun Gothic"/>
        <family val="0"/>
        <charset val="1"/>
      </rPr>
      <t xml:space="preserve">3, </t>
    </r>
    <r>
      <rPr>
        <sz val="10"/>
        <rFont val="Noto Sans CJK SC"/>
        <family val="2"/>
      </rPr>
      <t xml:space="preserve">내일은 </t>
    </r>
    <r>
      <rPr>
        <sz val="10"/>
        <rFont val="Malgun Gothic"/>
        <family val="0"/>
        <charset val="1"/>
      </rPr>
      <t xml:space="preserve">5 </t>
    </r>
    <r>
      <rPr>
        <sz val="10"/>
        <rFont val="Noto Sans CJK SC"/>
        <family val="2"/>
      </rPr>
      <t xml:space="preserve">대 </t>
    </r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처럼 조금씩 맞춰 가도 괜찮습니다</t>
    </r>
    <r>
      <rPr>
        <sz val="10"/>
        <rFont val="Malgun Gothic"/>
        <family val="0"/>
        <charset val="1"/>
      </rPr>
      <t xml:space="preserve">.</t>
    </r>
  </si>
  <si>
    <t xml:space="preserve">cards.14.basic.overview</t>
  </si>
  <si>
    <r>
      <rPr>
        <sz val="10"/>
        <rFont val="Noto Sans CJK SC"/>
        <family val="2"/>
      </rPr>
      <t xml:space="preserve">둘 중 하나만 고르지 않고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서로 다른 것을 나에게 맞는 비율로 섞는 조율의 카드입니다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일과 쉼의 균형은 날마다 달라도 된다는 유연함을 담고 있어요</t>
    </r>
    <r>
      <rPr>
        <sz val="10"/>
        <rFont val="Malgun Gothic"/>
        <family val="0"/>
        <charset val="1"/>
      </rPr>
      <t xml:space="preserve">.</t>
    </r>
  </si>
  <si>
    <t xml:space="preserve">cards.14.reversed.basic.keywords</t>
  </si>
  <si>
    <r>
      <rPr>
        <sz val="10"/>
        <rFont val="Noto Sans CJK SC"/>
        <family val="2"/>
      </rPr>
      <t xml:space="preserve">쏠림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극단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불균형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지침</t>
    </r>
  </si>
  <si>
    <t xml:space="preserve">cards.14.reversed.basic.desc</t>
  </si>
  <si>
    <r>
      <rPr>
        <sz val="10"/>
        <rFont val="Noto Sans CJK SC"/>
        <family val="2"/>
      </rPr>
      <t xml:space="preserve">역방향의 물과 뭍 사이는 한쪽으로 너무 쏠려 균형이 흔들리는 상태를 뜻합니다</t>
    </r>
    <r>
      <rPr>
        <sz val="10"/>
        <rFont val="Malgun Gothic"/>
        <family val="0"/>
        <charset val="1"/>
      </rPr>
      <t xml:space="preserve">. '</t>
    </r>
    <r>
      <rPr>
        <sz val="10"/>
        <rFont val="Noto Sans CJK SC"/>
        <family val="2"/>
      </rPr>
      <t xml:space="preserve">모 아니면 도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라는 생각에 알맞은 중간을 찾기 어려울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일에만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혹은 다른 사람 챙기기에만 너무 많은 마음을 쓰다 지쳐 있을 때 자주 나옵니다</t>
    </r>
    <r>
      <rPr>
        <sz val="10"/>
        <rFont val="Malgun Gothic"/>
        <family val="0"/>
        <charset val="1"/>
      </rPr>
      <t xml:space="preserve">.</t>
    </r>
  </si>
  <si>
    <t xml:space="preserve">cards.14.reversed.basic.overview</t>
  </si>
  <si>
    <r>
      <rPr>
        <sz val="10"/>
        <rFont val="Noto Sans CJK SC"/>
        <family val="2"/>
      </rPr>
      <t xml:space="preserve">일이든 사람이든 한쪽에 마음을 너무 많이 쏟아 균형이 기운 상태예요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다 하거나 아예 안 하거나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둘 중 한쪽으로만 기울기 쉬운 때를 비춥니다</t>
    </r>
    <r>
      <rPr>
        <sz val="10"/>
        <rFont val="Malgun Gothic"/>
        <family val="0"/>
        <charset val="1"/>
      </rPr>
      <t xml:space="preserve">.</t>
    </r>
  </si>
  <si>
    <t xml:space="preserve">cards.15.basic.keywords</t>
  </si>
  <si>
    <r>
      <rPr>
        <sz val="10"/>
        <rFont val="Malgun Gothic"/>
        <family val="0"/>
        <charset val="1"/>
      </rPr>
      <t xml:space="preserve">15 </t>
    </r>
    <r>
      <rPr>
        <sz val="10"/>
        <rFont val="Noto Sans CJK SC"/>
        <family val="2"/>
      </rPr>
      <t xml:space="preserve">부풀어 오른 마음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복어</t>
    </r>
  </si>
  <si>
    <r>
      <rPr>
        <sz val="10"/>
        <rFont val="Noto Sans CJK SC"/>
        <family val="2"/>
      </rPr>
      <t xml:space="preserve">방어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습관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알아차림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묶임</t>
    </r>
  </si>
  <si>
    <t xml:space="preserve">cards.15.basic.desc</t>
  </si>
  <si>
    <r>
      <rPr>
        <sz val="10"/>
        <rFont val="Noto Sans CJK SC"/>
        <family val="2"/>
      </rPr>
      <t xml:space="preserve">부풀어 오른 마음은 나를 지키려는 방어와 반복되는 습관을 상징하는 카드예요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나를 지키려 세운 가시를 알아차리는 것이 습관에서 벗어나는 첫걸음이라는 뜻입니다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불안할 때마다 휴대폰을 확인하거나 일을 미루는 것처럼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나도 모르게 반복하는 습관을 돌아보게 하는 카드예요</t>
    </r>
    <r>
      <rPr>
        <sz val="10"/>
        <rFont val="Malgun Gothic"/>
        <family val="0"/>
        <charset val="1"/>
      </rPr>
      <t xml:space="preserve">.</t>
    </r>
  </si>
  <si>
    <t xml:space="preserve">cards.15.basic.overview</t>
  </si>
  <si>
    <r>
      <rPr>
        <sz val="10"/>
        <rFont val="Noto Sans CJK SC"/>
        <family val="2"/>
      </rPr>
      <t xml:space="preserve">복어가 놀라면 몸을 부풀리듯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나를 지키려는 방어와 거기서 굳어진 습관을 뜻하는 카드예요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불안할 때 나도 모르게 반복하는 행동이 사실은 나를 지키려던 방식이라는 것을 비춥니다</t>
    </r>
    <r>
      <rPr>
        <sz val="10"/>
        <rFont val="Malgun Gothic"/>
        <family val="0"/>
        <charset val="1"/>
      </rPr>
      <t xml:space="preserve">.</t>
    </r>
  </si>
  <si>
    <t xml:space="preserve">cards.15.reversed.basic.keywords</t>
  </si>
  <si>
    <r>
      <rPr>
        <sz val="10"/>
        <rFont val="Noto Sans CJK SC"/>
        <family val="2"/>
      </rPr>
      <t xml:space="preserve">풀려남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가라앉음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회복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새 습관</t>
    </r>
  </si>
  <si>
    <t xml:space="preserve">cards.15.reversed.basic.desc</t>
  </si>
  <si>
    <r>
      <rPr>
        <sz val="10"/>
        <rFont val="Noto Sans CJK SC"/>
        <family val="2"/>
      </rPr>
      <t xml:space="preserve">역방향의 부풀어 오른 마음은 나를 묶던 방어가 조금씩 풀리기 시작하는 상태를 뜻합니다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낯설어도 새로운 습관으로 옮겨 갈 준비가 되어 가고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예전 같으면 크게 반응했을 일에 조금 덜 흔들렸다면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 변화가 바로 이 카드의 모습입니다</t>
    </r>
    <r>
      <rPr>
        <sz val="10"/>
        <rFont val="Malgun Gothic"/>
        <family val="0"/>
        <charset val="1"/>
      </rPr>
      <t xml:space="preserve">.</t>
    </r>
  </si>
  <si>
    <t xml:space="preserve">cards.15.reversed.basic.overview</t>
  </si>
  <si>
    <r>
      <rPr>
        <sz val="10"/>
        <rFont val="Noto Sans CJK SC"/>
        <family val="2"/>
      </rPr>
      <t xml:space="preserve">단단히 세웠던 가시가 조금씩 내려가고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묶여 있던 마음이 풀리기 시작하는 때예요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예전보다 덜 흔들리는 순간들이 작게나마 늘어나고 있다는 뜻을 담고 있습니다</t>
    </r>
    <r>
      <rPr>
        <sz val="10"/>
        <rFont val="Malgun Gothic"/>
        <family val="0"/>
        <charset val="1"/>
      </rPr>
      <t xml:space="preserve">.</t>
    </r>
  </si>
  <si>
    <t xml:space="preserve">cards.16.basic.keywords</t>
  </si>
  <si>
    <r>
      <rPr>
        <sz val="10"/>
        <rFont val="Malgun Gothic"/>
        <family val="0"/>
        <charset val="1"/>
      </rPr>
      <t xml:space="preserve">16 </t>
    </r>
    <r>
      <rPr>
        <sz val="10"/>
        <rFont val="Noto Sans CJK SC"/>
        <family val="2"/>
      </rPr>
      <t xml:space="preserve">다시 쌓는 둑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비버</t>
    </r>
  </si>
  <si>
    <r>
      <rPr>
        <sz val="10"/>
        <rFont val="Noto Sans CJK SC"/>
        <family val="2"/>
      </rPr>
      <t xml:space="preserve">무너짐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재건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회복탄력성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다시 시작</t>
    </r>
  </si>
  <si>
    <t xml:space="preserve">cards.16.basic.desc</t>
  </si>
  <si>
    <r>
      <rPr>
        <sz val="10"/>
        <rFont val="Noto Sans CJK SC"/>
        <family val="2"/>
      </rPr>
      <t xml:space="preserve">다시 쌓는 둑은 예상치 못한 흔들림과 그 뒤의 재건을 상징하는 카드예요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무너진 자리도 한 조각씩 다시 쌓을 수 있다는 뜻입니다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계획이 틀어지거나 믿던 일이 흔들린 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남아 있는 것부터 하나씩 다시 쌓아 갈 때 잘 어울리는 카드예요</t>
    </r>
    <r>
      <rPr>
        <sz val="10"/>
        <rFont val="Malgun Gothic"/>
        <family val="0"/>
        <charset val="1"/>
      </rPr>
      <t xml:space="preserve">.</t>
    </r>
  </si>
  <si>
    <t xml:space="preserve">cards.16.basic.overview</t>
  </si>
  <si>
    <r>
      <rPr>
        <sz val="10"/>
        <rFont val="Noto Sans CJK SC"/>
        <family val="2"/>
      </rPr>
      <t xml:space="preserve">다시 쌓는 둑은 흔들리고 무너진 자리에서 다시 세워 가는 힘을 뜻해요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계획이 틀어졌더라도 지금 손에 남은 것 하나부터 차근차근 쌓아 가도 늦지 않습니다</t>
    </r>
    <r>
      <rPr>
        <sz val="10"/>
        <rFont val="Malgun Gothic"/>
        <family val="0"/>
        <charset val="1"/>
      </rPr>
      <t xml:space="preserve">.</t>
    </r>
  </si>
  <si>
    <t xml:space="preserve">cards.16.reversed.basic.keywords</t>
  </si>
  <si>
    <r>
      <rPr>
        <sz val="10"/>
        <rFont val="Noto Sans CJK SC"/>
        <family val="2"/>
      </rPr>
      <t xml:space="preserve">버팀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다시 무너질 걱정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손대기 어려움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지침</t>
    </r>
  </si>
  <si>
    <t xml:space="preserve">cards.16.reversed.basic.desc</t>
  </si>
  <si>
    <r>
      <rPr>
        <sz val="10"/>
        <rFont val="Noto Sans CJK SC"/>
        <family val="2"/>
      </rPr>
      <t xml:space="preserve">역방향의 다시 쌓는 둑은 무너지지 않으려 애쓰느라 더 지쳐 있는 상태를 뜻해요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또 무너질까 하는 걱정이 다시 쌓는 일을 미루게 할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괜찮은 척 버티느라 기운이 빠지거나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다시 시작할 엄두가 나지 않을 때 자주 나와요</t>
    </r>
    <r>
      <rPr>
        <sz val="10"/>
        <rFont val="Malgun Gothic"/>
        <family val="0"/>
        <charset val="1"/>
      </rPr>
      <t xml:space="preserve">.</t>
    </r>
  </si>
  <si>
    <t xml:space="preserve">cards.16.reversed.basic.overview</t>
  </si>
  <si>
    <r>
      <rPr>
        <sz val="10"/>
        <rFont val="Noto Sans CJK SC"/>
        <family val="2"/>
      </rPr>
      <t xml:space="preserve">또 무너질까 걱정하며 괜찮은 척 버티느라 기운이 많이 빠진 모습입니다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무너진 것을 다시 쌓을 엄두가 나지 않을 만큼 힘이 많이 빠진 때를 비춰요</t>
    </r>
    <r>
      <rPr>
        <sz val="10"/>
        <rFont val="Malgun Gothic"/>
        <family val="0"/>
        <charset val="1"/>
      </rPr>
      <t xml:space="preserve">.</t>
    </r>
  </si>
  <si>
    <t xml:space="preserve">cards.17.basic.keywords</t>
  </si>
  <si>
    <r>
      <rPr>
        <sz val="10"/>
        <rFont val="Malgun Gothic"/>
        <family val="0"/>
        <charset val="1"/>
      </rPr>
      <t xml:space="preserve">17 </t>
    </r>
    <r>
      <rPr>
        <sz val="10"/>
        <rFont val="Noto Sans CJK SC"/>
        <family val="2"/>
      </rPr>
      <t xml:space="preserve">다시 빛나는 별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불가사리</t>
    </r>
  </si>
  <si>
    <r>
      <rPr>
        <sz val="10"/>
        <rFont val="Noto Sans CJK SC"/>
        <family val="2"/>
      </rPr>
      <t xml:space="preserve">회복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희망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치유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다시 빛남</t>
    </r>
  </si>
  <si>
    <t xml:space="preserve">cards.17.basic.desc</t>
  </si>
  <si>
    <r>
      <rPr>
        <sz val="10"/>
        <rFont val="Noto Sans CJK SC"/>
        <family val="2"/>
      </rPr>
      <t xml:space="preserve">다시 빛나는 별은 회복과 희망을 상징하는 카드입니다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천천히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그래도 조금씩 다시 빛을 찾아가고 있다는 뜻이에요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힘든 시기를 지나 아침이 조금 덜 무겁고 웃는 순간이 하나 늘었다면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그게 바로 이 카드가 비추는 회복입니다</t>
    </r>
    <r>
      <rPr>
        <sz val="10"/>
        <rFont val="Malgun Gothic"/>
        <family val="0"/>
        <charset val="1"/>
      </rPr>
      <t xml:space="preserve">.</t>
    </r>
  </si>
  <si>
    <t xml:space="preserve">cards.17.basic.overview</t>
  </si>
  <si>
    <r>
      <rPr>
        <sz val="10"/>
        <rFont val="Noto Sans CJK SC"/>
        <family val="2"/>
      </rPr>
      <t xml:space="preserve">힘든 시기를 지나 조금씩 다시 빛을 찾아가는 회복과 희망의 카드입니다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아침이 어제보다 조금 덜 무겁다면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그것도 충분히 나아지고 있다는 표시예요</t>
    </r>
    <r>
      <rPr>
        <sz val="10"/>
        <rFont val="Malgun Gothic"/>
        <family val="0"/>
        <charset val="1"/>
      </rPr>
      <t xml:space="preserve">.</t>
    </r>
  </si>
  <si>
    <t xml:space="preserve">cards.17.reversed.basic.keywords</t>
  </si>
  <si>
    <r>
      <rPr>
        <sz val="10"/>
        <rFont val="Noto Sans CJK SC"/>
        <family val="2"/>
      </rPr>
      <t xml:space="preserve">희미한 빛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조급함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실망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느린 회복</t>
    </r>
  </si>
  <si>
    <t xml:space="preserve">cards.17.reversed.basic.desc</t>
  </si>
  <si>
    <r>
      <rPr>
        <sz val="10"/>
        <rFont val="Noto Sans CJK SC"/>
        <family val="2"/>
      </rPr>
      <t xml:space="preserve">역방향의 다시 빛나는 별은 회복의 빛이 아직 희미하게 느껴지는 상태를 뜻해요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빨리 나아져야 한다는 기대가 작은 변화를 가리고 있을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조금씩 나아지고 있는데도 스스로는 잘 느껴지지 않아 답답할 때 떠올려 보면 좋아요</t>
    </r>
    <r>
      <rPr>
        <sz val="10"/>
        <rFont val="Malgun Gothic"/>
        <family val="0"/>
        <charset val="1"/>
      </rPr>
      <t xml:space="preserve">.</t>
    </r>
  </si>
  <si>
    <t xml:space="preserve">cards.17.reversed.basic.overview</t>
  </si>
  <si>
    <r>
      <rPr>
        <sz val="10"/>
        <rFont val="Noto Sans CJK SC"/>
        <family val="2"/>
      </rPr>
      <t xml:space="preserve">나아지고는 있지만 아직 그 변화가 내게 잘 느껴지지 않는 상태입니다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빨리 회복해야 한다는 마음 때문에 이미 생긴 작은 변화가 잘 보이지 않는 때예요</t>
    </r>
    <r>
      <rPr>
        <sz val="10"/>
        <rFont val="Malgun Gothic"/>
        <family val="0"/>
        <charset val="1"/>
      </rPr>
      <t xml:space="preserve">.</t>
    </r>
  </si>
  <si>
    <t xml:space="preserve">cards.18.basic.keywords</t>
  </si>
  <si>
    <r>
      <rPr>
        <sz val="10"/>
        <rFont val="Malgun Gothic"/>
        <family val="0"/>
        <charset val="1"/>
      </rPr>
      <t xml:space="preserve">18 </t>
    </r>
    <r>
      <rPr>
        <sz val="10"/>
        <rFont val="Noto Sans CJK SC"/>
        <family val="2"/>
      </rPr>
      <t xml:space="preserve">달빛 아래 떠다니기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해파리</t>
    </r>
  </si>
  <si>
    <r>
      <rPr>
        <sz val="10"/>
        <rFont val="Noto Sans CJK SC"/>
        <family val="2"/>
      </rPr>
      <t xml:space="preserve">불확실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모호함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상상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직관</t>
    </r>
  </si>
  <si>
    <t xml:space="preserve">cards.18.basic.desc</t>
  </si>
  <si>
    <r>
      <rPr>
        <sz val="10"/>
        <rFont val="Noto Sans CJK SC"/>
        <family val="2"/>
      </rPr>
      <t xml:space="preserve">달빛 아래 떠다니기는 불확실함과 아직 드러나지 않은 마음을 상징하는 카드예요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다 보이지 않아도 한 걸음씩은 갈 수 있다는 뜻입니다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결과를 기다리거나 앞날이 잘 보이지 않을 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확실해지기를 기다리기보다 지금 할 수 있는 한 가지에 집중하라고 말해 줘요</t>
    </r>
    <r>
      <rPr>
        <sz val="10"/>
        <rFont val="Malgun Gothic"/>
        <family val="0"/>
        <charset val="1"/>
      </rPr>
      <t xml:space="preserve">.</t>
    </r>
  </si>
  <si>
    <t xml:space="preserve">cards.18.basic.overview</t>
  </si>
  <si>
    <r>
      <rPr>
        <sz val="10"/>
        <rFont val="Noto Sans CJK SC"/>
        <family val="2"/>
      </rPr>
      <t xml:space="preserve">달빛 아래 떠다니기는 앞이 다 보이지 않는 불확실한 시기를 뜻하는 카드입니다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모든 게 확실해질 때까지 기다리지 않아도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지금 내디딜 수 있는 한 걸음은 있어요</t>
    </r>
    <r>
      <rPr>
        <sz val="10"/>
        <rFont val="Malgun Gothic"/>
        <family val="0"/>
        <charset val="1"/>
      </rPr>
      <t xml:space="preserve">.</t>
    </r>
  </si>
  <si>
    <t xml:space="preserve">cards.18.reversed.basic.keywords</t>
  </si>
  <si>
    <r>
      <rPr>
        <sz val="10"/>
        <rFont val="Noto Sans CJK SC"/>
        <family val="2"/>
      </rPr>
      <t xml:space="preserve">걷히는 안개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명료해짐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예민함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확실함 바람</t>
    </r>
  </si>
  <si>
    <t xml:space="preserve">cards.18.reversed.basic.desc</t>
  </si>
  <si>
    <r>
      <rPr>
        <sz val="10"/>
        <rFont val="Noto Sans CJK SC"/>
        <family val="2"/>
      </rPr>
      <t xml:space="preserve">역방향의 달빛 아래 떠다니기는 자욱하던 안개가 조금씩 걷히기 시작하는 상태를 뜻해요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흐릿하던 상황이 조금씩 정리되기 시작할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막연하던 걱정 가운데 무엇이 진짜 걱정인지 하나둘 보이기 시작할 때 자주 나와요</t>
    </r>
    <r>
      <rPr>
        <sz val="10"/>
        <rFont val="Malgun Gothic"/>
        <family val="0"/>
        <charset val="1"/>
      </rPr>
      <t xml:space="preserve">.</t>
    </r>
  </si>
  <si>
    <t xml:space="preserve">cards.18.reversed.basic.overview</t>
  </si>
  <si>
    <r>
      <rPr>
        <sz val="10"/>
        <rFont val="Noto Sans CJK SC"/>
        <family val="2"/>
      </rPr>
      <t xml:space="preserve">흐릿하던 안개가 조금씩 걷히며 상황이 하나둘 정리되기 시작하는 때예요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막연하던 걱정들 가운데 정말 마음 쓰이는 것이 조금씩 가려지기 시작하는 때를 비춥니다</t>
    </r>
    <r>
      <rPr>
        <sz val="10"/>
        <rFont val="Malgun Gothic"/>
        <family val="0"/>
        <charset val="1"/>
      </rPr>
      <t xml:space="preserve">.</t>
    </r>
  </si>
  <si>
    <t xml:space="preserve">cards.19.basic.keywords</t>
  </si>
  <si>
    <r>
      <rPr>
        <sz val="10"/>
        <rFont val="Malgun Gothic"/>
        <family val="0"/>
        <charset val="1"/>
      </rPr>
      <t xml:space="preserve">19 </t>
    </r>
    <r>
      <rPr>
        <sz val="10"/>
        <rFont val="Noto Sans CJK SC"/>
        <family val="2"/>
      </rPr>
      <t xml:space="preserve">햇살 바위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물개</t>
    </r>
  </si>
  <si>
    <r>
      <rPr>
        <sz val="10"/>
        <rFont val="Noto Sans CJK SC"/>
        <family val="2"/>
      </rPr>
      <t xml:space="preserve">기쁨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활력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감사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지금 이 순간</t>
    </r>
  </si>
  <si>
    <t xml:space="preserve">cards.19.basic.desc</t>
  </si>
  <si>
    <r>
      <rPr>
        <sz val="10"/>
        <rFont val="Noto Sans CJK SC"/>
        <family val="2"/>
      </rPr>
      <t xml:space="preserve">햇살 바위는 기쁨과 활력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지금 이곳의 따뜻함을 상징하는 카드입니다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좋은 순간을 즐길수록 다음 걸음을 내디딜 힘도 생긴다는 뜻이에요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고민이 있어도 맛있는 한 끼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좋아하는 사람과의 대화처럼 지금의 작은 기쁨을 충분히 누려도 괜찮습니다</t>
    </r>
    <r>
      <rPr>
        <sz val="10"/>
        <rFont val="Malgun Gothic"/>
        <family val="0"/>
        <charset val="1"/>
      </rPr>
      <t xml:space="preserve">.</t>
    </r>
  </si>
  <si>
    <t xml:space="preserve">cards.19.basic.overview</t>
  </si>
  <si>
    <r>
      <rPr>
        <sz val="10"/>
        <rFont val="Noto Sans CJK SC"/>
        <family val="2"/>
      </rPr>
      <t xml:space="preserve">물개가 햇살 바위에서 쉬듯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지금 이곳에서 누리는 기쁨과 활력을 뜻하는 카드예요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고민이 있는 날에도 작은 즐거움이 마음을 받쳐 주는 힘이 된다고 말합니다</t>
    </r>
    <r>
      <rPr>
        <sz val="10"/>
        <rFont val="Malgun Gothic"/>
        <family val="0"/>
        <charset val="1"/>
      </rPr>
      <t xml:space="preserve">.</t>
    </r>
  </si>
  <si>
    <t xml:space="preserve">cards.19.reversed.basic.keywords</t>
  </si>
  <si>
    <r>
      <rPr>
        <sz val="10"/>
        <rFont val="Noto Sans CJK SC"/>
        <family val="2"/>
      </rPr>
      <t xml:space="preserve">가려진 기쁨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누리지 못함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웃음 줄어듦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지침</t>
    </r>
  </si>
  <si>
    <t xml:space="preserve">cards.19.reversed.basic.desc</t>
  </si>
  <si>
    <r>
      <rPr>
        <sz val="10"/>
        <rFont val="Noto Sans CJK SC"/>
        <family val="2"/>
      </rPr>
      <t xml:space="preserve">역방향의 햇살 바위는 기쁨이 구름 뒤에 잠시 가려져 있는 상태를 뜻해요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좋은 순간이 와도 마음껏 누리지 못하고 지나칠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좋은 일이 생겨도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이러다 또 안 좋아지겠지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하며 마음껏 기뻐하지 못하는 모습이 여기에 가까워요</t>
    </r>
    <r>
      <rPr>
        <sz val="10"/>
        <rFont val="Malgun Gothic"/>
        <family val="0"/>
        <charset val="1"/>
      </rPr>
      <t xml:space="preserve">.</t>
    </r>
  </si>
  <si>
    <t xml:space="preserve">cards.19.reversed.basic.overview</t>
  </si>
  <si>
    <r>
      <rPr>
        <sz val="10"/>
        <rFont val="Noto Sans CJK SC"/>
        <family val="2"/>
      </rPr>
      <t xml:space="preserve">좋은 순간이 와도 다음 걱정이 먼저 떠올라 기쁨을 뒤로 미뤄 두는 모습이에요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좋은 일이 있어도 그대로 좋다고 느끼기가 어려운 때를 비춥니다</t>
    </r>
    <r>
      <rPr>
        <sz val="10"/>
        <rFont val="Malgun Gothic"/>
        <family val="0"/>
        <charset val="1"/>
      </rPr>
      <t xml:space="preserve">.</t>
    </r>
  </si>
  <si>
    <t xml:space="preserve">cards.20.basic.keywords</t>
  </si>
  <si>
    <r>
      <rPr>
        <sz val="10"/>
        <rFont val="Malgun Gothic"/>
        <family val="0"/>
        <charset val="1"/>
      </rPr>
      <t xml:space="preserve">20 </t>
    </r>
    <r>
      <rPr>
        <sz val="10"/>
        <rFont val="Noto Sans CJK SC"/>
        <family val="2"/>
      </rPr>
      <t xml:space="preserve">부름에 답하다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혹등고래</t>
    </r>
  </si>
  <si>
    <r>
      <rPr>
        <sz val="10"/>
        <rFont val="Noto Sans CJK SC"/>
        <family val="2"/>
      </rPr>
      <t xml:space="preserve">각성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부름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의미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응답</t>
    </r>
  </si>
  <si>
    <t xml:space="preserve">cards.20.basic.desc</t>
  </si>
  <si>
    <r>
      <rPr>
        <sz val="10"/>
        <rFont val="Noto Sans CJK SC"/>
        <family val="2"/>
      </rPr>
      <t xml:space="preserve">부름에 답하다는 마음 깊은 곳의 바람과 새로운 깨달음을 상징하는 카드예요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오래 품어 온 질문에 작은 행동으로 답할 때라는 뜻이에요</t>
    </r>
    <r>
      <rPr>
        <sz val="10"/>
        <rFont val="Malgun Gothic"/>
        <family val="0"/>
        <charset val="1"/>
      </rPr>
      <t xml:space="preserve">. '</t>
    </r>
    <r>
      <rPr>
        <sz val="10"/>
        <rFont val="Noto Sans CJK SC"/>
        <family val="2"/>
      </rPr>
      <t xml:space="preserve">나는 정말 무엇을 원하지</t>
    </r>
    <r>
      <rPr>
        <sz val="10"/>
        <rFont val="Malgun Gothic"/>
        <family val="0"/>
        <charset val="1"/>
      </rPr>
      <t xml:space="preserve">?'</t>
    </r>
    <r>
      <rPr>
        <sz val="10"/>
        <rFont val="Noto Sans CJK SC"/>
        <family val="2"/>
      </rPr>
      <t xml:space="preserve">라는 질문이 다시 떠오를 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거창한 결심보다 오늘 해 볼 수 있는 일 하나를 골라 보라는 카드예요</t>
    </r>
    <r>
      <rPr>
        <sz val="10"/>
        <rFont val="Malgun Gothic"/>
        <family val="0"/>
        <charset val="1"/>
      </rPr>
      <t xml:space="preserve">.</t>
    </r>
  </si>
  <si>
    <t xml:space="preserve">cards.20.basic.overview</t>
  </si>
  <si>
    <r>
      <rPr>
        <sz val="10"/>
        <rFont val="Noto Sans CJK SC"/>
        <family val="2"/>
      </rPr>
      <t xml:space="preserve">혹등고래의 노래처럼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마음 깊은 곳에서 오래 들려온 바람에 귀 기울이게 하는 카드예요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거창한 계획보다 오늘의 작은 선택 안에서 원하는 것이 드러난다는 뜻을 담고 있습니다</t>
    </r>
    <r>
      <rPr>
        <sz val="10"/>
        <rFont val="Malgun Gothic"/>
        <family val="0"/>
        <charset val="1"/>
      </rPr>
      <t xml:space="preserve">.</t>
    </r>
  </si>
  <si>
    <t xml:space="preserve">cards.20.reversed.basic.keywords</t>
  </si>
  <si>
    <r>
      <rPr>
        <sz val="10"/>
        <rFont val="Noto Sans CJK SC"/>
        <family val="2"/>
      </rPr>
      <t xml:space="preserve">망설임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높은 기준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흐릿한 방향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자기 평가</t>
    </r>
  </si>
  <si>
    <t xml:space="preserve">cards.20.reversed.basic.desc</t>
  </si>
  <si>
    <r>
      <rPr>
        <sz val="10"/>
        <rFont val="Noto Sans CJK SC"/>
        <family val="2"/>
      </rPr>
      <t xml:space="preserve">역방향의 부름에 답하다는 마음의 부름에 답하기를 아직 망설이는 상태를 뜻해요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변화가 필요하다고 느끼면서도 첫걸음이 자꾸 뒤로 밀릴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뭔가 바꿔야 할 것 같은데 무엇인지 흐릿하거나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기준이 너무 높아 시작을 미루고 있을 때 자주 나와요</t>
    </r>
    <r>
      <rPr>
        <sz val="10"/>
        <rFont val="Malgun Gothic"/>
        <family val="0"/>
        <charset val="1"/>
      </rPr>
      <t xml:space="preserve">.</t>
    </r>
  </si>
  <si>
    <t xml:space="preserve">cards.20.reversed.basic.overview</t>
  </si>
  <si>
    <r>
      <rPr>
        <sz val="10"/>
        <rFont val="Noto Sans CJK SC"/>
        <family val="2"/>
      </rPr>
      <t xml:space="preserve">바뀌고 싶은 마음은 있지만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기준이 높아 첫걸음이 자꾸 뒤로 밀리는 상태입니다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무엇을 바꿀지 아직 흐릿해서 첫걸음이 막연하게 느껴지는 때를 비춰요</t>
    </r>
    <r>
      <rPr>
        <sz val="10"/>
        <rFont val="Malgun Gothic"/>
        <family val="0"/>
        <charset val="1"/>
      </rPr>
      <t xml:space="preserve">.</t>
    </r>
  </si>
  <si>
    <t xml:space="preserve">cards.21.basic.keywords</t>
  </si>
  <si>
    <r>
      <rPr>
        <sz val="10"/>
        <rFont val="Malgun Gothic"/>
        <family val="0"/>
        <charset val="1"/>
      </rPr>
      <t xml:space="preserve">21 </t>
    </r>
    <r>
      <rPr>
        <sz val="10"/>
        <rFont val="Noto Sans CJK SC"/>
        <family val="2"/>
      </rPr>
      <t xml:space="preserve">한 바퀴의 바다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쏠 바다 친구들 모두</t>
    </r>
  </si>
  <si>
    <r>
      <rPr>
        <sz val="10"/>
        <rFont val="Noto Sans CJK SC"/>
        <family val="2"/>
      </rPr>
      <t xml:space="preserve">완성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통합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감사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한 바퀴</t>
    </r>
  </si>
  <si>
    <t xml:space="preserve">cards.21.basic.desc</t>
  </si>
  <si>
    <r>
      <rPr>
        <sz val="10"/>
        <rFont val="Noto Sans CJK SC"/>
        <family val="2"/>
      </rPr>
      <t xml:space="preserve">한 바퀴의 바다는 여정의 완성과 통합을 상징하는 카드입니다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지금까지 걸어온 시간 전체가 하나의 의미로 모인다는 뜻이에요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한 프로젝트나 한 시기를 마무리할 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바로 다음으로 넘어가기 전에 여기까지 온 나를 축하해 보라고 말해 줍니다</t>
    </r>
    <r>
      <rPr>
        <sz val="10"/>
        <rFont val="Malgun Gothic"/>
        <family val="0"/>
        <charset val="1"/>
      </rPr>
      <t xml:space="preserve">.</t>
    </r>
  </si>
  <si>
    <t xml:space="preserve">cards.21.basic.overview</t>
  </si>
  <si>
    <r>
      <rPr>
        <sz val="10"/>
        <rFont val="Noto Sans CJK SC"/>
        <family val="2"/>
      </rPr>
      <t xml:space="preserve">바다 친구들이 모두 모여 한 바퀴를 마치듯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하나의 여정을 마무리하는 완성의 카드입니다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다음으로 넘어가기 전에 여기까지 온 과정을 알아보는 일이 마무리의 일부라고 말해요</t>
    </r>
    <r>
      <rPr>
        <sz val="10"/>
        <rFont val="Malgun Gothic"/>
        <family val="0"/>
        <charset val="1"/>
      </rPr>
      <t xml:space="preserve">.</t>
    </r>
  </si>
  <si>
    <t xml:space="preserve">cards.21.reversed.basic.keywords</t>
  </si>
  <si>
    <r>
      <rPr>
        <sz val="10"/>
        <rFont val="Noto Sans CJK SC"/>
        <family val="2"/>
      </rPr>
      <t xml:space="preserve">마무리 남음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완벽 미루기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아쉬움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마지막 걸음</t>
    </r>
  </si>
  <si>
    <t xml:space="preserve">cards.21.reversed.basic.desc</t>
  </si>
  <si>
    <r>
      <rPr>
        <sz val="10"/>
        <rFont val="Noto Sans CJK SC"/>
        <family val="2"/>
      </rPr>
      <t xml:space="preserve">역방향의 한 바퀴의 바다는 한 바퀴를 거의 다 돌았지만 마무리가 남아 있는 상태를 뜻해요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완벽하게 끝내려는 마음이 마지막 한 걸음을 무겁게 할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거의 다 왔는데 완벽하게 끝내고 싶어서 마무리를 계속 미루고 있을 때 떠올려 보면 좋아요</t>
    </r>
    <r>
      <rPr>
        <sz val="10"/>
        <rFont val="Malgun Gothic"/>
        <family val="0"/>
        <charset val="1"/>
      </rPr>
      <t xml:space="preserve">.</t>
    </r>
  </si>
  <si>
    <t xml:space="preserve">cards.21.reversed.basic.overview</t>
  </si>
  <si>
    <r>
      <rPr>
        <sz val="10"/>
        <rFont val="Noto Sans CJK SC"/>
        <family val="2"/>
      </rPr>
      <t xml:space="preserve">거의 다 왔지만 완벽하게 끝내고 싶은 마음에 마지막 한 걸음을 미루는 때입니다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아쉬움이 남는 마무리도 충분한 매듭이 될 수 있다는 것을 비춰요</t>
    </r>
    <r>
      <rPr>
        <sz val="10"/>
        <rFont val="Malgun Gothic"/>
        <family val="0"/>
        <charset val="1"/>
      </rPr>
      <t xml:space="preserve">.</t>
    </r>
  </si>
  <si>
    <t xml:space="preserve">cards.0.frag.now</t>
  </si>
  <si>
    <r>
      <rPr>
        <sz val="10"/>
        <rFont val="Noto Sans CJK SC"/>
        <family val="2"/>
      </rPr>
      <t xml:space="preserve">지나온 길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정방향 조각</t>
    </r>
  </si>
  <si>
    <t xml:space="preserve">조용히 키워 온 호기심</t>
  </si>
  <si>
    <t xml:space="preserve">cards.0.frag.hold</t>
  </si>
  <si>
    <r>
      <rPr>
        <sz val="10"/>
        <rFont val="Noto Sans CJK SC"/>
        <family val="2"/>
      </rPr>
      <t xml:space="preserve">지금의 흐름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정방향 조각</t>
    </r>
  </si>
  <si>
    <t xml:space="preserve">시작을 앞둔 들뜬 마음</t>
  </si>
  <si>
    <t xml:space="preserve">cards.0.frag.step</t>
  </si>
  <si>
    <r>
      <rPr>
        <sz val="10"/>
        <rFont val="Noto Sans CJK SC"/>
        <family val="2"/>
      </rPr>
      <t xml:space="preserve">앞으로의 열쇠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정방향 조각</t>
    </r>
  </si>
  <si>
    <t xml:space="preserve">가볍게 내딛는 첫발</t>
  </si>
  <si>
    <t xml:space="preserve">cards.0.reversed.frag.now</t>
  </si>
  <si>
    <r>
      <rPr>
        <sz val="10"/>
        <rFont val="Noto Sans CJK SC"/>
        <family val="2"/>
      </rPr>
      <t xml:space="preserve">지나온 길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역방향 조각</t>
    </r>
  </si>
  <si>
    <t xml:space="preserve">준비만 거듭해 온 시간</t>
  </si>
  <si>
    <t xml:space="preserve">cards.0.reversed.frag.hold</t>
  </si>
  <si>
    <r>
      <rPr>
        <sz val="10"/>
        <rFont val="Noto Sans CJK SC"/>
        <family val="2"/>
      </rPr>
      <t xml:space="preserve">지금의 흐름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역방향 조각</t>
    </r>
  </si>
  <si>
    <t xml:space="preserve">첫발 앞의 머뭇거림</t>
  </si>
  <si>
    <t xml:space="preserve">cards.0.reversed.frag.step</t>
  </si>
  <si>
    <r>
      <rPr>
        <sz val="10"/>
        <rFont val="Noto Sans CJK SC"/>
        <family val="2"/>
      </rPr>
      <t xml:space="preserve">앞으로의 열쇠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역방향 조각</t>
    </r>
  </si>
  <si>
    <t xml:space="preserve">서툴러도 괜찮은 시작</t>
  </si>
  <si>
    <t xml:space="preserve">cards.1.frag.now</t>
  </si>
  <si>
    <t xml:space="preserve">직접 부딪쳐 쌓아 온 경험</t>
  </si>
  <si>
    <t xml:space="preserve">cards.1.frag.hold</t>
  </si>
  <si>
    <t xml:space="preserve">해 볼 준비가 된 손</t>
  </si>
  <si>
    <t xml:space="preserve">cards.1.frag.step</t>
  </si>
  <si>
    <t xml:space="preserve">내 손에 있는 자원</t>
  </si>
  <si>
    <t xml:space="preserve">cards.1.reversed.frag.now</t>
  </si>
  <si>
    <t xml:space="preserve">한꺼번에 붙잡아 온 일들</t>
  </si>
  <si>
    <t xml:space="preserve">cards.1.reversed.frag.hold</t>
  </si>
  <si>
    <t xml:space="preserve">여러 갈래로 흩어진 힘</t>
  </si>
  <si>
    <t xml:space="preserve">cards.1.reversed.frag.step</t>
  </si>
  <si>
    <t xml:space="preserve">한곳에 모은 힘</t>
  </si>
  <si>
    <t xml:space="preserve">cards.2.frag.now</t>
  </si>
  <si>
    <t xml:space="preserve">속으로 헤아려 온 마음</t>
  </si>
  <si>
    <t xml:space="preserve">cards.2.frag.hold</t>
  </si>
  <si>
    <t xml:space="preserve">말로 정리되지 않은 느낌</t>
  </si>
  <si>
    <t xml:space="preserve">cards.2.frag.step</t>
  </si>
  <si>
    <t xml:space="preserve">내 안의 작은 목소리</t>
  </si>
  <si>
    <t xml:space="preserve">cards.2.reversed.frag.now</t>
  </si>
  <si>
    <t xml:space="preserve">정보를 모으며 미뤄 온 결정</t>
  </si>
  <si>
    <t xml:space="preserve">cards.2.reversed.frag.hold</t>
  </si>
  <si>
    <t xml:space="preserve">생각에 가려진 직감</t>
  </si>
  <si>
    <t xml:space="preserve">cards.2.reversed.frag.step</t>
  </si>
  <si>
    <t xml:space="preserve">바깥 소리를 줄인 고요</t>
  </si>
  <si>
    <t xml:space="preserve">cards.3.frag.now</t>
  </si>
  <si>
    <t xml:space="preserve">남을 먼저 챙겨 온 손길</t>
  </si>
  <si>
    <t xml:space="preserve">cards.3.frag.hold</t>
  </si>
  <si>
    <t xml:space="preserve">나에게 돌아오지 않는 돌봄</t>
  </si>
  <si>
    <t xml:space="preserve">cards.3.frag.step</t>
  </si>
  <si>
    <t xml:space="preserve">나에게도 건네는 다정함</t>
  </si>
  <si>
    <t xml:space="preserve">cards.3.reversed.frag.now</t>
  </si>
  <si>
    <t xml:space="preserve">주기만 해 온 시간</t>
  </si>
  <si>
    <t xml:space="preserve">cards.3.reversed.frag.hold</t>
  </si>
  <si>
    <t xml:space="preserve">점점 줄어드는 여유</t>
  </si>
  <si>
    <t xml:space="preserve">cards.3.reversed.frag.step</t>
  </si>
  <si>
    <t xml:space="preserve">편하게 받는 연습</t>
  </si>
  <si>
    <t xml:space="preserve">cards.4.frag.now</t>
  </si>
  <si>
    <t xml:space="preserve">혼자 다 짊어져 온 시간</t>
  </si>
  <si>
    <t xml:space="preserve">cards.4.frag.hold</t>
  </si>
  <si>
    <t xml:space="preserve">쉬어도 풀리지 않는 긴장</t>
  </si>
  <si>
    <t xml:space="preserve">cards.4.frag.step</t>
  </si>
  <si>
    <t xml:space="preserve">나눠 지는 힘</t>
  </si>
  <si>
    <t xml:space="preserve">cards.4.reversed.frag.now</t>
  </si>
  <si>
    <t xml:space="preserve">촘촘한 계획으로 버텨 온 날들</t>
  </si>
  <si>
    <t xml:space="preserve">cards.4.reversed.frag.hold</t>
  </si>
  <si>
    <t xml:space="preserve">놓지 못하는 통제</t>
  </si>
  <si>
    <t xml:space="preserve">cards.4.reversed.frag.step</t>
  </si>
  <si>
    <t xml:space="preserve">한 가지만 지키는 여유</t>
  </si>
  <si>
    <t xml:space="preserve">cards.5.frag.now</t>
  </si>
  <si>
    <t xml:space="preserve">혼자 오래 붙든 고민</t>
  </si>
  <si>
    <t xml:space="preserve">cards.5.frag.hold</t>
  </si>
  <si>
    <t xml:space="preserve">혼자 끌어안은 무게</t>
  </si>
  <si>
    <t xml:space="preserve">cards.5.frag.step</t>
  </si>
  <si>
    <t xml:space="preserve">믿고 기댈 수 있는 배움</t>
  </si>
  <si>
    <t xml:space="preserve">cards.5.reversed.frag.now</t>
  </si>
  <si>
    <t xml:space="preserve">남의 방식에 맞춰 온 시간</t>
  </si>
  <si>
    <t xml:space="preserve">cards.5.reversed.frag.hold</t>
  </si>
  <si>
    <t xml:space="preserve">묻지 못한 채 쌓인 고민</t>
  </si>
  <si>
    <t xml:space="preserve">cards.5.reversed.frag.step</t>
  </si>
  <si>
    <t xml:space="preserve">있는 그대로 말할 수 있는 곳</t>
  </si>
  <si>
    <t xml:space="preserve">cards.6.frag.now</t>
  </si>
  <si>
    <t xml:space="preserve">남의 기대에 맞춰 온 선택</t>
  </si>
  <si>
    <t xml:space="preserve">cards.6.frag.hold</t>
  </si>
  <si>
    <t xml:space="preserve">두 마음 사이의 망설임</t>
  </si>
  <si>
    <t xml:space="preserve">cards.6.frag.step</t>
  </si>
  <si>
    <t xml:space="preserve">내 가치와 나란한 선택</t>
  </si>
  <si>
    <t xml:space="preserve">cards.6.reversed.frag.now</t>
  </si>
  <si>
    <t xml:space="preserve">반응부터 살펴 온 시간</t>
  </si>
  <si>
    <t xml:space="preserve">cards.6.reversed.frag.hold</t>
  </si>
  <si>
    <t xml:space="preserve">짐작만 쌓이는 엇갈림</t>
  </si>
  <si>
    <t xml:space="preserve">cards.6.reversed.frag.step</t>
  </si>
  <si>
    <t xml:space="preserve">내 진심을 아는 힘</t>
  </si>
  <si>
    <t xml:space="preserve">cards.7.frag.now</t>
  </si>
  <si>
    <t xml:space="preserve">쉬지 않고 밀고 온 시간</t>
  </si>
  <si>
    <t xml:space="preserve">cards.7.frag.hold</t>
  </si>
  <si>
    <t xml:space="preserve">여러 갈래로 흩어지는 힘</t>
  </si>
  <si>
    <t xml:space="preserve">cards.7.frag.step</t>
  </si>
  <si>
    <t xml:space="preserve">흐름을 타는 한 방향</t>
  </si>
  <si>
    <t xml:space="preserve">cards.7.reversed.frag.now</t>
  </si>
  <si>
    <t xml:space="preserve">멈추지 못하고 달려온 시간</t>
  </si>
  <si>
    <t xml:space="preserve">cards.7.reversed.frag.hold</t>
  </si>
  <si>
    <t xml:space="preserve">제자리를 맴도는 조급함</t>
  </si>
  <si>
    <t xml:space="preserve">cards.7.reversed.frag.step</t>
  </si>
  <si>
    <t xml:space="preserve">다시 정한 한 방향</t>
  </si>
  <si>
    <t xml:space="preserve">cards.8.frag.now</t>
  </si>
  <si>
    <t xml:space="preserve">말없이 품어 온 불편함</t>
  </si>
  <si>
    <t xml:space="preserve">cards.8.frag.hold</t>
  </si>
  <si>
    <t xml:space="preserve">밀어낼수록 커지는 마음</t>
  </si>
  <si>
    <t xml:space="preserve">cards.8.frag.step</t>
  </si>
  <si>
    <t xml:space="preserve">감정을 곁에 두는 힘</t>
  </si>
  <si>
    <t xml:space="preserve">cards.8.reversed.frag.now</t>
  </si>
  <si>
    <t xml:space="preserve">혼자 꾹 참아 온 시간</t>
  </si>
  <si>
    <t xml:space="preserve">cards.8.reversed.frag.hold</t>
  </si>
  <si>
    <t xml:space="preserve">버거운 줄 모르는 지침</t>
  </si>
  <si>
    <t xml:space="preserve">cards.8.reversed.frag.step</t>
  </si>
  <si>
    <t xml:space="preserve">꺼내어 나누는 힘</t>
  </si>
  <si>
    <t xml:space="preserve">cards.9.frag.now</t>
  </si>
  <si>
    <t xml:space="preserve">혼자 생각을 정리해 온 시간</t>
  </si>
  <si>
    <t xml:space="preserve">cards.9.frag.hold</t>
  </si>
  <si>
    <t xml:space="preserve">쉼인지 외로움인지 모를 마음</t>
  </si>
  <si>
    <t xml:space="preserve">cards.9.frag.step</t>
  </si>
  <si>
    <t xml:space="preserve">등불 하나를 켠 고요</t>
  </si>
  <si>
    <t xml:space="preserve">cards.9.reversed.frag.now</t>
  </si>
  <si>
    <t xml:space="preserve">안으로 숨어 온 시간</t>
  </si>
  <si>
    <t xml:space="preserve">cards.9.reversed.frag.hold</t>
  </si>
  <si>
    <t xml:space="preserve">점점 넓어지는 거리</t>
  </si>
  <si>
    <t xml:space="preserve">cards.9.reversed.frag.step</t>
  </si>
  <si>
    <t xml:space="preserve">다시 이어지는 한 사람</t>
  </si>
  <si>
    <t xml:space="preserve">cards.10.frag.now</t>
  </si>
  <si>
    <t xml:space="preserve">바뀌는 물살 속의 적응</t>
  </si>
  <si>
    <t xml:space="preserve">cards.10.frag.hold</t>
  </si>
  <si>
    <t xml:space="preserve">변화 앞에서 흔들리는 마음</t>
  </si>
  <si>
    <t xml:space="preserve">cards.10.frag.step</t>
  </si>
  <si>
    <t xml:space="preserve">물살 속에서 고르는 방향</t>
  </si>
  <si>
    <t xml:space="preserve">cards.10.reversed.frag.now</t>
  </si>
  <si>
    <t xml:space="preserve">익숙한 자리를 지켜 온 버팀</t>
  </si>
  <si>
    <t xml:space="preserve">cards.10.reversed.frag.hold</t>
  </si>
  <si>
    <t xml:space="preserve">예전을 붙잡는 마음</t>
  </si>
  <si>
    <t xml:space="preserve">cards.10.reversed.frag.step</t>
  </si>
  <si>
    <t xml:space="preserve">새 흐름에 내딛는 발걸음</t>
  </si>
  <si>
    <t xml:space="preserve">cards.11.frag.now</t>
  </si>
  <si>
    <t xml:space="preserve">옳고 그름을 따져 온 시간</t>
  </si>
  <si>
    <t xml:space="preserve">cards.11.frag.hold</t>
  </si>
  <si>
    <t xml:space="preserve">쉬지 못하는 저울질</t>
  </si>
  <si>
    <t xml:space="preserve">cards.11.frag.step</t>
  </si>
  <si>
    <t xml:space="preserve">사실과 해석을 가르는 눈</t>
  </si>
  <si>
    <t xml:space="preserve">cards.11.reversed.frag.now</t>
  </si>
  <si>
    <t xml:space="preserve">나부터 탓해 온 시간</t>
  </si>
  <si>
    <t xml:space="preserve">cards.11.reversed.frag.hold</t>
  </si>
  <si>
    <t xml:space="preserve">나에게만 엄격한 저울</t>
  </si>
  <si>
    <t xml:space="preserve">cards.11.reversed.frag.step</t>
  </si>
  <si>
    <t xml:space="preserve">나에게도 너그러운 기준</t>
  </si>
  <si>
    <t xml:space="preserve">cards.12.frag.now</t>
  </si>
  <si>
    <t xml:space="preserve">멈추지 않고 달려 온 시간</t>
  </si>
  <si>
    <t xml:space="preserve">cards.12.frag.hold</t>
  </si>
  <si>
    <t xml:space="preserve">멈춤을 바라는 몸과 마음</t>
  </si>
  <si>
    <t xml:space="preserve">cards.12.frag.step</t>
  </si>
  <si>
    <t xml:space="preserve">쉬어 가며 넓어지는 시야</t>
  </si>
  <si>
    <t xml:space="preserve">cards.12.reversed.frag.now</t>
  </si>
  <si>
    <t xml:space="preserve">쉬면서도 나를 탓해 온 시간</t>
  </si>
  <si>
    <t xml:space="preserve">cards.12.reversed.frag.hold</t>
  </si>
  <si>
    <t xml:space="preserve">쉬지도 움직이지도 못하는 상태</t>
  </si>
  <si>
    <t xml:space="preserve">cards.12.reversed.frag.step</t>
  </si>
  <si>
    <t xml:space="preserve">죄책감 없는 온전한 쉼</t>
  </si>
  <si>
    <t xml:space="preserve">cards.13.frag.now</t>
  </si>
  <si>
    <t xml:space="preserve">익숙한 껍데기를 지켜 온 시간</t>
  </si>
  <si>
    <t xml:space="preserve">cards.13.frag.hold</t>
  </si>
  <si>
    <t xml:space="preserve">끝과 시작 사이의 어수선함</t>
  </si>
  <si>
    <t xml:space="preserve">cards.13.frag.step</t>
  </si>
  <si>
    <t xml:space="preserve">고맙게 보내 주는 마무리</t>
  </si>
  <si>
    <t xml:space="preserve">cards.13.reversed.frag.now</t>
  </si>
  <si>
    <t xml:space="preserve">변화를 미뤄 온 시간</t>
  </si>
  <si>
    <t xml:space="preserve">cards.13.reversed.frag.hold</t>
  </si>
  <si>
    <t xml:space="preserve">놓지 못하는 익숙함</t>
  </si>
  <si>
    <t xml:space="preserve">cards.13.reversed.frag.step</t>
  </si>
  <si>
    <t xml:space="preserve">천천히 놓아 주는 용기</t>
  </si>
  <si>
    <t xml:space="preserve">cards.14.frag.now</t>
  </si>
  <si>
    <t xml:space="preserve">두 쪽을 함께 챙겨 온 시간</t>
  </si>
  <si>
    <t xml:space="preserve">cards.14.frag.hold</t>
  </si>
  <si>
    <t xml:space="preserve">둘 사이에서 멈춘 마음</t>
  </si>
  <si>
    <t xml:space="preserve">cards.14.frag.step</t>
  </si>
  <si>
    <t xml:space="preserve">나에게 알맞은 비율</t>
  </si>
  <si>
    <t xml:space="preserve">cards.14.reversed.frag.now</t>
  </si>
  <si>
    <t xml:space="preserve">한쪽에 쏟아 온 시간</t>
  </si>
  <si>
    <t xml:space="preserve">cards.14.reversed.frag.hold</t>
  </si>
  <si>
    <t xml:space="preserve">한쪽으로 기운 하루</t>
  </si>
  <si>
    <t xml:space="preserve">cards.14.reversed.frag.step</t>
  </si>
  <si>
    <t xml:space="preserve">다시 맞춰 가는 중간</t>
  </si>
  <si>
    <t xml:space="preserve">cards.15.frag.now</t>
  </si>
  <si>
    <t xml:space="preserve">습관으로 나를 지켜 온 시간</t>
  </si>
  <si>
    <t xml:space="preserve">cards.15.frag.hold</t>
  </si>
  <si>
    <t xml:space="preserve">잔뜩 날이 선 마음</t>
  </si>
  <si>
    <t xml:space="preserve">cards.15.frag.step</t>
  </si>
  <si>
    <t xml:space="preserve">부풀어 오름을 알아차리는 눈</t>
  </si>
  <si>
    <t xml:space="preserve">cards.15.reversed.frag.now</t>
  </si>
  <si>
    <t xml:space="preserve">가시를 조금씩 내려 온 시간</t>
  </si>
  <si>
    <t xml:space="preserve">cards.15.reversed.frag.hold</t>
  </si>
  <si>
    <t xml:space="preserve">가라앉는 중인 마음</t>
  </si>
  <si>
    <t xml:space="preserve">cards.15.reversed.frag.step</t>
  </si>
  <si>
    <t xml:space="preserve">새 습관이 자리 잡는 시간</t>
  </si>
  <si>
    <t xml:space="preserve">cards.16.frag.now</t>
  </si>
  <si>
    <t xml:space="preserve">계획을 믿고 쌓아 온 시간</t>
  </si>
  <si>
    <t xml:space="preserve">cards.16.frag.hold</t>
  </si>
  <si>
    <t xml:space="preserve">무너진 자리 앞의 막막함</t>
  </si>
  <si>
    <t xml:space="preserve">cards.16.frag.step</t>
  </si>
  <si>
    <t xml:space="preserve">남은 기둥에서 다시 쌓는 힘</t>
  </si>
  <si>
    <t xml:space="preserve">cards.16.reversed.frag.now</t>
  </si>
  <si>
    <t xml:space="preserve">괜찮은 척 버텨 온 시간</t>
  </si>
  <si>
    <t xml:space="preserve">cards.16.reversed.frag.hold</t>
  </si>
  <si>
    <t xml:space="preserve">다시 무너질까 하는 걱정</t>
  </si>
  <si>
    <t xml:space="preserve">cards.16.reversed.frag.step</t>
  </si>
  <si>
    <t xml:space="preserve">작은 한 조각의 시작</t>
  </si>
  <si>
    <t xml:space="preserve">cards.17.frag.now</t>
  </si>
  <si>
    <t xml:space="preserve">묵묵히 버텨 온 시간</t>
  </si>
  <si>
    <t xml:space="preserve">cards.17.frag.hold</t>
  </si>
  <si>
    <t xml:space="preserve">작아 보이는 회복</t>
  </si>
  <si>
    <t xml:space="preserve">cards.17.frag.step</t>
  </si>
  <si>
    <t xml:space="preserve">작은 나아짐을 알아보는 눈</t>
  </si>
  <si>
    <t xml:space="preserve">cards.17.reversed.frag.now</t>
  </si>
  <si>
    <t xml:space="preserve">스스로를 재촉해 온 날들</t>
  </si>
  <si>
    <t xml:space="preserve">cards.17.reversed.frag.hold</t>
  </si>
  <si>
    <t xml:space="preserve">느껴지지 않는 나아짐</t>
  </si>
  <si>
    <t xml:space="preserve">cards.17.reversed.frag.step</t>
  </si>
  <si>
    <t xml:space="preserve">속도보다 방향을 보는 마음</t>
  </si>
  <si>
    <t xml:space="preserve">cards.18.frag.now</t>
  </si>
  <si>
    <t xml:space="preserve">답을 기다리며 그려 온 장면들</t>
  </si>
  <si>
    <t xml:space="preserve">cards.18.frag.hold</t>
  </si>
  <si>
    <t xml:space="preserve">실제보다 커진 걱정</t>
  </si>
  <si>
    <t xml:space="preserve">cards.18.frag.step</t>
  </si>
  <si>
    <t xml:space="preserve">지금 보이는 만큼의 길</t>
  </si>
  <si>
    <t xml:space="preserve">cards.18.reversed.frag.now</t>
  </si>
  <si>
    <t xml:space="preserve">하나씩 짚어 온 걱정</t>
  </si>
  <si>
    <t xml:space="preserve">cards.18.reversed.frag.hold</t>
  </si>
  <si>
    <t xml:space="preserve">남은 물음표에 대한 예민함</t>
  </si>
  <si>
    <t xml:space="preserve">cards.18.reversed.frag.step</t>
  </si>
  <si>
    <t xml:space="preserve">이미 보이기 시작한 길</t>
  </si>
  <si>
    <t xml:space="preserve">cards.19.frag.now</t>
  </si>
  <si>
    <t xml:space="preserve">고민 속에서도 지켜 온 웃음</t>
  </si>
  <si>
    <t xml:space="preserve">cards.19.frag.hold</t>
  </si>
  <si>
    <t xml:space="preserve">고민 곁에 살아 있는 기쁨</t>
  </si>
  <si>
    <t xml:space="preserve">cards.19.frag.step</t>
  </si>
  <si>
    <t xml:space="preserve">좋은 순간을 충분히 누리는 힘</t>
  </si>
  <si>
    <t xml:space="preserve">cards.19.reversed.frag.now</t>
  </si>
  <si>
    <t xml:space="preserve">뒤로 미뤄 둔 기쁨</t>
  </si>
  <si>
    <t xml:space="preserve">cards.19.reversed.frag.hold</t>
  </si>
  <si>
    <t xml:space="preserve">누리지 못하고 지나치는 순간</t>
  </si>
  <si>
    <t xml:space="preserve">cards.19.reversed.frag.step</t>
  </si>
  <si>
    <t xml:space="preserve">찾아온 기쁨을 받아들이는 마음</t>
  </si>
  <si>
    <t xml:space="preserve">cards.20.frag.now</t>
  </si>
  <si>
    <t xml:space="preserve">오래 미뤄 둔 마음속 바람</t>
  </si>
  <si>
    <t xml:space="preserve">cards.20.frag.hold</t>
  </si>
  <si>
    <t xml:space="preserve">다시 커지는 나에 대한 물음</t>
  </si>
  <si>
    <t xml:space="preserve">cards.20.frag.step</t>
  </si>
  <si>
    <t xml:space="preserve">나에게 중요한 가치</t>
  </si>
  <si>
    <t xml:space="preserve">cards.20.reversed.frag.now</t>
  </si>
  <si>
    <t xml:space="preserve">높은 기준 앞에서 미룬 첫걸음</t>
  </si>
  <si>
    <t xml:space="preserve">cards.20.reversed.frag.hold</t>
  </si>
  <si>
    <t xml:space="preserve">평가에 가려진 방향</t>
  </si>
  <si>
    <t xml:space="preserve">cards.20.reversed.frag.step</t>
  </si>
  <si>
    <t xml:space="preserve">기준보다 끌림을 따르는 마음</t>
  </si>
  <si>
    <t xml:space="preserve">cards.21.frag.now</t>
  </si>
  <si>
    <t xml:space="preserve">차근차근 채워 온 한 바퀴</t>
  </si>
  <si>
    <t xml:space="preserve">cards.21.frag.hold</t>
  </si>
  <si>
    <t xml:space="preserve">돌아볼 틈 없는 마무리</t>
  </si>
  <si>
    <t xml:space="preserve">cards.21.frag.step</t>
  </si>
  <si>
    <t xml:space="preserve">지나온 여정을 돌아보는 마음</t>
  </si>
  <si>
    <t xml:space="preserve">cards.21.reversed.frag.now</t>
  </si>
  <si>
    <t xml:space="preserve">완벽을 기다리며 미룬 마무리</t>
  </si>
  <si>
    <t xml:space="preserve">cards.21.reversed.frag.hold</t>
  </si>
  <si>
    <t xml:space="preserve">유난히 무거운 마지막 걸음</t>
  </si>
  <si>
    <t xml:space="preserve">cards.21.reversed.frag.step</t>
  </si>
  <si>
    <t xml:space="preserve">완벽보다 완료</t>
  </si>
  <si>
    <r>
      <rPr>
        <sz val="10"/>
        <rFont val="Noto Sans CJK SC"/>
        <family val="2"/>
      </rPr>
      <t xml:space="preserve">지나온 길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정방향</t>
    </r>
  </si>
  <si>
    <r>
      <rPr>
        <sz val="10"/>
        <rFont val="Noto Sans CJK SC"/>
        <family val="2"/>
      </rPr>
      <t xml:space="preserve">그동안 마음 한쪽에서 새로 해 보고 싶은 일을 조용히 키워 왔을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호기심이 지금의 고민을 시작하게 했고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움직이고 싶은 힘도 아직 살아 있어요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</si>
  <si>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[Claude </t>
    </r>
    <r>
      <rPr>
        <sz val="10"/>
        <rFont val="Noto Sans CJK SC"/>
        <family val="2"/>
      </rPr>
      <t xml:space="preserve">점검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고침</t>
    </r>
    <r>
      <rPr>
        <sz val="10"/>
        <rFont val="Malgun Gothic"/>
        <family val="0"/>
        <charset val="1"/>
      </rPr>
      <t xml:space="preserve">] '</t>
    </r>
    <r>
      <rPr>
        <sz val="10"/>
        <rFont val="Noto Sans CJK SC"/>
        <family val="2"/>
      </rPr>
      <t xml:space="preserve">당신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사용 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전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마음 한쪽에 새로 시작하고 싶은 무언가가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아직 이름을 붙이지 못했을 수 있지만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지금 당신 안에 움직이고 싶은 에너지가 살아 있다는 뜻으로 읽을 수 있어요</t>
    </r>
    <r>
      <rPr>
        <sz val="10"/>
        <rFont val="Malgun Gothic"/>
        <family val="0"/>
        <charset val="1"/>
      </rPr>
      <t xml:space="preserve">.)</t>
    </r>
  </si>
  <si>
    <t xml:space="preserve">cards.0.positions.hold</t>
  </si>
  <si>
    <r>
      <rPr>
        <sz val="10"/>
        <rFont val="Noto Sans CJK SC"/>
        <family val="2"/>
      </rPr>
      <t xml:space="preserve">지금의 흐름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정방향</t>
    </r>
  </si>
  <si>
    <r>
      <rPr>
        <sz val="10"/>
        <rFont val="Noto Sans CJK SC"/>
        <family val="2"/>
      </rPr>
      <t xml:space="preserve">지금은 새로 시작하고 싶은 마음이 커서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익숙한 일상이 조금 답답하게 느껴질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이대로라면 생각만 많아지고 실제 첫발은 계속 다음으로 밀리기 쉽습니다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</si>
  <si>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앞으로의 열쇠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정방향</t>
    </r>
  </si>
  <si>
    <r>
      <rPr>
        <sz val="10"/>
        <rFont val="Noto Sans CJK SC"/>
        <family val="2"/>
      </rPr>
      <t xml:space="preserve">앞으로는 결과보다 일단 해 보는 경험 자체에 마음을 두세요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잘해야 한다는 기준이 내려가면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시작하는 일이 훨씬 가볍고 즐거워집니다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</si>
  <si>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[Claude </t>
    </r>
    <r>
      <rPr>
        <sz val="10"/>
        <rFont val="Noto Sans CJK SC"/>
        <family val="2"/>
      </rPr>
      <t xml:space="preserve">점검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고침</t>
    </r>
    <r>
      <rPr>
        <sz val="10"/>
        <rFont val="Malgun Gothic"/>
        <family val="0"/>
        <charset val="1"/>
      </rPr>
      <t xml:space="preserve">] '</t>
    </r>
    <r>
      <rPr>
        <sz val="10"/>
        <rFont val="Noto Sans CJK SC"/>
        <family val="2"/>
      </rPr>
      <t xml:space="preserve">발끝으로 대 보듯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어색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대다는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을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를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목적어</t>
    </r>
    <r>
      <rPr>
        <sz val="10"/>
        <rFont val="Malgun Gothic"/>
        <family val="0"/>
        <charset val="1"/>
      </rPr>
      <t xml:space="preserve">) (</t>
    </r>
    <r>
      <rPr>
        <sz val="10"/>
        <rFont val="Noto Sans CJK SC"/>
        <family val="2"/>
      </rPr>
      <t xml:space="preserve">전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결과보다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해 보는 것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자체를 목표로 삼아 보세요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수달이 물이 차가운지 발끝으로 먼저 대 보듯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아주 작게 한 번 시도해 보는 거예요</t>
    </r>
    <r>
      <rPr>
        <sz val="10"/>
        <rFont val="Malgun Gothic"/>
        <family val="0"/>
        <charset val="1"/>
      </rPr>
      <t xml:space="preserve">.)</t>
    </r>
  </si>
  <si>
    <t xml:space="preserve">cards.0.reversed.positions.now</t>
  </si>
  <si>
    <r>
      <rPr>
        <sz val="10"/>
        <rFont val="Noto Sans CJK SC"/>
        <family val="2"/>
      </rPr>
      <t xml:space="preserve">지나온 길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역방향</t>
    </r>
  </si>
  <si>
    <r>
      <rPr>
        <sz val="10"/>
        <rFont val="Noto Sans CJK SC"/>
        <family val="2"/>
      </rPr>
      <t xml:space="preserve">그동안 해 보고 싶은 일이 생겨도 준비가 더 되면 하자며 첫발을 미뤄 왔을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신중한 덕분에 큰 실수는 피했지만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시작하고 싶은 마음은 조금씩 식어 왔어요</t>
    </r>
    <r>
      <rPr>
        <sz val="10"/>
        <rFont val="Malgun Gothic"/>
        <family val="0"/>
        <charset val="1"/>
      </rPr>
      <t xml:space="preserve">.</t>
    </r>
  </si>
  <si>
    <t xml:space="preserve">cards.0.reversed.positions.hold</t>
  </si>
  <si>
    <r>
      <rPr>
        <sz val="10"/>
        <rFont val="Noto Sans CJK SC"/>
        <family val="2"/>
      </rPr>
      <t xml:space="preserve">지금의 흐름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역방향</t>
    </r>
  </si>
  <si>
    <r>
      <rPr>
        <sz val="10"/>
        <rFont val="Noto Sans CJK SC"/>
        <family val="2"/>
      </rPr>
      <t xml:space="preserve">지금은 실패할까 하는 걱정이 커서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마음은 앞으로 가고 싶은데 몸은 머뭇거리고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이대로라면 기회가 와도 준비가 덜 됐다는 이유로 그냥 지나치기 쉽습니다</t>
    </r>
    <r>
      <rPr>
        <sz val="10"/>
        <rFont val="Malgun Gothic"/>
        <family val="0"/>
        <charset val="1"/>
      </rPr>
      <t xml:space="preserve">.</t>
    </r>
  </si>
  <si>
    <t xml:space="preserve">cards.0.reversed.positions.step</t>
  </si>
  <si>
    <r>
      <rPr>
        <sz val="10"/>
        <rFont val="Noto Sans CJK SC"/>
        <family val="2"/>
      </rPr>
      <t xml:space="preserve">앞으로의 열쇠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역방향</t>
    </r>
  </si>
  <si>
    <r>
      <rPr>
        <sz val="10"/>
        <rFont val="Noto Sans CJK SC"/>
        <family val="2"/>
      </rPr>
      <t xml:space="preserve">앞으로는 잘 해내는 것보다 작게라도 시작하는 데 마음을 두세요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기준을 낮추면 미뤄 둔 마음이 다시 움직이고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시작이 덜 무서워집니다</t>
    </r>
    <r>
      <rPr>
        <sz val="10"/>
        <rFont val="Malgun Gothic"/>
        <family val="0"/>
        <charset val="1"/>
      </rPr>
      <t xml:space="preserve">.</t>
    </r>
  </si>
  <si>
    <t xml:space="preserve">cards.1.positions.now</t>
  </si>
  <si>
    <r>
      <rPr>
        <sz val="10"/>
        <rFont val="Noto Sans CJK SC"/>
        <family val="2"/>
      </rPr>
      <t xml:space="preserve">그동안 필요한 일이 생기면 이것저것 직접 해 보며 스스로 길을 만들어 왔을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실행력이 많은 경험과 기술을 남겼지만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 힘을 스스로 돌아볼 틈은 적었어요</t>
    </r>
    <r>
      <rPr>
        <sz val="10"/>
        <rFont val="Malgun Gothic"/>
        <family val="0"/>
        <charset val="1"/>
      </rPr>
      <t xml:space="preserve">.</t>
    </r>
  </si>
  <si>
    <t xml:space="preserve">cards.1.positions.hold</t>
  </si>
  <si>
    <r>
      <rPr>
        <sz val="10"/>
        <rFont val="Noto Sans CJK SC"/>
        <family val="2"/>
      </rPr>
      <t xml:space="preserve">지금은 해결하고 싶은 마음이 커서 무엇이든 해 볼 준비가 되어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다만 이대로라면 없는 것만 눈에 들어와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이미 가진 힘을 놓치기 쉬워요</t>
    </r>
    <r>
      <rPr>
        <sz val="10"/>
        <rFont val="Malgun Gothic"/>
        <family val="0"/>
        <charset val="1"/>
      </rPr>
      <t xml:space="preserve">.</t>
    </r>
  </si>
  <si>
    <t xml:space="preserve">cards.1.positions.step</t>
  </si>
  <si>
    <r>
      <rPr>
        <sz val="10"/>
        <rFont val="Noto Sans CJK SC"/>
        <family val="2"/>
      </rPr>
      <t xml:space="preserve">앞으로는 새로 갖출 것보다 이미 가진 자원을 알아보는 데 마음을 두세요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내 손에 있는 시간과 사람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경험이 보이면 시작이 훨씬 수월해져요</t>
    </r>
    <r>
      <rPr>
        <sz val="10"/>
        <rFont val="Malgun Gothic"/>
        <family val="0"/>
        <charset val="1"/>
      </rPr>
      <t xml:space="preserve">.</t>
    </r>
  </si>
  <si>
    <t xml:space="preserve">cards.1.reversed.positions.now</t>
  </si>
  <si>
    <r>
      <rPr>
        <sz val="10"/>
        <rFont val="Noto Sans CJK SC"/>
        <family val="2"/>
      </rPr>
      <t xml:space="preserve">그동안 들어오는 일을 거절하지 않고 여러 가지를 한꺼번에 붙잡아 왔을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덕분에 많은 일을 해냈지만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무엇 하나에 힘을 다 싣기는 어려웠습니다</t>
    </r>
    <r>
      <rPr>
        <sz val="10"/>
        <rFont val="Malgun Gothic"/>
        <family val="0"/>
        <charset val="1"/>
      </rPr>
      <t xml:space="preserve">.</t>
    </r>
  </si>
  <si>
    <t xml:space="preserve">cards.1.reversed.positions.hold</t>
  </si>
  <si>
    <r>
      <rPr>
        <sz val="10"/>
        <rFont val="Noto Sans CJK SC"/>
        <family val="2"/>
      </rPr>
      <t xml:space="preserve">지금은 할 일이 여러 갈래로 흩어져 있어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하루가 바빠도 손에 남는 게 적게 느껴질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이대로라면 마음만 조급해지고 금방 지치기 쉽습니다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</si>
  <si>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앞으로는 지금 꼭 필요한 한 가지를 고르는 데 마음을 두세요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힘을 한곳에 모으면 같은 노력으로도 끝까지 해냈다는 뿌듯함을 느낄 수 있습니다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</si>
  <si>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[Claude </t>
    </r>
    <r>
      <rPr>
        <sz val="10"/>
        <rFont val="Noto Sans CJK SC"/>
        <family val="2"/>
      </rPr>
      <t xml:space="preserve">점검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고침</t>
    </r>
    <r>
      <rPr>
        <sz val="10"/>
        <rFont val="Malgun Gothic"/>
        <family val="0"/>
        <charset val="1"/>
      </rPr>
      <t xml:space="preserve">] '</t>
    </r>
    <r>
      <rPr>
        <sz val="10"/>
        <rFont val="Noto Sans CJK SC"/>
        <family val="2"/>
      </rPr>
      <t xml:space="preserve">여덟 갈래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와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한 손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의 단위가 맞지 않음 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전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여덟 갈래 중 지금 꼭 필요한 한 손만 남기고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나머지는 잠시 내려놓아 보세요</t>
    </r>
    <r>
      <rPr>
        <sz val="10"/>
        <rFont val="Malgun Gothic"/>
        <family val="0"/>
        <charset val="1"/>
      </rPr>
      <t xml:space="preserve">.)</t>
    </r>
  </si>
  <si>
    <t xml:space="preserve">cards.2.positions.now</t>
  </si>
  <si>
    <r>
      <rPr>
        <sz val="10"/>
        <rFont val="Noto Sans CJK SC"/>
        <family val="2"/>
      </rPr>
      <t xml:space="preserve">그동안 겉으로는 담담하게 지내면서도 속으로는 많은 것을 느끼고 헤아려 왔을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세심함이 상황을 깊이 보게 해 줬지만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느낀 것을 말로 꺼낼 기회는 적었습니다</t>
    </r>
    <r>
      <rPr>
        <sz val="10"/>
        <rFont val="Malgun Gothic"/>
        <family val="0"/>
        <charset val="1"/>
      </rPr>
      <t xml:space="preserve">.</t>
    </r>
  </si>
  <si>
    <t xml:space="preserve">cards.2.positions.hold</t>
  </si>
  <si>
    <r>
      <rPr>
        <sz val="10"/>
        <rFont val="Noto Sans CJK SC"/>
        <family val="2"/>
      </rPr>
      <t xml:space="preserve">지금은 아직 말로 정리되지 않은 느낌이 마음 한쪽에 계속 남아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이대로 남의 기준만 따르면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정답 같은 선택을 해도 마음은 개운하지 않기 쉬워요</t>
    </r>
    <r>
      <rPr>
        <sz val="10"/>
        <rFont val="Malgun Gothic"/>
        <family val="0"/>
        <charset val="1"/>
      </rPr>
      <t xml:space="preserve">.</t>
    </r>
  </si>
  <si>
    <t xml:space="preserve">cards.2.positions.step</t>
  </si>
  <si>
    <r>
      <rPr>
        <sz val="10"/>
        <rFont val="Noto Sans CJK SC"/>
        <family val="2"/>
      </rPr>
      <t xml:space="preserve">앞으로는 서둘러 답을 정하기보다 내 안의 작은 느낌에 귀 기울이는 데 마음을 두세요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내 감각을 믿게 되면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선택한 뒤에도 덜 흔들려요</t>
    </r>
    <r>
      <rPr>
        <sz val="10"/>
        <rFont val="Malgun Gothic"/>
        <family val="0"/>
        <charset val="1"/>
      </rPr>
      <t xml:space="preserve">.</t>
    </r>
  </si>
  <si>
    <t xml:space="preserve">cards.2.reversed.positions.now</t>
  </si>
  <si>
    <r>
      <rPr>
        <sz val="10"/>
        <rFont val="Noto Sans CJK SC"/>
        <family val="2"/>
      </rPr>
      <t xml:space="preserve">그동안 결정을 앞두면 검색하고 묻기를 거듭하며 확신이 생길 때까지 정보를 모아 왔을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덕분에 아는 것은 많아졌지만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처음에 내가 어떻게 느꼈는지는 점점 흐려졌습니다</t>
    </r>
    <r>
      <rPr>
        <sz val="10"/>
        <rFont val="Malgun Gothic"/>
        <family val="0"/>
        <charset val="1"/>
      </rPr>
      <t xml:space="preserve">.</t>
    </r>
  </si>
  <si>
    <t xml:space="preserve">cards.2.reversed.positions.hold</t>
  </si>
  <si>
    <r>
      <rPr>
        <sz val="10"/>
        <rFont val="Noto Sans CJK SC"/>
        <family val="2"/>
      </rPr>
      <t xml:space="preserve">지금은 생각이 너무 많아서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어떤 선택을 떠올려도 걱정이 먼저 따라와요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이대로라면 정보만 늘고 결정은 더 미뤄지며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머리가 쉴 틈이 없기 쉽습니다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</si>
  <si>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앞으로는 정보를 더 모으기보다 바깥 소리를 줄이는 데 마음을 두세요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조용한 틈이 생기면 묻혀 있던 내 느낌이 다시 또렷해져요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</si>
  <si>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[Claude </t>
    </r>
    <r>
      <rPr>
        <sz val="10"/>
        <rFont val="Noto Sans CJK SC"/>
        <family val="2"/>
      </rPr>
      <t xml:space="preserve">점검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고침</t>
    </r>
    <r>
      <rPr>
        <sz val="10"/>
        <rFont val="Malgun Gothic"/>
        <family val="0"/>
        <charset val="1"/>
      </rPr>
      <t xml:space="preserve">] '</t>
    </r>
    <r>
      <rPr>
        <sz val="10"/>
        <rFont val="Noto Sans CJK SC"/>
        <family val="2"/>
      </rPr>
      <t xml:space="preserve">조언을 멈추고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는 조언을 하는 쪽으로 읽힘 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전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검색과 조언을 잠시 멈추고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하루 </t>
    </r>
    <r>
      <rPr>
        <sz val="10"/>
        <rFont val="Malgun Gothic"/>
        <family val="0"/>
        <charset val="1"/>
      </rPr>
      <t xml:space="preserve">10</t>
    </r>
    <r>
      <rPr>
        <sz val="10"/>
        <rFont val="Noto Sans CJK SC"/>
        <family val="2"/>
      </rPr>
      <t xml:space="preserve">분은 아무 정보 없이 내 마음만 들어 보세요</t>
    </r>
    <r>
      <rPr>
        <sz val="10"/>
        <rFont val="Malgun Gothic"/>
        <family val="0"/>
        <charset val="1"/>
      </rPr>
      <t xml:space="preserve">.)</t>
    </r>
  </si>
  <si>
    <r>
      <rPr>
        <sz val="10"/>
        <rFont val="Noto Sans CJK SC"/>
        <family val="2"/>
      </rPr>
      <t xml:space="preserve">그동안 주변 사람을 먼저 챙기고 돌보는 데 마음을 많이 써 왔을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따뜻함이 관계를 든든하게 지켜 왔지만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나를 돌볼 여유는 자꾸 뒤로 밀렸습니다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</si>
  <si>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[Claude </t>
    </r>
    <r>
      <rPr>
        <sz val="10"/>
        <rFont val="Noto Sans CJK SC"/>
        <family val="2"/>
      </rPr>
      <t xml:space="preserve">점검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고침</t>
    </r>
    <r>
      <rPr>
        <sz val="10"/>
        <rFont val="Malgun Gothic"/>
        <family val="0"/>
        <charset val="1"/>
      </rPr>
      <t xml:space="preserve">] </t>
    </r>
    <r>
      <rPr>
        <sz val="10"/>
        <rFont val="Noto Sans CJK SC"/>
        <family val="2"/>
      </rPr>
      <t xml:space="preserve">한 문장 안에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당신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과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나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가 섞임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기준 예시와 동일</t>
    </r>
    <r>
      <rPr>
        <sz val="10"/>
        <rFont val="Malgun Gothic"/>
        <family val="0"/>
        <charset val="1"/>
      </rPr>
      <t xml:space="preserve">) (</t>
    </r>
    <r>
      <rPr>
        <sz val="10"/>
        <rFont val="Noto Sans CJK SC"/>
        <family val="2"/>
      </rPr>
      <t xml:space="preserve">전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누군가를 챙기고 돌보느라 마음을 많이 쓰고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따뜻함이 당신의 큰 힘이지만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정작 나를 돌볼 여유는 줄어 있을 수 있어요</t>
    </r>
    <r>
      <rPr>
        <sz val="10"/>
        <rFont val="Malgun Gothic"/>
        <family val="0"/>
        <charset val="1"/>
      </rPr>
      <t xml:space="preserve">.)</t>
    </r>
  </si>
  <si>
    <t xml:space="preserve">cards.3.positions.hold</t>
  </si>
  <si>
    <r>
      <rPr>
        <sz val="10"/>
        <rFont val="Noto Sans CJK SC"/>
        <family val="2"/>
      </rPr>
      <t xml:space="preserve">지금은 남을 챙기는 데 마음을 쓰는 만큼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나에게 남는 힘이 조금씩 줄고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이대로라면 다정했던 마음이 어느새 서운함이나 피로로 바뀌기 쉽습니다</t>
    </r>
    <r>
      <rPr>
        <sz val="10"/>
        <rFont val="Malgun Gothic"/>
        <family val="0"/>
        <charset val="1"/>
      </rPr>
      <t xml:space="preserve">.</t>
    </r>
  </si>
  <si>
    <t xml:space="preserve">cards.3.positions.step</t>
  </si>
  <si>
    <r>
      <rPr>
        <sz val="10"/>
        <rFont val="Noto Sans CJK SC"/>
        <family val="2"/>
      </rPr>
      <t xml:space="preserve">앞으로는 남에게 건네던 다정함을 나에게도 나누는 데 마음을 두세요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내가 먼저 채워져야 누군가를 돌보는 마음도 오래 이어질 수 있습니다</t>
    </r>
    <r>
      <rPr>
        <sz val="10"/>
        <rFont val="Malgun Gothic"/>
        <family val="0"/>
        <charset val="1"/>
      </rPr>
      <t xml:space="preserve">.</t>
    </r>
  </si>
  <si>
    <t xml:space="preserve">cards.3.reversed.positions.now</t>
  </si>
  <si>
    <r>
      <rPr>
        <sz val="10"/>
        <rFont val="Noto Sans CJK SC"/>
        <family val="2"/>
      </rPr>
      <t xml:space="preserve">그동안 도움을 주는 데는 익숙했지만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받는 일은 미안해서 자꾸 사양해 왔을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배려가 주변을 편하게 했지만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내 안의 여유는 조금씩 줄어 왔어요</t>
    </r>
    <r>
      <rPr>
        <sz val="10"/>
        <rFont val="Malgun Gothic"/>
        <family val="0"/>
        <charset val="1"/>
      </rPr>
      <t xml:space="preserve">.</t>
    </r>
  </si>
  <si>
    <t xml:space="preserve">cards.3.reversed.positions.hold</t>
  </si>
  <si>
    <r>
      <rPr>
        <sz val="10"/>
        <rFont val="Noto Sans CJK SC"/>
        <family val="2"/>
      </rPr>
      <t xml:space="preserve">지금은 쉬어도 피로가 잘 풀리지 않을 만큼 마음이 지쳐 있을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이대로라면 작은 부탁에도 버거움을 느끼고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혼자 버티는 시간이 길어지기 쉬워요</t>
    </r>
    <r>
      <rPr>
        <sz val="10"/>
        <rFont val="Malgun Gothic"/>
        <family val="0"/>
        <charset val="1"/>
      </rPr>
      <t xml:space="preserve">.</t>
    </r>
  </si>
  <si>
    <t xml:space="preserve">cards.3.reversed.positions.step</t>
  </si>
  <si>
    <r>
      <rPr>
        <sz val="10"/>
        <rFont val="Noto Sans CJK SC"/>
        <family val="2"/>
      </rPr>
      <t xml:space="preserve">앞으로는 주는 것만큼 받는 것도 괜찮다고 여기는 데 마음을 두세요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호의를 편하게 받을 수 있으면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줄어든 여유가 다시 채워지기 시작해요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</si>
  <si>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그동안 맡은 일을 혼자 끝까지 책임지며 버텨 왔을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책임감이 지금의 자리를 지켜 왔지만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쉬는 법은 뒤로 밀려났습니다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</si>
  <si>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[Claude </t>
    </r>
    <r>
      <rPr>
        <sz val="10"/>
        <rFont val="Noto Sans CJK SC"/>
        <family val="2"/>
      </rPr>
      <t xml:space="preserve">점검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고침</t>
    </r>
    <r>
      <rPr>
        <sz val="10"/>
        <rFont val="Malgun Gothic"/>
        <family val="0"/>
        <charset val="1"/>
      </rPr>
      <t xml:space="preserve">] '</t>
    </r>
    <r>
      <rPr>
        <sz val="10"/>
        <rFont val="Noto Sans CJK SC"/>
        <family val="2"/>
      </rPr>
      <t xml:space="preserve">당신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사용</t>
    </r>
    <r>
      <rPr>
        <sz val="10"/>
        <rFont val="Malgun Gothic"/>
        <family val="0"/>
        <charset val="1"/>
      </rPr>
      <t xml:space="preserve">, '</t>
    </r>
    <r>
      <rPr>
        <sz val="10"/>
        <rFont val="Noto Sans CJK SC"/>
        <family val="2"/>
      </rPr>
      <t xml:space="preserve">커요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가 두 문장에서 반복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상대 반응 단정 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전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지켜야 할 것이 많고 책임감이 커요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맡은 자리를 묵묵히 버티고 있는 당신은 주변 사람들에게 든든한 존재일 가능성이 커요</t>
    </r>
    <r>
      <rPr>
        <sz val="10"/>
        <rFont val="Malgun Gothic"/>
        <family val="0"/>
        <charset val="1"/>
      </rPr>
      <t xml:space="preserve">.)</t>
    </r>
  </si>
  <si>
    <t xml:space="preserve">cards.4.positions.hold</t>
  </si>
  <si>
    <r>
      <rPr>
        <sz val="10"/>
        <rFont val="Noto Sans CJK SC"/>
        <family val="2"/>
      </rPr>
      <t xml:space="preserve">지금은 통제할 수 없는 것까지 붙잡느라 쉬어도 긴장이 풀리지 않습니다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이대로라면 작은 일에도 쉽게 지치기 쉬워요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</si>
  <si>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앞으로는 내가 바꿀 수 있는 일과 그렇지 않은 일을 나누는 데 마음을 두세요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힘을 쓸 곳이 분명해지면 같은 책임도 훨씬 가벼워져요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</si>
  <si>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[Claude </t>
    </r>
    <r>
      <rPr>
        <sz val="10"/>
        <rFont val="Noto Sans CJK SC"/>
        <family val="2"/>
      </rPr>
      <t xml:space="preserve">점검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고침</t>
    </r>
    <r>
      <rPr>
        <sz val="10"/>
        <rFont val="Malgun Gothic"/>
        <family val="0"/>
        <charset val="1"/>
      </rPr>
      <t xml:space="preserve">] '</t>
    </r>
    <r>
      <rPr>
        <sz val="10"/>
        <rFont val="Noto Sans CJK SC"/>
        <family val="2"/>
      </rPr>
      <t xml:space="preserve">나눠 보세요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와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나눠 지는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이 다른 뜻으로 반복되고</t>
    </r>
    <r>
      <rPr>
        <sz val="10"/>
        <rFont val="Malgun Gothic"/>
        <family val="0"/>
        <charset val="1"/>
      </rPr>
      <t xml:space="preserve">, '</t>
    </r>
    <r>
      <rPr>
        <sz val="10"/>
        <rFont val="Noto Sans CJK SC"/>
        <family val="2"/>
      </rPr>
      <t xml:space="preserve">바꾸</t>
    </r>
    <r>
      <rPr>
        <sz val="10"/>
        <rFont val="Malgun Gothic"/>
        <family val="0"/>
        <charset val="1"/>
      </rPr>
      <t xml:space="preserve">-'</t>
    </r>
    <r>
      <rPr>
        <sz val="10"/>
        <rFont val="Noto Sans CJK SC"/>
        <family val="2"/>
      </rPr>
      <t xml:space="preserve">가 네 번 나옴 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전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내가 바꿀 수 있는 것과 바꿀 수 없는 것을 나눠 보세요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펭귄 무리가 자리를 바꿔 가며 추위를 함께 견디듯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바꿀 수 있는 쪽에 힘을 쓰고 나머지는 나눠 지는 거예요</t>
    </r>
    <r>
      <rPr>
        <sz val="10"/>
        <rFont val="Malgun Gothic"/>
        <family val="0"/>
        <charset val="1"/>
      </rPr>
      <t xml:space="preserve">.)</t>
    </r>
  </si>
  <si>
    <t xml:space="preserve">cards.4.reversed.positions.now</t>
  </si>
  <si>
    <r>
      <rPr>
        <sz val="10"/>
        <rFont val="Noto Sans CJK SC"/>
        <family val="2"/>
      </rPr>
      <t xml:space="preserve">그동안 불안할 때마다 계획을 더 촘촘히 세우고 모든 걸 내 손으로 관리해 왔을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덕분에 일은 흐트러지지 않았지만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몸과 마음은 늘 긴장한 채였습니다</t>
    </r>
    <r>
      <rPr>
        <sz val="10"/>
        <rFont val="Malgun Gothic"/>
        <family val="0"/>
        <charset val="1"/>
      </rPr>
      <t xml:space="preserve">.</t>
    </r>
  </si>
  <si>
    <t xml:space="preserve">cards.4.reversed.positions.hold</t>
  </si>
  <si>
    <r>
      <rPr>
        <sz val="10"/>
        <rFont val="Noto Sans CJK SC"/>
        <family val="2"/>
      </rPr>
      <t xml:space="preserve">지금은 통제하려는 마음이 커서 작은 변화에도 예민해지기 쉬운 때입니다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이대로라면 긴장이 쌓여 사소한 일에도 금방 지칠 수 있어요</t>
    </r>
    <r>
      <rPr>
        <sz val="10"/>
        <rFont val="Malgun Gothic"/>
        <family val="0"/>
        <charset val="1"/>
      </rPr>
      <t xml:space="preserve">.</t>
    </r>
  </si>
  <si>
    <t xml:space="preserve">cards.4.reversed.positions.step</t>
  </si>
  <si>
    <r>
      <rPr>
        <sz val="10"/>
        <rFont val="Noto Sans CJK SC"/>
        <family val="2"/>
      </rPr>
      <t xml:space="preserve">앞으로는 완벽한 질서보다 꼭 지키고 싶은 한 가지에 마음을 두세요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지킬 것이 줄어들면 나머지는 조금 느슨해져도 괜찮다는 여유가 생겨요</t>
    </r>
    <r>
      <rPr>
        <sz val="10"/>
        <rFont val="Malgun Gothic"/>
        <family val="0"/>
        <charset val="1"/>
      </rPr>
      <t xml:space="preserve">.</t>
    </r>
  </si>
  <si>
    <t xml:space="preserve">cards.5.positions.now</t>
  </si>
  <si>
    <r>
      <rPr>
        <sz val="10"/>
        <rFont val="Noto Sans CJK SC"/>
        <family val="2"/>
      </rPr>
      <t xml:space="preserve">그동안 고민이 생기면 혼자 오래 생각하며 스스로 답을 찾아왔을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끈기가 생각의 깊이를 키워 줬지만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같은 자리를 맴도는 시간도 길어졌습니다</t>
    </r>
    <r>
      <rPr>
        <sz val="10"/>
        <rFont val="Malgun Gothic"/>
        <family val="0"/>
        <charset val="1"/>
      </rPr>
      <t xml:space="preserve">.</t>
    </r>
  </si>
  <si>
    <t xml:space="preserve">cards.5.positions.hold</t>
  </si>
  <si>
    <r>
      <rPr>
        <sz val="10"/>
        <rFont val="Noto Sans CJK SC"/>
        <family val="2"/>
      </rPr>
      <t xml:space="preserve">지금은 혼자 끌어안은 고민이 실제보다 더 무겁게 느껴지고 있을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이대로라면 생각은 깊어지는데 답은 좀처럼 나오지 않기 쉽습니다</t>
    </r>
    <r>
      <rPr>
        <sz val="10"/>
        <rFont val="Malgun Gothic"/>
        <family val="0"/>
        <charset val="1"/>
      </rPr>
      <t xml:space="preserve">.</t>
    </r>
  </si>
  <si>
    <t xml:space="preserve">cards.5.positions.step</t>
  </si>
  <si>
    <r>
      <rPr>
        <sz val="10"/>
        <rFont val="Noto Sans CJK SC"/>
        <family val="2"/>
      </rPr>
      <t xml:space="preserve">앞으로는 믿을 만한 사람의 경험이나 오래 검증된 배움에 기대는 데 마음을 두세요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기댈 곳이 생기면 고민이 덜 무겁고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답도 한결 빨리 보입니다</t>
    </r>
    <r>
      <rPr>
        <sz val="10"/>
        <rFont val="Malgun Gothic"/>
        <family val="0"/>
        <charset val="1"/>
      </rPr>
      <t xml:space="preserve">.</t>
    </r>
  </si>
  <si>
    <t xml:space="preserve">cards.5.reversed.positions.now</t>
  </si>
  <si>
    <r>
      <rPr>
        <sz val="10"/>
        <rFont val="Noto Sans CJK SC"/>
        <family val="2"/>
      </rPr>
      <t xml:space="preserve">그동안 남들이 하는 방식을 따라가며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맞지 않아도 혼자 참고 맞춰 왔을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성실함으로 여기까지 왔지만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나에게 맞는 방법을 찾을 기회는 적었어요</t>
    </r>
    <r>
      <rPr>
        <sz val="10"/>
        <rFont val="Malgun Gothic"/>
        <family val="0"/>
        <charset val="1"/>
      </rPr>
      <t xml:space="preserve">.</t>
    </r>
  </si>
  <si>
    <t xml:space="preserve">cards.5.reversed.positions.hold</t>
  </si>
  <si>
    <r>
      <rPr>
        <sz val="10"/>
        <rFont val="Noto Sans CJK SC"/>
        <family val="2"/>
      </rPr>
      <t xml:space="preserve">지금은 혼자 해결해야 한다는 생각에 묻는 일 자체가 어렵게 느껴질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이대로라면 고민이 혼자만의 것으로 남아 점점 더 막막해지기 쉬워요</t>
    </r>
    <r>
      <rPr>
        <sz val="10"/>
        <rFont val="Malgun Gothic"/>
        <family val="0"/>
        <charset val="1"/>
      </rPr>
      <t xml:space="preserve">.</t>
    </r>
  </si>
  <si>
    <t xml:space="preserve">cards.5.reversed.positions.step</t>
  </si>
  <si>
    <r>
      <rPr>
        <sz val="10"/>
        <rFont val="Noto Sans CJK SC"/>
        <family val="2"/>
      </rPr>
      <t xml:space="preserve">앞으로는 남들의 정답보다 내 상황을 솔직하게 말할 수 있는 관계에 마음을 두세요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있는 그대로 털어놓을 곳이 생기면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혼자일 때 안 보이던 길이 보여요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</si>
  <si>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그동안 관계나 선택 앞에서 상대와 주변의 기대를 살피며 마음을 맞춰 왔을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배려 덕분에 관계는 부드럽게 이어졌지만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내가 바라는 것은 뒤로 미뤄 두었어요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</si>
  <si>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[Claude </t>
    </r>
    <r>
      <rPr>
        <sz val="10"/>
        <rFont val="Noto Sans CJK SC"/>
        <family val="2"/>
      </rPr>
      <t xml:space="preserve">점검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고침</t>
    </r>
    <r>
      <rPr>
        <sz val="10"/>
        <rFont val="Malgun Gothic"/>
        <family val="0"/>
        <charset val="1"/>
      </rPr>
      <t xml:space="preserve">] '</t>
    </r>
    <r>
      <rPr>
        <sz val="10"/>
        <rFont val="Noto Sans CJK SC"/>
        <family val="2"/>
      </rPr>
      <t xml:space="preserve">마음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또는 </t>
    </r>
    <r>
      <rPr>
        <sz val="10"/>
        <rFont val="Malgun Gothic"/>
        <family val="0"/>
        <charset val="1"/>
      </rPr>
      <t xml:space="preserve">~</t>
    </r>
    <r>
      <rPr>
        <sz val="10"/>
        <rFont val="Noto Sans CJK SC"/>
        <family val="2"/>
      </rPr>
      <t xml:space="preserve">마음이 오가고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병렬이 어긋남</t>
    </r>
    <r>
      <rPr>
        <sz val="10"/>
        <rFont val="Malgun Gothic"/>
        <family val="0"/>
        <charset val="1"/>
      </rPr>
      <t xml:space="preserve">, '</t>
    </r>
    <r>
      <rPr>
        <sz val="10"/>
        <rFont val="Noto Sans CJK SC"/>
        <family val="2"/>
      </rPr>
      <t xml:space="preserve">당신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사용 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전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누군가와 더 가까워지고 싶은 마음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또는 중요한 선택 앞에서 마음이 오가고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관계와 선택 모두 당신에게 그만큼 소중하다는 뜻으로 읽을 수 있어요</t>
    </r>
    <r>
      <rPr>
        <sz val="10"/>
        <rFont val="Malgun Gothic"/>
        <family val="0"/>
        <charset val="1"/>
      </rPr>
      <t xml:space="preserve">.)</t>
    </r>
  </si>
  <si>
    <t xml:space="preserve">cards.6.positions.hold</t>
  </si>
  <si>
    <r>
      <rPr>
        <sz val="10"/>
        <rFont val="Noto Sans CJK SC"/>
        <family val="2"/>
      </rPr>
      <t xml:space="preserve">지금은 가까워지고 싶은 마음과 내가 원하는 선택 사이에서 마음이 이리저리 오가고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이대로라면 결정을 미루는 사이 관계도 선택도 흐릿해지기 쉽습니다</t>
    </r>
    <r>
      <rPr>
        <sz val="10"/>
        <rFont val="Malgun Gothic"/>
        <family val="0"/>
        <charset val="1"/>
      </rPr>
      <t xml:space="preserve">.</t>
    </r>
  </si>
  <si>
    <t xml:space="preserve">cards.6.positions.step</t>
  </si>
  <si>
    <r>
      <rPr>
        <sz val="10"/>
        <rFont val="Noto Sans CJK SC"/>
        <family val="2"/>
      </rPr>
      <t xml:space="preserve">앞으로는 관계와 삶에서 내가 무엇을 소중히 여기는지 확인하는 데 마음을 두세요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내 가치가 또렷해지면 관계에서도 선택에서도 같은 방향을 보기가 한결 쉬워집니다</t>
    </r>
    <r>
      <rPr>
        <sz val="10"/>
        <rFont val="Malgun Gothic"/>
        <family val="0"/>
        <charset val="1"/>
      </rPr>
      <t xml:space="preserve">.</t>
    </r>
  </si>
  <si>
    <t xml:space="preserve">cards.6.reversed.positions.now</t>
  </si>
  <si>
    <r>
      <rPr>
        <sz val="10"/>
        <rFont val="Noto Sans CJK SC"/>
        <family val="2"/>
      </rPr>
      <t xml:space="preserve">그동안 상처받지 않으려고 상대의 반응을 살핀 뒤에야 마음을 꺼내 왔을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덕분에 큰 다툼은 피했지만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미뤄 둔 진심이 마음속에 쌓여 왔어요</t>
    </r>
    <r>
      <rPr>
        <sz val="10"/>
        <rFont val="Malgun Gothic"/>
        <family val="0"/>
        <charset val="1"/>
      </rPr>
      <t xml:space="preserve">.</t>
    </r>
  </si>
  <si>
    <t xml:space="preserve">cards.6.reversed.positions.hold</t>
  </si>
  <si>
    <r>
      <rPr>
        <sz val="10"/>
        <rFont val="Noto Sans CJK SC"/>
        <family val="2"/>
      </rPr>
      <t xml:space="preserve">지금은 가까워지고 싶은 마음과 상처받기 싫은 마음이 부딪쳐 한 발도 떼기 어려워요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이대로라면 서로의 마음을 짐작만 하다 엇갈리기 쉽습니다</t>
    </r>
    <r>
      <rPr>
        <sz val="10"/>
        <rFont val="Malgun Gothic"/>
        <family val="0"/>
        <charset val="1"/>
      </rPr>
      <t xml:space="preserve">.</t>
    </r>
  </si>
  <si>
    <t xml:space="preserve">cards.6.reversed.positions.step</t>
  </si>
  <si>
    <r>
      <rPr>
        <sz val="10"/>
        <rFont val="Noto Sans CJK SC"/>
        <family val="2"/>
      </rPr>
      <t xml:space="preserve">앞으로는 상대의 반응보다 이 관계에서 내가 진짜 바라는 것에 마음을 두세요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내 마음이 또렷해지면 반응 하나에 크게 흔들리지 않고 진심을 전할 힘이 생깁니다</t>
    </r>
    <r>
      <rPr>
        <sz val="10"/>
        <rFont val="Malgun Gothic"/>
        <family val="0"/>
        <charset val="1"/>
      </rPr>
      <t xml:space="preserve">.</t>
    </r>
  </si>
  <si>
    <t xml:space="preserve">cards.7.positions.now</t>
  </si>
  <si>
    <r>
      <rPr>
        <sz val="10"/>
        <rFont val="Noto Sans CJK SC"/>
        <family val="2"/>
      </rPr>
      <t xml:space="preserve">그동안 하고 싶은 일을 향해 쉬지 않고 힘차게 밀고 나아가 왔을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추진력이 지금 자리까지 이끌어 왔지만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여러 기대를 함께 좇느라 힘이 여러 갈래로 나뉘었어요</t>
    </r>
    <r>
      <rPr>
        <sz val="10"/>
        <rFont val="Malgun Gothic"/>
        <family val="0"/>
        <charset val="1"/>
      </rPr>
      <t xml:space="preserve">.</t>
    </r>
  </si>
  <si>
    <t xml:space="preserve">cards.7.positions.hold</t>
  </si>
  <si>
    <r>
      <rPr>
        <sz val="10"/>
        <rFont val="Noto Sans CJK SC"/>
        <family val="2"/>
      </rPr>
      <t xml:space="preserve">지금은 나아가고 싶은 힘은 큰데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가려는 방향이 여러 곳으로 나뉘어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이대로라면 애쓴 만큼 앞으로 가지 못해 금방 지치기 쉬워요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</si>
  <si>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앞으로는 가고 싶은 방향 하나와 이미 잘 풀리고 있는 흐름에 마음을 두세요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돌고래가 파도를 타듯 흐름에 힘을 실으면 덜 애쓰고도 멀리 갈 수 있어요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</si>
  <si>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[Claude </t>
    </r>
    <r>
      <rPr>
        <sz val="10"/>
        <rFont val="Noto Sans CJK SC"/>
        <family val="2"/>
      </rPr>
      <t xml:space="preserve">점검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고침</t>
    </r>
    <r>
      <rPr>
        <sz val="10"/>
        <rFont val="Malgun Gothic"/>
        <family val="0"/>
        <charset val="1"/>
      </rPr>
      <t xml:space="preserve">] '</t>
    </r>
    <r>
      <rPr>
        <sz val="10"/>
        <rFont val="Noto Sans CJK SC"/>
        <family val="2"/>
      </rPr>
      <t xml:space="preserve">잘 되고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띄어쓰기 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전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방향을 하나로 정하고 흐름을 이용해 보세요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돌고래가 파도를 거스르지 않고 그 힘을 빌려 나아가듯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이미 잘 되고 있는 흐름에 힘을 실어 보는 거예요</t>
    </r>
    <r>
      <rPr>
        <sz val="10"/>
        <rFont val="Malgun Gothic"/>
        <family val="0"/>
        <charset val="1"/>
      </rPr>
      <t xml:space="preserve">.)</t>
    </r>
  </si>
  <si>
    <t xml:space="preserve">cards.7.reversed.positions.now</t>
  </si>
  <si>
    <r>
      <rPr>
        <sz val="10"/>
        <rFont val="Noto Sans CJK SC"/>
        <family val="2"/>
      </rPr>
      <t xml:space="preserve">그동안 멈추면 뒤처질까 봐 쉬지 않고 속도를 올려 왔을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덕분에 많은 일을 해냈지만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어디로 가는지 돌아볼 틈은 줄어들었습니다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</si>
  <si>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지금은 애를 많이 쓰는데도 같은 자리를 맴도는 것 같아 마음이 조급해져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이대로라면 힘이 바닥날 때까지 속도만 올리기 쉽습니다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</si>
  <si>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[Claude </t>
    </r>
    <r>
      <rPr>
        <sz val="10"/>
        <rFont val="Noto Sans CJK SC"/>
        <family val="2"/>
      </rPr>
      <t xml:space="preserve">점검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고침</t>
    </r>
    <r>
      <rPr>
        <sz val="10"/>
        <rFont val="Malgun Gothic"/>
        <family val="0"/>
        <charset val="1"/>
      </rPr>
      <t xml:space="preserve">] </t>
    </r>
    <r>
      <rPr>
        <sz val="10"/>
        <rFont val="Noto Sans CJK SC"/>
        <family val="2"/>
      </rPr>
      <t xml:space="preserve">정방향 </t>
    </r>
    <r>
      <rPr>
        <sz val="10"/>
        <rFont val="Malgun Gothic"/>
        <family val="0"/>
        <charset val="1"/>
      </rPr>
      <t xml:space="preserve">hold('</t>
    </r>
    <r>
      <rPr>
        <sz val="10"/>
        <rFont val="Noto Sans CJK SC"/>
        <family val="2"/>
      </rPr>
      <t xml:space="preserve">여러 방향의 기대를 모두 맞추려다 힘이 흩어지고</t>
    </r>
    <r>
      <rPr>
        <sz val="10"/>
        <rFont val="Malgun Gothic"/>
        <family val="0"/>
        <charset val="1"/>
      </rPr>
      <t xml:space="preserve">')</t>
    </r>
    <r>
      <rPr>
        <sz val="10"/>
        <rFont val="Noto Sans CJK SC"/>
        <family val="2"/>
      </rPr>
      <t xml:space="preserve">와 거의 같은 문장 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전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여러 방향을 동시에 밀어붙이다 힘이 흩어지고 있을 수 있어요</t>
    </r>
    <r>
      <rPr>
        <sz val="10"/>
        <rFont val="Malgun Gothic"/>
        <family val="0"/>
        <charset val="1"/>
      </rPr>
      <t xml:space="preserve">.)</t>
    </r>
  </si>
  <si>
    <t xml:space="preserve">cards.7.reversed.positions.step</t>
  </si>
  <si>
    <r>
      <rPr>
        <sz val="10"/>
        <rFont val="Noto Sans CJK SC"/>
        <family val="2"/>
      </rPr>
      <t xml:space="preserve">앞으로는 속도보다 지금 어디로 가고 싶은지 다시 짚는 데 마음을 두세요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방향이 하나로 정해지면 같은 힘으로도 앞으로 가는 느낌을 되찾을 수 있습니다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</si>
  <si>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그동안 불편한 마음을 쉽게 드러내지 않고 조용히 안고 지내 왔을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인내가 하루하루를 버티게 했지만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오래 품은 불편함은 아직 그대로 남아 있습니다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</si>
  <si>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[Claude </t>
    </r>
    <r>
      <rPr>
        <sz val="10"/>
        <rFont val="Noto Sans CJK SC"/>
        <family val="2"/>
      </rPr>
      <t xml:space="preserve">점검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고침</t>
    </r>
    <r>
      <rPr>
        <sz val="10"/>
        <rFont val="Malgun Gothic"/>
        <family val="0"/>
        <charset val="1"/>
      </rPr>
      <t xml:space="preserve">] </t>
    </r>
    <r>
      <rPr>
        <sz val="10"/>
        <rFont val="Noto Sans CJK SC"/>
        <family val="2"/>
      </rPr>
      <t xml:space="preserve">견디는 것 자체를 힘으로 칭찬해 폭력 상황에서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참아라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로 읽힐 수 있음</t>
    </r>
    <r>
      <rPr>
        <sz val="10"/>
        <rFont val="Malgun Gothic"/>
        <family val="0"/>
        <charset val="1"/>
      </rPr>
      <t xml:space="preserve">, '</t>
    </r>
    <r>
      <rPr>
        <sz val="10"/>
        <rFont val="Noto Sans CJK SC"/>
        <family val="2"/>
      </rPr>
      <t xml:space="preserve">당신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사용 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전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쉽게 드러내지 않지만 마음속에 꽤 오래 품고 있는 불편함이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그걸 견디며 하루를 지켜 내고 있는 것 자체가 당신의 힘이에요</t>
    </r>
    <r>
      <rPr>
        <sz val="10"/>
        <rFont val="Malgun Gothic"/>
        <family val="0"/>
        <charset val="1"/>
      </rPr>
      <t xml:space="preserve">.)</t>
    </r>
  </si>
  <si>
    <t xml:space="preserve">cards.8.positions.hold</t>
  </si>
  <si>
    <r>
      <rPr>
        <sz val="10"/>
        <rFont val="Noto Sans CJK SC"/>
        <family val="2"/>
      </rPr>
      <t xml:space="preserve">지금은 불편한 감정을 밀어낼수록 그 마음이 더 자주 떠오르고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이대로라면 감정과 싸우는 데 하루의 힘을 다 쓰기 쉬워요</t>
    </r>
    <r>
      <rPr>
        <sz val="10"/>
        <rFont val="Malgun Gothic"/>
        <family val="0"/>
        <charset val="1"/>
      </rPr>
      <t xml:space="preserve">.</t>
    </r>
  </si>
  <si>
    <t xml:space="preserve">cards.8.positions.step</t>
  </si>
  <si>
    <r>
      <rPr>
        <sz val="10"/>
        <rFont val="Noto Sans CJK SC"/>
        <family val="2"/>
      </rPr>
      <t xml:space="preserve">앞으로는 불편한 감정을 없애기보다 그대로 인정해 주는 데 마음을 두세요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조개가 모래알을 품어 진주를 만들듯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감정을 곁에 둘 수 있으면 마음이 한결 단단해져요</t>
    </r>
    <r>
      <rPr>
        <sz val="10"/>
        <rFont val="Malgun Gothic"/>
        <family val="0"/>
        <charset val="1"/>
      </rPr>
      <t xml:space="preserve">.</t>
    </r>
  </si>
  <si>
    <t xml:space="preserve">cards.8.reversed.positions.now</t>
  </si>
  <si>
    <r>
      <rPr>
        <sz val="10"/>
        <rFont val="Noto Sans CJK SC"/>
        <family val="2"/>
      </rPr>
      <t xml:space="preserve">그동안 힘든 일이 있어도 도움을 청하기보다 혼자 꾹 참아 왔을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덕분에 많은 순간을 견뎠지만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버거움을 말하는 법은 익히지 못했어요</t>
    </r>
    <r>
      <rPr>
        <sz val="10"/>
        <rFont val="Malgun Gothic"/>
        <family val="0"/>
        <charset val="1"/>
      </rPr>
      <t xml:space="preserve">.</t>
    </r>
  </si>
  <si>
    <t xml:space="preserve">cards.8.reversed.positions.hold</t>
  </si>
  <si>
    <r>
      <rPr>
        <sz val="10"/>
        <rFont val="Noto Sans CJK SC"/>
        <family val="2"/>
      </rPr>
      <t xml:space="preserve">지금은 참는 게 익숙해져 이미 버거운 것도 버거운 줄 모르고 지나가고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이대로라면 힘이 다 떨어진 뒤에야 지친 걸 알아차리기 쉬워요</t>
    </r>
    <r>
      <rPr>
        <sz val="10"/>
        <rFont val="Malgun Gothic"/>
        <family val="0"/>
        <charset val="1"/>
      </rPr>
      <t xml:space="preserve">.</t>
    </r>
  </si>
  <si>
    <t xml:space="preserve">cards.8.reversed.positions.step</t>
  </si>
  <si>
    <r>
      <rPr>
        <sz val="10"/>
        <rFont val="Noto Sans CJK SC"/>
        <family val="2"/>
      </rPr>
      <t xml:space="preserve">앞으로는 견디는 힘보다 내 무게를 나눠 지는 데 마음을 두세요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불편한 마음을 밖으로 꺼낼 수 있으면 같은 일도 훨씬 덜 무겁게 느껴져요</t>
    </r>
    <r>
      <rPr>
        <sz val="10"/>
        <rFont val="Malgun Gothic"/>
        <family val="0"/>
        <charset val="1"/>
      </rPr>
      <t xml:space="preserve">.</t>
    </r>
  </si>
  <si>
    <t xml:space="preserve">cards.9.positions.now</t>
  </si>
  <si>
    <r>
      <rPr>
        <sz val="10"/>
        <rFont val="Noto Sans CJK SC"/>
        <family val="2"/>
      </rPr>
      <t xml:space="preserve">그동안 마음이 복잡할 때면 사람들과 조금 떨어져 혼자 생각을 정리해 왔을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시간 덕분에 내 기준을 지켜 왔지만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생각이 한쪽으로만 깊어진 때도 있었습니다</t>
    </r>
    <r>
      <rPr>
        <sz val="10"/>
        <rFont val="Malgun Gothic"/>
        <family val="0"/>
        <charset val="1"/>
      </rPr>
      <t xml:space="preserve">.</t>
    </r>
  </si>
  <si>
    <t xml:space="preserve">cards.9.positions.hold</t>
  </si>
  <si>
    <r>
      <rPr>
        <sz val="10"/>
        <rFont val="Noto Sans CJK SC"/>
        <family val="2"/>
      </rPr>
      <t xml:space="preserve">지금은 혼자 있고 싶은 마음과 외로운 마음이 섞여 무엇이 필요한지 헷갈리고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이대로라면 쉼이 필요한지 사람이 필요한지 모른 채 생각만 길어지기 쉽습니다</t>
    </r>
    <r>
      <rPr>
        <sz val="10"/>
        <rFont val="Malgun Gothic"/>
        <family val="0"/>
        <charset val="1"/>
      </rPr>
      <t xml:space="preserve">.</t>
    </r>
  </si>
  <si>
    <t xml:space="preserve">cards.9.positions.step</t>
  </si>
  <si>
    <r>
      <rPr>
        <sz val="10"/>
        <rFont val="Noto Sans CJK SC"/>
        <family val="2"/>
      </rPr>
      <t xml:space="preserve">앞으로는 혼자 돌아보는 시간을 지키면서도 믿는 사람 한 명과의 끈을 이어 두는 데 마음을 두세요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고요함과 연결이 함께 있으면 내 길이 더 또렷하게 보입니다</t>
    </r>
    <r>
      <rPr>
        <sz val="10"/>
        <rFont val="Malgun Gothic"/>
        <family val="0"/>
        <charset val="1"/>
      </rPr>
      <t xml:space="preserve">.</t>
    </r>
  </si>
  <si>
    <t xml:space="preserve">cards.9.reversed.positions.now</t>
  </si>
  <si>
    <r>
      <rPr>
        <sz val="10"/>
        <rFont val="Noto Sans CJK SC"/>
        <family val="2"/>
      </rPr>
      <t xml:space="preserve">그동안 힘들 때면 아무에게도 말하지 않고 혼자 안으로 숨어 왔을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방식이 잠시 마음을 지켜 주었지만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사람들과의 거리는 조금씩 멀어졌습니다</t>
    </r>
    <r>
      <rPr>
        <sz val="10"/>
        <rFont val="Malgun Gothic"/>
        <family val="0"/>
        <charset val="1"/>
      </rPr>
      <t xml:space="preserve">.</t>
    </r>
  </si>
  <si>
    <t xml:space="preserve">cards.9.reversed.positions.hold</t>
  </si>
  <si>
    <r>
      <rPr>
        <sz val="10"/>
        <rFont val="Noto Sans CJK SC"/>
        <family val="2"/>
      </rPr>
      <t xml:space="preserve">지금은 혼자 있는 시간이 길어지며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아무도 이해 못 할 거야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라는 생각이 커져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이대로라면 그 생각이 사람들과의 거리를 더 넓히기 쉬워요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</si>
  <si>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앞으로는 혼자 견디는 시간보다 마음을 열 수 있는 한 사람에게 마음을 두세요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짧은 대화 하나가 무거운 생각을 덜어 주고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혼자만의 시간도 다시 쉼이 될 수 있어요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</si>
  <si>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[Claude </t>
    </r>
    <r>
      <rPr>
        <sz val="10"/>
        <rFont val="Noto Sans CJK SC"/>
        <family val="2"/>
      </rPr>
      <t xml:space="preserve">점검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고침</t>
    </r>
    <r>
      <rPr>
        <sz val="10"/>
        <rFont val="Malgun Gothic"/>
        <family val="0"/>
        <charset val="1"/>
      </rPr>
      <t xml:space="preserve">] '</t>
    </r>
    <r>
      <rPr>
        <sz val="10"/>
        <rFont val="Noto Sans CJK SC"/>
        <family val="2"/>
      </rPr>
      <t xml:space="preserve">사람과 짧게 이어져 보세요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어색 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전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등불을 들고 한 걸음만 밖으로 나와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편한 사람 한 명과 짧게 이어져 보세요</t>
    </r>
    <r>
      <rPr>
        <sz val="10"/>
        <rFont val="Malgun Gothic"/>
        <family val="0"/>
        <charset val="1"/>
      </rPr>
      <t xml:space="preserve">.)</t>
    </r>
  </si>
  <si>
    <t xml:space="preserve">cards.10.positions.now</t>
  </si>
  <si>
    <r>
      <rPr>
        <sz val="10"/>
        <rFont val="Noto Sans CJK SC"/>
        <family val="2"/>
      </rPr>
      <t xml:space="preserve">그동안 내 뜻과 상관없이 바뀌는 상황 속에서 어떻게든 발 디딜 곳을 찾아왔을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덕분에 변화에 적응하는 힘은 길렀지만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흔들리는 마음은 혼자 감당해 왔습니다</t>
    </r>
    <r>
      <rPr>
        <sz val="10"/>
        <rFont val="Malgun Gothic"/>
        <family val="0"/>
        <charset val="1"/>
      </rPr>
      <t xml:space="preserve">.</t>
    </r>
  </si>
  <si>
    <t xml:space="preserve">cards.10.positions.hold</t>
  </si>
  <si>
    <r>
      <rPr>
        <sz val="10"/>
        <rFont val="Noto Sans CJK SC"/>
        <family val="2"/>
      </rPr>
      <t xml:space="preserve">지금은 상황이 바뀌는 속도를 마음이 따라가지 못해 무엇을 붙잡아야 할지 살피고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이대로라면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이 상태가 계속될 것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이라는 생각에 마음이 무거워지기 쉽습니다</t>
    </r>
    <r>
      <rPr>
        <sz val="10"/>
        <rFont val="Malgun Gothic"/>
        <family val="0"/>
        <charset val="1"/>
      </rPr>
      <t xml:space="preserve">.</t>
    </r>
  </si>
  <si>
    <t xml:space="preserve">cards.10.positions.step</t>
  </si>
  <si>
    <r>
      <rPr>
        <sz val="10"/>
        <rFont val="Noto Sans CJK SC"/>
        <family val="2"/>
      </rPr>
      <t xml:space="preserve">앞으로는 바꿀 수 없는 흐름 속에서도 내가 직접 정할 수 있는 몫에 마음을 두세요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가오리가 물살을 타면서도 방향을 잃지 않듯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내 몫이 보이면 변화도 덜 두려워집니다</t>
    </r>
    <r>
      <rPr>
        <sz val="10"/>
        <rFont val="Malgun Gothic"/>
        <family val="0"/>
        <charset val="1"/>
      </rPr>
      <t xml:space="preserve">.</t>
    </r>
  </si>
  <si>
    <t xml:space="preserve">cards.10.reversed.positions.now</t>
  </si>
  <si>
    <r>
      <rPr>
        <sz val="10"/>
        <rFont val="Noto Sans CJK SC"/>
        <family val="2"/>
      </rPr>
      <t xml:space="preserve">그동안 상황이 바뀌어도 익숙한 방식을 지키며 같은 자리에서 버텨 왔을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끈기가 흔들리는 시기를 지탱해 주었지만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새 흐름을 볼 여유는 줄어들었어요</t>
    </r>
    <r>
      <rPr>
        <sz val="10"/>
        <rFont val="Malgun Gothic"/>
        <family val="0"/>
        <charset val="1"/>
      </rPr>
      <t xml:space="preserve">.</t>
    </r>
  </si>
  <si>
    <t xml:space="preserve">cards.10.reversed.positions.hold</t>
  </si>
  <si>
    <r>
      <rPr>
        <sz val="10"/>
        <rFont val="Noto Sans CJK SC"/>
        <family val="2"/>
      </rPr>
      <t xml:space="preserve">지금은 예전으로 돌아가야 한다는 생각이 바뀐 상황을 받아들이기 어렵게 하고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이대로라면 흐름과 맞서느라 힘만 빠지고 제자리에 머물기 쉬워요</t>
    </r>
    <r>
      <rPr>
        <sz val="10"/>
        <rFont val="Malgun Gothic"/>
        <family val="0"/>
        <charset val="1"/>
      </rPr>
      <t xml:space="preserve">.</t>
    </r>
  </si>
  <si>
    <t xml:space="preserve">cards.10.reversed.positions.step</t>
  </si>
  <si>
    <r>
      <rPr>
        <sz val="10"/>
        <rFont val="Noto Sans CJK SC"/>
        <family val="2"/>
      </rPr>
      <t xml:space="preserve">앞으로는 예전으로 돌아가는 길보다 바뀐 상황에서 내가 고를 수 있는 것에 마음을 두세요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버티던 힘을 새 흐름에 쓰면 낯선 상황에서도 발 디딜 곳이 보이기 시작해요</t>
    </r>
    <r>
      <rPr>
        <sz val="10"/>
        <rFont val="Malgun Gothic"/>
        <family val="0"/>
        <charset val="1"/>
      </rPr>
      <t xml:space="preserve">.</t>
    </r>
  </si>
  <si>
    <t xml:space="preserve">cards.11.positions.now</t>
  </si>
  <si>
    <r>
      <rPr>
        <sz val="10"/>
        <rFont val="Noto Sans CJK SC"/>
        <family val="2"/>
      </rPr>
      <t xml:space="preserve">그동안 무엇이 옳은지 꼼꼼히 따지며 공정하게 판단하려 애써 왔을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덕에 주변의 믿음을 얻었지만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나에게 쓰는 기준은 유독 엄격해졌습니다</t>
    </r>
    <r>
      <rPr>
        <sz val="10"/>
        <rFont val="Malgun Gothic"/>
        <family val="0"/>
        <charset val="1"/>
      </rPr>
      <t xml:space="preserve">.</t>
    </r>
  </si>
  <si>
    <t xml:space="preserve">cards.11.positions.hold</t>
  </si>
  <si>
    <r>
      <rPr>
        <sz val="10"/>
        <rFont val="Noto Sans CJK SC"/>
        <family val="2"/>
      </rPr>
      <t xml:space="preserve">지금은 누가 옳았는지 되짚느라 생각이 한쪽으로 기울어 마음이 쉬지 못하고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이대로라면 결론을 서두르다 놓치는 사실이 생기기 쉬워요</t>
    </r>
    <r>
      <rPr>
        <sz val="10"/>
        <rFont val="Malgun Gothic"/>
        <family val="0"/>
        <charset val="1"/>
      </rPr>
      <t xml:space="preserve">.</t>
    </r>
  </si>
  <si>
    <t xml:space="preserve">cards.11.positions.step</t>
  </si>
  <si>
    <r>
      <rPr>
        <sz val="10"/>
        <rFont val="Noto Sans CJK SC"/>
        <family val="2"/>
      </rPr>
      <t xml:space="preserve">앞으로는 일어난 사실과 내 해석을 나누어 보는 데 마음을 두세요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감정이 가라앉은 자리에서 보면 나에게도 남에게도 공정한 답이 보여요</t>
    </r>
    <r>
      <rPr>
        <sz val="10"/>
        <rFont val="Malgun Gothic"/>
        <family val="0"/>
        <charset val="1"/>
      </rPr>
      <t xml:space="preserve">.</t>
    </r>
  </si>
  <si>
    <t xml:space="preserve">cards.11.reversed.positions.now</t>
  </si>
  <si>
    <r>
      <rPr>
        <sz val="10"/>
        <rFont val="Noto Sans CJK SC"/>
        <family val="2"/>
      </rPr>
      <t xml:space="preserve">그동안 일이 어긋날 때마다 내 잘못부터 찾으며 스스로를 몰아세워 왔을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그렇게 책임을 다해 왔지만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지난 실수를 곱씹는 버릇도 함께 남았습니다</t>
    </r>
    <r>
      <rPr>
        <sz val="10"/>
        <rFont val="Malgun Gothic"/>
        <family val="0"/>
        <charset val="1"/>
      </rPr>
      <t xml:space="preserve">.</t>
    </r>
  </si>
  <si>
    <t xml:space="preserve">cards.11.reversed.positions.hold</t>
  </si>
  <si>
    <r>
      <rPr>
        <sz val="10"/>
        <rFont val="Noto Sans CJK SC"/>
        <family val="2"/>
      </rPr>
      <t xml:space="preserve">지금은 옳고 그름을 따지는 데 기운을 다 쓰느라 마음이 좀처럼 쉬지 못합니다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이대로라면 작은 일에도 나를 탓하며 움츠러들기 쉬워요</t>
    </r>
    <r>
      <rPr>
        <sz val="10"/>
        <rFont val="Malgun Gothic"/>
        <family val="0"/>
        <charset val="1"/>
      </rPr>
      <t xml:space="preserve">.</t>
    </r>
  </si>
  <si>
    <t xml:space="preserve">cards.11.reversed.positions.step</t>
  </si>
  <si>
    <r>
      <rPr>
        <sz val="10"/>
        <rFont val="Noto Sans CJK SC"/>
        <family val="2"/>
      </rPr>
      <t xml:space="preserve">앞으로는 친구를 대하듯 나에게도 같은 기준을 쓰는 데 마음을 두세요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저울이 한쪽으로 덜 기울면 판단도 한결 차분해져요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</si>
  <si>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그동안 쉬면 뒤처질까 봐 지친 몸을 이끌고 쉼 없이 달려 왔을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노력으로 많은 것을 해냈지만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제대로 멈춰 본 기억은 드물어졌어요</t>
    </r>
    <r>
      <rPr>
        <sz val="10"/>
        <rFont val="Malgun Gothic"/>
        <family val="0"/>
        <charset val="1"/>
      </rPr>
      <t xml:space="preserve">.</t>
    </r>
  </si>
  <si>
    <t xml:space="preserve">cards.12.positions.hold</t>
  </si>
  <si>
    <r>
      <rPr>
        <sz val="10"/>
        <rFont val="Noto Sans CJK SC"/>
        <family val="2"/>
      </rPr>
      <t xml:space="preserve">지금은 열심히 하는데도 생각만큼 나아가지 않아 몸과 마음이 멈춤을 바라고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이대로 밀어붙이면 애쓴 만큼 힘이 더 빠지기 쉬워요</t>
    </r>
    <r>
      <rPr>
        <sz val="10"/>
        <rFont val="Malgun Gothic"/>
        <family val="0"/>
        <charset val="1"/>
      </rPr>
      <t xml:space="preserve">.</t>
    </r>
  </si>
  <si>
    <t xml:space="preserve">cards.12.positions.step</t>
  </si>
  <si>
    <r>
      <rPr>
        <sz val="10"/>
        <rFont val="Noto Sans CJK SC"/>
        <family val="2"/>
      </rPr>
      <t xml:space="preserve">앞으로는 잠시 멈추는 시간도 나아가는 과정이라는 데 마음을 두세요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바위 위의 물범처럼 쉬어 가면 미처 보지 못한 길이 눈에 들어와요</t>
    </r>
    <r>
      <rPr>
        <sz val="10"/>
        <rFont val="Malgun Gothic"/>
        <family val="0"/>
        <charset val="1"/>
      </rPr>
      <t xml:space="preserve">.</t>
    </r>
  </si>
  <si>
    <t xml:space="preserve">cards.12.reversed.positions.now</t>
  </si>
  <si>
    <r>
      <rPr>
        <sz val="10"/>
        <rFont val="Noto Sans CJK SC"/>
        <family val="2"/>
      </rPr>
      <t xml:space="preserve">그동안 쉬는 시간에도 쉬는 나를 탓하며 마음 한쪽으로는 계속 일을 해 왔을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성실함이 일을 지켜 왔지만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쉬어도 개운하지 않은 날이 쌓였습니다</t>
    </r>
    <r>
      <rPr>
        <sz val="10"/>
        <rFont val="Malgun Gothic"/>
        <family val="0"/>
        <charset val="1"/>
      </rPr>
      <t xml:space="preserve">.</t>
    </r>
  </si>
  <si>
    <t xml:space="preserve">cards.12.reversed.positions.hold</t>
  </si>
  <si>
    <r>
      <rPr>
        <sz val="10"/>
        <rFont val="Noto Sans CJK SC"/>
        <family val="2"/>
      </rPr>
      <t xml:space="preserve">지금은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쉬면 안 된다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는 마음과 움직일 힘이 없는 몸 사이에 끼어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이대로라면 쉬지도 나아가지도 못한 채 기운만 빠지기 쉽습니다</t>
    </r>
    <r>
      <rPr>
        <sz val="10"/>
        <rFont val="Malgun Gothic"/>
        <family val="0"/>
        <charset val="1"/>
      </rPr>
      <t xml:space="preserve">.</t>
    </r>
  </si>
  <si>
    <t xml:space="preserve">cards.12.reversed.positions.step</t>
  </si>
  <si>
    <r>
      <rPr>
        <sz val="10"/>
        <rFont val="Noto Sans CJK SC"/>
        <family val="2"/>
      </rPr>
      <t xml:space="preserve">앞으로는 쉬는 것도 오늘 해야 할 일이라는 데 마음을 두세요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죄책감을 내려놓고 쉬면 짧은 쉼에도 몸과 마음이 훨씬 개운해집니다</t>
    </r>
    <r>
      <rPr>
        <sz val="10"/>
        <rFont val="Malgun Gothic"/>
        <family val="0"/>
        <charset val="1"/>
      </rPr>
      <t xml:space="preserve">.</t>
    </r>
  </si>
  <si>
    <t xml:space="preserve">cards.13.positions.now</t>
  </si>
  <si>
    <r>
      <rPr>
        <sz val="10"/>
        <rFont val="Noto Sans CJK SC"/>
        <family val="2"/>
      </rPr>
      <t xml:space="preserve">그동안 익숙한 자리와 방식을 아끼며 한곳을 꾸준히 지켜 왔을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꾸준함이 나를 지켜 줬지만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어느새 나에게 맞지 않게 된 것도 함께 남았어요</t>
    </r>
    <r>
      <rPr>
        <sz val="10"/>
        <rFont val="Malgun Gothic"/>
        <family val="0"/>
        <charset val="1"/>
      </rPr>
      <t xml:space="preserve">.</t>
    </r>
  </si>
  <si>
    <t xml:space="preserve">cards.13.positions.hold</t>
  </si>
  <si>
    <r>
      <rPr>
        <sz val="10"/>
        <rFont val="Noto Sans CJK SC"/>
        <family val="2"/>
      </rPr>
      <t xml:space="preserve">지금은 무언가가 끝나 가는데 마음이 아직 따라가지 못해 아쉬움과 홀가분함이 뒤섞여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이대로 마무리를 미루면 새로 시작할 힘이 흩어지기 쉽습니다</t>
    </r>
    <r>
      <rPr>
        <sz val="10"/>
        <rFont val="Malgun Gothic"/>
        <family val="0"/>
        <charset val="1"/>
      </rPr>
      <t xml:space="preserve">.</t>
    </r>
  </si>
  <si>
    <t xml:space="preserve">cards.13.positions.step</t>
  </si>
  <si>
    <r>
      <rPr>
        <sz val="10"/>
        <rFont val="Noto Sans CJK SC"/>
        <family val="2"/>
      </rPr>
      <t xml:space="preserve">앞으로는 고마웠던 것과 이제 내려놓을 것을 구분하는 데 마음을 두세요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잘 보내 준 자리에는 지금의 나에게 더 잘 맞는 새 집이 들어설 수 있습니다</t>
    </r>
    <r>
      <rPr>
        <sz val="10"/>
        <rFont val="Malgun Gothic"/>
        <family val="0"/>
        <charset val="1"/>
      </rPr>
      <t xml:space="preserve">.</t>
    </r>
  </si>
  <si>
    <t xml:space="preserve">cards.13.reversed.positions.now</t>
  </si>
  <si>
    <r>
      <rPr>
        <sz val="10"/>
        <rFont val="Noto Sans CJK SC"/>
        <family val="2"/>
      </rPr>
      <t xml:space="preserve">그동안 변화가 필요하다는 걸 느끼면서도 익숙함이 아까워 결정을 미뤄 왔을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덕분에 큰 흔들림은 피했지만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답답한 마음은 그대로 남았어요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</si>
  <si>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지금은 끝을 인정하면 모든 게 무너질 것 같아 작아진 자리를 꼭 붙들고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이대로라면 머무는 것도 떠나는 것도 버겁게 느껴지기 쉽습니다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</si>
  <si>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[Claude </t>
    </r>
    <r>
      <rPr>
        <sz val="10"/>
        <rFont val="Noto Sans CJK SC"/>
        <family val="2"/>
      </rPr>
      <t xml:space="preserve">점검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고침</t>
    </r>
    <r>
      <rPr>
        <sz val="10"/>
        <rFont val="Malgun Gothic"/>
        <family val="0"/>
        <charset val="1"/>
      </rPr>
      <t xml:space="preserve">] '</t>
    </r>
    <r>
      <rPr>
        <sz val="10"/>
        <rFont val="Noto Sans CJK SC"/>
        <family val="2"/>
      </rPr>
      <t xml:space="preserve">이사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비유가 설명 없이 나와 실제 이사로 읽힘 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전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끝을 인정하면 모든 게 무너질 것 같은 마음이 이사를 미루게 하고 있을 수 있어요</t>
    </r>
    <r>
      <rPr>
        <sz val="10"/>
        <rFont val="Malgun Gothic"/>
        <family val="0"/>
        <charset val="1"/>
      </rPr>
      <t xml:space="preserve">.)</t>
    </r>
  </si>
  <si>
    <t xml:space="preserve">cards.13.reversed.positions.step</t>
  </si>
  <si>
    <r>
      <rPr>
        <sz val="10"/>
        <rFont val="Noto Sans CJK SC"/>
        <family val="2"/>
      </rPr>
      <t xml:space="preserve">앞으로는 한 번에 떠나기보다 무엇을 정리하고 싶은지 알아차리는 데 마음을 두세요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놓을 것이 또렷해지면 변화도 감당할 만한 크기로 느껴집니다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</si>
  <si>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그동안 일과 쉼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나와 남 사이에서 어느 한쪽도 놓치지 않으려 애써 왔을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덕에 여러 역할을 해냈지만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늘 저울질하느라 마음이 바빴어요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</si>
  <si>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[Claude </t>
    </r>
    <r>
      <rPr>
        <sz val="10"/>
        <rFont val="Noto Sans CJK SC"/>
        <family val="2"/>
      </rPr>
      <t xml:space="preserve">점검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고침</t>
    </r>
    <r>
      <rPr>
        <sz val="10"/>
        <rFont val="Malgun Gothic"/>
        <family val="0"/>
        <charset val="1"/>
      </rPr>
      <t xml:space="preserve">] '</t>
    </r>
    <r>
      <rPr>
        <sz val="10"/>
        <rFont val="Noto Sans CJK SC"/>
        <family val="2"/>
      </rPr>
      <t xml:space="preserve">나와 너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가 역방향의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나와 남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과 다르고 반말 느낌 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전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두 가지 사이에서 균형을 찾으려 애쓰고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일과 쉼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나와 너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해야 할 것과 하고 싶은 것 사이에서 저울질하고 있을 수 있어요</t>
    </r>
    <r>
      <rPr>
        <sz val="10"/>
        <rFont val="Malgun Gothic"/>
        <family val="0"/>
        <charset val="1"/>
      </rPr>
      <t xml:space="preserve">.)</t>
    </r>
  </si>
  <si>
    <t xml:space="preserve">cards.14.positions.hold</t>
  </si>
  <si>
    <r>
      <rPr>
        <sz val="10"/>
        <rFont val="Noto Sans CJK SC"/>
        <family val="2"/>
      </rPr>
      <t xml:space="preserve">지금은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전부 아니면 전무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로 생각하느라 무엇도 쉽게 고르지 못하고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이대로라면 고민이 길어지며 어느 쪽에도 마음을 다 쓰지 못하기 쉬워요</t>
    </r>
    <r>
      <rPr>
        <sz val="10"/>
        <rFont val="Malgun Gothic"/>
        <family val="0"/>
        <charset val="1"/>
      </rPr>
      <t xml:space="preserve">.</t>
    </r>
  </si>
  <si>
    <t xml:space="preserve">cards.14.positions.step</t>
  </si>
  <si>
    <r>
      <rPr>
        <sz val="10"/>
        <rFont val="Noto Sans CJK SC"/>
        <family val="2"/>
      </rPr>
      <t xml:space="preserve">앞으로는 하나를 고르기보다 지금 나에게 알맞은 비율을 찾는 데 마음을 두세요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비율은 날마다 달라져도 된다고 여기면 선택이 한결 가벼워져요</t>
    </r>
    <r>
      <rPr>
        <sz val="10"/>
        <rFont val="Malgun Gothic"/>
        <family val="0"/>
        <charset val="1"/>
      </rPr>
      <t xml:space="preserve">.</t>
    </r>
  </si>
  <si>
    <t xml:space="preserve">cards.14.reversed.positions.now</t>
  </si>
  <si>
    <r>
      <rPr>
        <sz val="10"/>
        <rFont val="Noto Sans CJK SC"/>
        <family val="2"/>
      </rPr>
      <t xml:space="preserve">그동안 일이든 사람이든 한쪽에 마음을 크게 쏟으며 최선을 다해 왔을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몰입이 성과를 남겼지만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다른 쪽은 오래 비어 있었습니다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</si>
  <si>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지금은 한쪽으로 너무 기울어 있어서 몸도 마음도 지쳐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이대로라면 버티던 쪽마저 힘이 빠져 균형이 더 흔들리기 쉽습니다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</si>
  <si>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[Claude </t>
    </r>
    <r>
      <rPr>
        <sz val="10"/>
        <rFont val="Noto Sans CJK SC"/>
        <family val="2"/>
      </rPr>
      <t xml:space="preserve">점검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고침</t>
    </r>
    <r>
      <rPr>
        <sz val="10"/>
        <rFont val="Malgun Gothic"/>
        <family val="0"/>
        <charset val="1"/>
      </rPr>
      <t xml:space="preserve">] </t>
    </r>
    <r>
      <rPr>
        <sz val="10"/>
        <rFont val="Noto Sans CJK SC"/>
        <family val="2"/>
      </rPr>
      <t xml:space="preserve">정방향 </t>
    </r>
    <r>
      <rPr>
        <sz val="10"/>
        <rFont val="Malgun Gothic"/>
        <family val="0"/>
        <charset val="1"/>
      </rPr>
      <t xml:space="preserve">hold</t>
    </r>
    <r>
      <rPr>
        <sz val="10"/>
        <rFont val="Noto Sans CJK SC"/>
        <family val="2"/>
      </rPr>
      <t xml:space="preserve">와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전부 아니면 전무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표현이 그대로 겹침 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전</t>
    </r>
    <r>
      <rPr>
        <sz val="10"/>
        <rFont val="Malgun Gothic"/>
        <family val="0"/>
        <charset val="1"/>
      </rPr>
      <t xml:space="preserve">: '</t>
    </r>
    <r>
      <rPr>
        <sz val="10"/>
        <rFont val="Noto Sans CJK SC"/>
        <family val="2"/>
      </rPr>
      <t xml:space="preserve">전부 아니면 전무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라는 생각이 알맞은 중간을 찾지 못하게 하고 있을 수 있어요</t>
    </r>
    <r>
      <rPr>
        <sz val="10"/>
        <rFont val="Malgun Gothic"/>
        <family val="0"/>
        <charset val="1"/>
      </rPr>
      <t xml:space="preserve">.)</t>
    </r>
  </si>
  <si>
    <t xml:space="preserve">cards.14.reversed.positions.step</t>
  </si>
  <si>
    <r>
      <rPr>
        <sz val="10"/>
        <rFont val="Noto Sans CJK SC"/>
        <family val="2"/>
      </rPr>
      <t xml:space="preserve">앞으로는 기울어진 쪽에서 반대쪽으로 조금씩 무게를 옮기는 데 마음을 두세요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극단 대신 알맞은 중간을 찾으면 지친 마음에도 다시 여유가 생깁니다</t>
    </r>
    <r>
      <rPr>
        <sz val="10"/>
        <rFont val="Malgun Gothic"/>
        <family val="0"/>
        <charset val="1"/>
      </rPr>
      <t xml:space="preserve">.</t>
    </r>
  </si>
  <si>
    <t xml:space="preserve">cards.15.positions.now</t>
  </si>
  <si>
    <r>
      <rPr>
        <sz val="10"/>
        <rFont val="Noto Sans CJK SC"/>
        <family val="2"/>
      </rPr>
      <t xml:space="preserve">그동안 불안할 때마다 확인하기나 미루기 같은 익숙한 방법으로 나를 지켜 왔을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습관이 잠깐씩 마음을 달래 줬지만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어느새 나를 붙잡는 틀이 되었어요</t>
    </r>
    <r>
      <rPr>
        <sz val="10"/>
        <rFont val="Malgun Gothic"/>
        <family val="0"/>
        <charset val="1"/>
      </rPr>
      <t xml:space="preserve">.</t>
    </r>
  </si>
  <si>
    <t xml:space="preserve">cards.15.positions.hold</t>
  </si>
  <si>
    <r>
      <rPr>
        <sz val="10"/>
        <rFont val="Noto Sans CJK SC"/>
        <family val="2"/>
      </rPr>
      <t xml:space="preserve">지금은 상처받지 않으려고 마음이 잔뜩 부풀어 작은 말에도 날이 서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이대로라면 지키려던 것보다 방어하는 데 기운을 더 쓰기 쉽습니다</t>
    </r>
    <r>
      <rPr>
        <sz val="10"/>
        <rFont val="Malgun Gothic"/>
        <family val="0"/>
        <charset val="1"/>
      </rPr>
      <t xml:space="preserve">.</t>
    </r>
  </si>
  <si>
    <t xml:space="preserve">cards.15.positions.step</t>
  </si>
  <si>
    <r>
      <rPr>
        <sz val="10"/>
        <rFont val="Noto Sans CJK SC"/>
        <family val="2"/>
      </rPr>
      <t xml:space="preserve">앞으로는 마음이 부풀어 오르는 순간을 탓하지 않고 알아차리는 데 마음을 두세요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복어가 위험이 지나면 작아지듯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알아차린 만큼 가시도 누그러집니다</t>
    </r>
    <r>
      <rPr>
        <sz val="10"/>
        <rFont val="Malgun Gothic"/>
        <family val="0"/>
        <charset val="1"/>
      </rPr>
      <t xml:space="preserve">.</t>
    </r>
  </si>
  <si>
    <t xml:space="preserve">cards.15.reversed.positions.now</t>
  </si>
  <si>
    <r>
      <rPr>
        <sz val="10"/>
        <rFont val="Noto Sans CJK SC"/>
        <family val="2"/>
      </rPr>
      <t xml:space="preserve">그동안 단단히 세운 가시로 버티면서도 조금씩 나를 돌아보려 애써 왔을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노력 덕분에 묶여 있던 마음이 풀리기 시작했어요</t>
    </r>
    <r>
      <rPr>
        <sz val="10"/>
        <rFont val="Malgun Gothic"/>
        <family val="0"/>
        <charset val="1"/>
      </rPr>
      <t xml:space="preserve">.</t>
    </r>
  </si>
  <si>
    <t xml:space="preserve">cards.15.reversed.positions.hold</t>
  </si>
  <si>
    <r>
      <rPr>
        <sz val="10"/>
        <rFont val="Noto Sans CJK SC"/>
        <family val="2"/>
      </rPr>
      <t xml:space="preserve">지금은 부풀었던 마음이 가라앉고 있지만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방어를 내려놓는 일이 아직 낯설어요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이대로라면 작은 흔들림에도 예전 습관으로 돌아갈까 걱정하기 쉬워요</t>
    </r>
    <r>
      <rPr>
        <sz val="10"/>
        <rFont val="Malgun Gothic"/>
        <family val="0"/>
        <charset val="1"/>
      </rPr>
      <t xml:space="preserve">.</t>
    </r>
  </si>
  <si>
    <t xml:space="preserve">cards.15.reversed.positions.step</t>
  </si>
  <si>
    <r>
      <rPr>
        <sz val="10"/>
        <rFont val="Noto Sans CJK SC"/>
        <family val="2"/>
      </rPr>
      <t xml:space="preserve">앞으로는 예전보다 덜 흔들린 작은 변화를 알아봐 주는 데 마음을 두세요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달라진 나를 믿을수록 새 습관이 더 단단히 자리를 잡습니다</t>
    </r>
    <r>
      <rPr>
        <sz val="10"/>
        <rFont val="Malgun Gothic"/>
        <family val="0"/>
        <charset val="1"/>
      </rPr>
      <t xml:space="preserve">.</t>
    </r>
  </si>
  <si>
    <t xml:space="preserve">cards.16.positions.now</t>
  </si>
  <si>
    <r>
      <rPr>
        <sz val="10"/>
        <rFont val="Noto Sans CJK SC"/>
        <family val="2"/>
      </rPr>
      <t xml:space="preserve">그동안 믿어 온 계획과 기대를 기둥 삼아 차근차근 쌓아 왔을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계획이 흔들리면서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애써 온 만큼 허탈함도 크게 남았습니다</t>
    </r>
    <r>
      <rPr>
        <sz val="10"/>
        <rFont val="Malgun Gothic"/>
        <family val="0"/>
        <charset val="1"/>
      </rPr>
      <t xml:space="preserve">.</t>
    </r>
  </si>
  <si>
    <t xml:space="preserve">cards.16.positions.hold</t>
  </si>
  <si>
    <r>
      <rPr>
        <sz val="10"/>
        <rFont val="Noto Sans CJK SC"/>
        <family val="2"/>
      </rPr>
      <t xml:space="preserve">지금은 무너진 것만 눈에 들어와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처음부터 다시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라는 생각에 손대기 어려워요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이대로라면 아직 남은 기둥을 놓친 채 시작을 미루기 쉽습니다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</si>
  <si>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앞으로는 잃은 것보다 아직 손에 남은 것에 마음을 두세요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비버가 나뭇가지 하나부터 둑을 쌓듯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남은 기둥에서 다시 시작하면 막막함이 줄어요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</si>
  <si>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[Claude </t>
    </r>
    <r>
      <rPr>
        <sz val="10"/>
        <rFont val="Noto Sans CJK SC"/>
        <family val="2"/>
      </rPr>
      <t xml:space="preserve">점검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고침</t>
    </r>
    <r>
      <rPr>
        <sz val="10"/>
        <rFont val="Malgun Gothic"/>
        <family val="0"/>
        <charset val="1"/>
      </rPr>
      <t xml:space="preserve">] '~</t>
    </r>
    <r>
      <rPr>
        <sz val="10"/>
        <rFont val="Noto Sans CJK SC"/>
        <family val="2"/>
      </rPr>
      <t xml:space="preserve">부터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가 한 문장에 두 번 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전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남아 있는 것부터 확인하고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나뭇가지 하나부터 다시 쌓아 보세요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비버가 무너진 둑을 한 번에 다 짓지 않듯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오늘 할 수 있는 한 조각이면 충분해요</t>
    </r>
    <r>
      <rPr>
        <sz val="10"/>
        <rFont val="Malgun Gothic"/>
        <family val="0"/>
        <charset val="1"/>
      </rPr>
      <t xml:space="preserve">.)</t>
    </r>
  </si>
  <si>
    <t xml:space="preserve">cards.16.reversed.positions.now</t>
  </si>
  <si>
    <r>
      <rPr>
        <sz val="10"/>
        <rFont val="Noto Sans CJK SC"/>
        <family val="2"/>
      </rPr>
      <t xml:space="preserve">그동안 흔들리는 걸 드러내지 않고 괜찮은 척 버텨 왔을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버팀으로 하루하루를 지켜 왔지만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기운은 생각보다 많이 빠졌어요</t>
    </r>
    <r>
      <rPr>
        <sz val="10"/>
        <rFont val="Malgun Gothic"/>
        <family val="0"/>
        <charset val="1"/>
      </rPr>
      <t xml:space="preserve">.</t>
    </r>
  </si>
  <si>
    <t xml:space="preserve">cards.16.reversed.positions.hold</t>
  </si>
  <si>
    <r>
      <rPr>
        <sz val="10"/>
        <rFont val="Noto Sans CJK SC"/>
        <family val="2"/>
      </rPr>
      <t xml:space="preserve">지금은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또 무너지면 어떡하지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하는 걱정에 다시 쌓을 엄두가 잘 나지 않습니다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이대로라면 버티는 데 힘을 다 써서 시작이 점점 멀어지기 쉬워요</t>
    </r>
    <r>
      <rPr>
        <sz val="10"/>
        <rFont val="Malgun Gothic"/>
        <family val="0"/>
        <charset val="1"/>
      </rPr>
      <t xml:space="preserve">.</t>
    </r>
  </si>
  <si>
    <t xml:space="preserve">cards.16.reversed.positions.step</t>
  </si>
  <si>
    <r>
      <rPr>
        <sz val="10"/>
        <rFont val="Noto Sans CJK SC"/>
        <family val="2"/>
      </rPr>
      <t xml:space="preserve">앞으로는 완벽한 둑보다 지금 쌓을 수 있는 작은 한 조각에 마음을 두세요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버티던 힘을 조금 내려놓으면 다시 쌓을 기운도 천천히 돌아와요</t>
    </r>
    <r>
      <rPr>
        <sz val="10"/>
        <rFont val="Malgun Gothic"/>
        <family val="0"/>
        <charset val="1"/>
      </rPr>
      <t xml:space="preserve">.</t>
    </r>
  </si>
  <si>
    <t xml:space="preserve">cards.17.positions.now</t>
  </si>
  <si>
    <r>
      <rPr>
        <sz val="10"/>
        <rFont val="Noto Sans CJK SC"/>
        <family val="2"/>
      </rPr>
      <t xml:space="preserve">그동안 힘든 시기를 지나며 하루하루를 묵묵히 버텨 왔을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그렇게 버틴 시간 덕분에 조금씩 기운이 돌아오고 있습니다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</si>
  <si>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지금은 조금씩 나아지고 있지만</t>
    </r>
    <r>
      <rPr>
        <sz val="10"/>
        <rFont val="Malgun Gothic"/>
        <family val="0"/>
        <charset val="1"/>
      </rPr>
      <t xml:space="preserve">, '</t>
    </r>
    <r>
      <rPr>
        <sz val="10"/>
        <rFont val="Noto Sans CJK SC"/>
        <family val="2"/>
      </rPr>
      <t xml:space="preserve">예전만큼은 아니다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라는 생각이 그 변화를 작아 보이게 합니다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이대로라면 나아진 만큼을 스스로 알아차리지 못하기 쉬워요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</si>
  <si>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[Claude </t>
    </r>
    <r>
      <rPr>
        <sz val="10"/>
        <rFont val="Noto Sans CJK SC"/>
        <family val="2"/>
      </rPr>
      <t xml:space="preserve">점검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고침</t>
    </r>
    <r>
      <rPr>
        <sz val="10"/>
        <rFont val="Malgun Gothic"/>
        <family val="0"/>
        <charset val="1"/>
      </rPr>
      <t xml:space="preserve">] '</t>
    </r>
    <r>
      <rPr>
        <sz val="10"/>
        <rFont val="Noto Sans CJK SC"/>
        <family val="2"/>
      </rPr>
      <t xml:space="preserve">예전처럼 돌아가야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호응 어색 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전</t>
    </r>
    <r>
      <rPr>
        <sz val="10"/>
        <rFont val="Malgun Gothic"/>
        <family val="0"/>
        <charset val="1"/>
      </rPr>
      <t xml:space="preserve">: '</t>
    </r>
    <r>
      <rPr>
        <sz val="10"/>
        <rFont val="Noto Sans CJK SC"/>
        <family val="2"/>
      </rPr>
      <t xml:space="preserve">예전처럼 돌아가야 한다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는 기준이 지금의 회복을 작아 보이게 할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회복에도 저마다의 속도가 있다는 걸 잊고 스스로를 재촉하기 쉬워요</t>
    </r>
    <r>
      <rPr>
        <sz val="10"/>
        <rFont val="Malgun Gothic"/>
        <family val="0"/>
        <charset val="1"/>
      </rPr>
      <t xml:space="preserve">.)</t>
    </r>
  </si>
  <si>
    <r>
      <rPr>
        <sz val="10"/>
        <rFont val="Noto Sans CJK SC"/>
        <family val="2"/>
      </rPr>
      <t xml:space="preserve">앞으로는 어제보다 조금 나아진 점을 알아보는 데 마음을 두세요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작은 변화가 눈에 들어오면 회복에도 나만의 속도가 있다는 걸 믿을 수 있어요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</si>
  <si>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[Claude </t>
    </r>
    <r>
      <rPr>
        <sz val="10"/>
        <rFont val="Noto Sans CJK SC"/>
        <family val="2"/>
      </rPr>
      <t xml:space="preserve">점검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고침</t>
    </r>
    <r>
      <rPr>
        <sz val="10"/>
        <rFont val="Malgun Gothic"/>
        <family val="0"/>
        <charset val="1"/>
      </rPr>
      <t xml:space="preserve">] '</t>
    </r>
    <r>
      <rPr>
        <sz val="10"/>
        <rFont val="Noto Sans CJK SC"/>
        <family val="2"/>
      </rPr>
      <t xml:space="preserve">희망이 눈에 보이게 돼요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결과 단정 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전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작게 나아진 것을 알아봐 주세요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불가사리가 잃은 팔을 천천히 다시 키우듯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매일의 작은 회복을 기록하면 희망이 눈에 보이게 돼요</t>
    </r>
    <r>
      <rPr>
        <sz val="10"/>
        <rFont val="Malgun Gothic"/>
        <family val="0"/>
        <charset val="1"/>
      </rPr>
      <t xml:space="preserve">.)</t>
    </r>
  </si>
  <si>
    <t xml:space="preserve">cards.17.reversed.positions.now</t>
  </si>
  <si>
    <r>
      <rPr>
        <sz val="10"/>
        <rFont val="Noto Sans CJK SC"/>
        <family val="2"/>
      </rPr>
      <t xml:space="preserve">그동안 빨리 괜찮아져야 한다며 스스로를 재촉해 왔을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조급함 때문에 조금씩 나아진 순간들은 자주 놓쳐 왔습니다</t>
    </r>
    <r>
      <rPr>
        <sz val="10"/>
        <rFont val="Malgun Gothic"/>
        <family val="0"/>
        <charset val="1"/>
      </rPr>
      <t xml:space="preserve">.</t>
    </r>
  </si>
  <si>
    <t xml:space="preserve">cards.17.reversed.positions.hold</t>
  </si>
  <si>
    <r>
      <rPr>
        <sz val="10"/>
        <rFont val="Noto Sans CJK SC"/>
        <family val="2"/>
      </rPr>
      <t xml:space="preserve">지금은 나아지고 있는데도 그 변화가 잘 느껴지지 않아 실망이 앞섭니다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이대로라면 회복을 기다리다 먼저 지쳐 버리기 쉬워요</t>
    </r>
    <r>
      <rPr>
        <sz val="10"/>
        <rFont val="Malgun Gothic"/>
        <family val="0"/>
        <charset val="1"/>
      </rPr>
      <t xml:space="preserve">.</t>
    </r>
  </si>
  <si>
    <t xml:space="preserve">cards.17.reversed.positions.step</t>
  </si>
  <si>
    <r>
      <rPr>
        <sz val="10"/>
        <rFont val="Noto Sans CJK SC"/>
        <family val="2"/>
      </rPr>
      <t xml:space="preserve">앞으로는 회복의 속도보다 방향에 마음을 두세요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느려도 나아지고 있다는 걸 알아보면 조급함이 조금씩 가라앉아요</t>
    </r>
    <r>
      <rPr>
        <sz val="10"/>
        <rFont val="Malgun Gothic"/>
        <family val="0"/>
        <charset val="1"/>
      </rPr>
      <t xml:space="preserve">.</t>
    </r>
  </si>
  <si>
    <t xml:space="preserve">cards.18.positions.now</t>
  </si>
  <si>
    <r>
      <rPr>
        <sz val="10"/>
        <rFont val="Noto Sans CJK SC"/>
        <family val="2"/>
      </rPr>
      <t xml:space="preserve">그동안 확실한 답이 나올 때까지 결정을 미루며 머릿속으로 여러 장면을 그려 왔을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덕분에 조심스럽게 지내 왔지만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걱정도 함께 커져 왔어요</t>
    </r>
    <r>
      <rPr>
        <sz val="10"/>
        <rFont val="Malgun Gothic"/>
        <family val="0"/>
        <charset val="1"/>
      </rPr>
      <t xml:space="preserve">.</t>
    </r>
  </si>
  <si>
    <t xml:space="preserve">cards.18.positions.hold</t>
  </si>
  <si>
    <r>
      <rPr>
        <sz val="10"/>
        <rFont val="Noto Sans CJK SC"/>
        <family val="2"/>
      </rPr>
      <t xml:space="preserve">지금은 앞이 잘 보이지 않아 머릿속 걱정이 실제보다 크게 느껴집니다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이대로라면 일어나지 않은 일에 기운을 많이 쓰기 쉬워요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</si>
  <si>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앞으로는 모든 걸 확실히 하기보다 지금 보이는 만큼만 믿고 가는 데 마음을 두세요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다 알지 못해도 괜찮다고 여기면 불확실함 속에서도 덜 흔들려요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</si>
  <si>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[Claude </t>
    </r>
    <r>
      <rPr>
        <sz val="10"/>
        <rFont val="Noto Sans CJK SC"/>
        <family val="2"/>
      </rPr>
      <t xml:space="preserve">점검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고침</t>
    </r>
    <r>
      <rPr>
        <sz val="10"/>
        <rFont val="Malgun Gothic"/>
        <family val="0"/>
        <charset val="1"/>
      </rPr>
      <t xml:space="preserve">] '</t>
    </r>
    <r>
      <rPr>
        <sz val="10"/>
        <rFont val="Noto Sans CJK SC"/>
        <family val="2"/>
      </rPr>
      <t xml:space="preserve">함께 떠다녀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의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함께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가 누구와인지 모호 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전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불확실함을 없애려 하기보다 그 안에서 함께 떠다녀 보세요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해파리가 물결에 몸을 맡기며 은은하게 빛나듯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다음 한 걸음만 비출 수 있으면 충분해요</t>
    </r>
    <r>
      <rPr>
        <sz val="10"/>
        <rFont val="Malgun Gothic"/>
        <family val="0"/>
        <charset val="1"/>
      </rPr>
      <t xml:space="preserve">.)</t>
    </r>
  </si>
  <si>
    <t xml:space="preserve">cards.18.reversed.positions.now</t>
  </si>
  <si>
    <r>
      <rPr>
        <sz val="10"/>
        <rFont val="Noto Sans CJK SC"/>
        <family val="2"/>
      </rPr>
      <t xml:space="preserve">그동안 막연한 걱정 속에서도 무엇이 문제인지 하나씩 짚어 보려 애써 왔을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노력 덕분에 흐릿하던 상황이 조금씩 정리되어 왔어요</t>
    </r>
    <r>
      <rPr>
        <sz val="10"/>
        <rFont val="Malgun Gothic"/>
        <family val="0"/>
        <charset val="1"/>
      </rPr>
      <t xml:space="preserve">.</t>
    </r>
  </si>
  <si>
    <t xml:space="preserve">cards.18.reversed.positions.hold</t>
  </si>
  <si>
    <r>
      <rPr>
        <sz val="10"/>
        <rFont val="Noto Sans CJK SC"/>
        <family val="2"/>
      </rPr>
      <t xml:space="preserve">지금은 상황이 조금씩 보이기 시작했지만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남은 작은 불확실함에도 예민해져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이대로라면 다 정리되기 전까지 마음을 놓지 못하기 쉽습니다</t>
    </r>
    <r>
      <rPr>
        <sz val="10"/>
        <rFont val="Malgun Gothic"/>
        <family val="0"/>
        <charset val="1"/>
      </rPr>
      <t xml:space="preserve">.</t>
    </r>
  </si>
  <si>
    <t xml:space="preserve">cards.18.reversed.positions.step</t>
  </si>
  <si>
    <r>
      <rPr>
        <sz val="10"/>
        <rFont val="Noto Sans CJK SC"/>
        <family val="2"/>
      </rPr>
      <t xml:space="preserve">앞으로는 이미 보이기 시작한 것에 마음을 두세요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정리된 부분부터 믿고 움직이면 남은 물음표도 덜 크게 느껴집니다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</si>
  <si>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그동안 고민 속에서도 작은 즐거움을 찾아 웃으며 지내 왔을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웃음이 힘든 날에도 버틸 기운이 되어 왔어요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</si>
  <si>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[Claude </t>
    </r>
    <r>
      <rPr>
        <sz val="10"/>
        <rFont val="Noto Sans CJK SC"/>
        <family val="2"/>
      </rPr>
      <t xml:space="preserve">점검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고침</t>
    </r>
    <r>
      <rPr>
        <sz val="10"/>
        <rFont val="Malgun Gothic"/>
        <family val="0"/>
        <charset val="1"/>
      </rPr>
      <t xml:space="preserve">] '</t>
    </r>
    <r>
      <rPr>
        <sz val="10"/>
        <rFont val="Noto Sans CJK SC"/>
        <family val="2"/>
      </rPr>
      <t xml:space="preserve">그 순간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의 가리키는 대상이 불분명</t>
    </r>
    <r>
      <rPr>
        <sz val="10"/>
        <rFont val="Malgun Gothic"/>
        <family val="0"/>
        <charset val="1"/>
      </rPr>
      <t xml:space="preserve">, '</t>
    </r>
    <r>
      <rPr>
        <sz val="10"/>
        <rFont val="Noto Sans CJK SC"/>
        <family val="2"/>
      </rPr>
      <t xml:space="preserve">당신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사용 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전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고민이 있어도 마음 한쪽에 기쁨과 기대가 살아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순간에도 웃을 수 있는 힘이 지금 당신의 큰 자원이에요</t>
    </r>
    <r>
      <rPr>
        <sz val="10"/>
        <rFont val="Malgun Gothic"/>
        <family val="0"/>
        <charset val="1"/>
      </rPr>
      <t xml:space="preserve">.)</t>
    </r>
  </si>
  <si>
    <t xml:space="preserve">cards.19.positions.hold</t>
  </si>
  <si>
    <r>
      <rPr>
        <sz val="10"/>
        <rFont val="Noto Sans CJK SC"/>
        <family val="2"/>
      </rPr>
      <t xml:space="preserve">지금은 고민이 있어도 기쁨과 기대가 함께 살아 있어 하루를 버틸 힘이 되어 줘요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이대로 기쁨을 잘 누리면 고민도 조금 더 가볍게 바라보기 쉽습니다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</si>
  <si>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앞으로는 좋은 순간을 충분히 누리는 데 마음을 두세요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물개가 햇살 바위에서 쉬듯 기쁨을 느긋하게 즐기면 고민을 마주할 기운도 다시 채워집니다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</si>
  <si>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[Claude </t>
    </r>
    <r>
      <rPr>
        <sz val="10"/>
        <rFont val="Noto Sans CJK SC"/>
        <family val="2"/>
      </rPr>
      <t xml:space="preserve">점검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고침</t>
    </r>
    <r>
      <rPr>
        <sz val="10"/>
        <rFont val="Malgun Gothic"/>
        <family val="0"/>
        <charset val="1"/>
      </rPr>
      <t xml:space="preserve">] '</t>
    </r>
    <r>
      <rPr>
        <sz val="10"/>
        <rFont val="Noto Sans CJK SC"/>
        <family val="2"/>
      </rPr>
      <t xml:space="preserve">햇살 바위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어색 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전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좋은 순간을 조금 더 오래 머금어 보세요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물개가 햇살 바위 위에서 몸을 데우듯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기쁨을 음미하는 시간이 마음의 배터리를 채워 줘요</t>
    </r>
    <r>
      <rPr>
        <sz val="10"/>
        <rFont val="Malgun Gothic"/>
        <family val="0"/>
        <charset val="1"/>
      </rPr>
      <t xml:space="preserve">.)</t>
    </r>
  </si>
  <si>
    <t xml:space="preserve">cards.19.reversed.positions.now</t>
  </si>
  <si>
    <r>
      <rPr>
        <sz val="10"/>
        <rFont val="Noto Sans CJK SC"/>
        <family val="2"/>
      </rPr>
      <t xml:space="preserve">그동안 좋은 일이 생겨도 다음 걱정부터 챙기며 기쁨을 뒤로 미뤄 왔을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그렇게 미뤄 둔 사이 웃을 일도 조금씩 줄어 왔습니다</t>
    </r>
    <r>
      <rPr>
        <sz val="10"/>
        <rFont val="Malgun Gothic"/>
        <family val="0"/>
        <charset val="1"/>
      </rPr>
      <t xml:space="preserve">.</t>
    </r>
  </si>
  <si>
    <t xml:space="preserve">cards.19.reversed.positions.hold</t>
  </si>
  <si>
    <r>
      <rPr>
        <sz val="10"/>
        <rFont val="Noto Sans CJK SC"/>
        <family val="2"/>
      </rPr>
      <t xml:space="preserve">지금은 좋은 순간이 와도 마음껏 누리지 못해 쉬어도 기운이 잘 차오르지 않아요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이대로라면 작은 행복을 그냥 지나치며 더 지치기 쉽습니다</t>
    </r>
    <r>
      <rPr>
        <sz val="10"/>
        <rFont val="Malgun Gothic"/>
        <family val="0"/>
        <charset val="1"/>
      </rPr>
      <t xml:space="preserve">.</t>
    </r>
  </si>
  <si>
    <t xml:space="preserve">cards.19.reversed.positions.step</t>
  </si>
  <si>
    <r>
      <rPr>
        <sz val="10"/>
        <rFont val="Noto Sans CJK SC"/>
        <family val="2"/>
      </rPr>
      <t xml:space="preserve">앞으로는 다음 걱정보다 지금 찾아온 기쁨을 받아들이는 데 마음을 두세요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작은 기쁨을 미루지 않으면 지친 마음에도 다시 웃을 힘이 생깁니다</t>
    </r>
    <r>
      <rPr>
        <sz val="10"/>
        <rFont val="Malgun Gothic"/>
        <family val="0"/>
        <charset val="1"/>
      </rPr>
      <t xml:space="preserve">.</t>
    </r>
  </si>
  <si>
    <t xml:space="preserve">cards.20.positions.now</t>
  </si>
  <si>
    <r>
      <rPr>
        <sz val="10"/>
        <rFont val="Noto Sans CJK SC"/>
        <family val="2"/>
      </rPr>
      <t xml:space="preserve">그동안 마음 깊은 곳의 바람을 알면서도 해야 할 일에 밀려 뒤로 미뤄 왔을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그래도 그 바람은 사라지지 않고 계속 나를 불러 왔습니다</t>
    </r>
    <r>
      <rPr>
        <sz val="10"/>
        <rFont val="Malgun Gothic"/>
        <family val="0"/>
        <charset val="1"/>
      </rPr>
      <t xml:space="preserve">.</t>
    </r>
  </si>
  <si>
    <t xml:space="preserve">cards.20.positions.hold</t>
  </si>
  <si>
    <r>
      <rPr>
        <sz val="10"/>
        <rFont val="Noto Sans CJK SC"/>
        <family val="2"/>
      </rPr>
      <t xml:space="preserve">지금은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나는 정말 무엇을 원하지</t>
    </r>
    <r>
      <rPr>
        <sz val="10"/>
        <rFont val="Malgun Gothic"/>
        <family val="0"/>
        <charset val="1"/>
      </rPr>
      <t xml:space="preserve">?'</t>
    </r>
    <r>
      <rPr>
        <sz val="10"/>
        <rFont val="Noto Sans CJK SC"/>
        <family val="2"/>
      </rPr>
      <t xml:space="preserve">라는 물음이 커져 익숙한 자리가 낯설게 느껴질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이대로라면 답을 찾기 전까지 마음이 계속 들썩이기 쉬워요</t>
    </r>
    <r>
      <rPr>
        <sz val="10"/>
        <rFont val="Malgun Gothic"/>
        <family val="0"/>
        <charset val="1"/>
      </rPr>
      <t xml:space="preserve">.</t>
    </r>
  </si>
  <si>
    <t xml:space="preserve">cards.20.positions.step</t>
  </si>
  <si>
    <r>
      <rPr>
        <sz val="10"/>
        <rFont val="Noto Sans CJK SC"/>
        <family val="2"/>
      </rPr>
      <t xml:space="preserve">앞으로는 나에게 정말 중요한 가치가 무엇인지에 마음을 두세요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가치가 또렷해지면 작은 선택 하나도 내 바람에 답하는 걸음이 됩니다</t>
    </r>
    <r>
      <rPr>
        <sz val="10"/>
        <rFont val="Malgun Gothic"/>
        <family val="0"/>
        <charset val="1"/>
      </rPr>
      <t xml:space="preserve">.</t>
    </r>
  </si>
  <si>
    <t xml:space="preserve">cards.20.reversed.positions.now</t>
  </si>
  <si>
    <r>
      <rPr>
        <sz val="10"/>
        <rFont val="Noto Sans CJK SC"/>
        <family val="2"/>
      </rPr>
      <t xml:space="preserve">그동안 바뀌고 싶을 때마다 스스로에게 높은 기준을 세워 왔을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기준 덕분에 신중할 수 있었지만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첫걸음은 자꾸 뒤로 밀려 왔습니다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</si>
  <si>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지금은 무언가 바꿔야 한다는 느낌은 있지만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지난 선택을 평가하느라 방향이 흐릿합니다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이대로라면 망설이는 시간이 길어지며 자신감이 줄기 쉬워요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</si>
  <si>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[Claude </t>
    </r>
    <r>
      <rPr>
        <sz val="10"/>
        <rFont val="Noto Sans CJK SC"/>
        <family val="2"/>
      </rPr>
      <t xml:space="preserve">점검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고침</t>
    </r>
    <r>
      <rPr>
        <sz val="10"/>
        <rFont val="Malgun Gothic"/>
        <family val="0"/>
        <charset val="1"/>
      </rPr>
      <t xml:space="preserve">] </t>
    </r>
    <r>
      <rPr>
        <sz val="10"/>
        <rFont val="Noto Sans CJK SC"/>
        <family val="2"/>
      </rPr>
      <t xml:space="preserve">정방향 </t>
    </r>
    <r>
      <rPr>
        <sz val="10"/>
        <rFont val="Malgun Gothic"/>
        <family val="0"/>
        <charset val="1"/>
      </rPr>
      <t xml:space="preserve">hold('</t>
    </r>
    <r>
      <rPr>
        <sz val="10"/>
        <rFont val="Noto Sans CJK SC"/>
        <family val="2"/>
      </rPr>
      <t xml:space="preserve">지난 선택에 대한 후회나 스스로에 대한 평가</t>
    </r>
    <r>
      <rPr>
        <sz val="10"/>
        <rFont val="Malgun Gothic"/>
        <family val="0"/>
        <charset val="1"/>
      </rPr>
      <t xml:space="preserve">')</t>
    </r>
    <r>
      <rPr>
        <sz val="10"/>
        <rFont val="Noto Sans CJK SC"/>
        <family val="2"/>
      </rPr>
      <t xml:space="preserve">와 거의 같은 문장 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전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지난 선택에 대한 후회나 자기 비판이 새로운 시작을 붙잡고 있을 수 있어요</t>
    </r>
    <r>
      <rPr>
        <sz val="10"/>
        <rFont val="Malgun Gothic"/>
        <family val="0"/>
        <charset val="1"/>
      </rPr>
      <t xml:space="preserve">.)</t>
    </r>
  </si>
  <si>
    <t xml:space="preserve">cards.20.reversed.positions.step</t>
  </si>
  <si>
    <r>
      <rPr>
        <sz val="10"/>
        <rFont val="Noto Sans CJK SC"/>
        <family val="2"/>
      </rPr>
      <t xml:space="preserve">앞으로는 잘해야 한다는 기준보다 지금 끌리는 방향에 마음을 두세요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기준을 조금 낮추면 흐릿하던 바람도 시작할 수 있는 크기로 보여요</t>
    </r>
    <r>
      <rPr>
        <sz val="10"/>
        <rFont val="Malgun Gothic"/>
        <family val="0"/>
        <charset val="1"/>
      </rPr>
      <t xml:space="preserve">.</t>
    </r>
  </si>
  <si>
    <t xml:space="preserve">cards.21.positions.now</t>
  </si>
  <si>
    <r>
      <rPr>
        <sz val="10"/>
        <rFont val="Noto Sans CJK SC"/>
        <family val="2"/>
      </rPr>
      <t xml:space="preserve">그동안 한 시기를 끝까지 지나오며 맡은 몫을 차근차근 채워 왔을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그렇게 쌓인 시간이 이제 하나의 매듭이 되어 가고 있습니다</t>
    </r>
    <r>
      <rPr>
        <sz val="10"/>
        <rFont val="Malgun Gothic"/>
        <family val="0"/>
        <charset val="1"/>
      </rPr>
      <t xml:space="preserve">.</t>
    </r>
  </si>
  <si>
    <t xml:space="preserve">cards.21.positions.hold</t>
  </si>
  <si>
    <r>
      <rPr>
        <sz val="10"/>
        <rFont val="Noto Sans CJK SC"/>
        <family val="2"/>
      </rPr>
      <t xml:space="preserve">지금은 무언가가 매듭지어지는데도 다음 목표가 먼저 보여 지금까지의 여정을 돌아볼 틈이 없습니다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이대로라면 해낸 일이 많아도 성취감은 금세 흐려지기 쉬워요</t>
    </r>
    <r>
      <rPr>
        <sz val="10"/>
        <rFont val="Malgun Gothic"/>
        <family val="0"/>
        <charset val="1"/>
      </rPr>
      <t xml:space="preserve">.</t>
    </r>
  </si>
  <si>
    <t xml:space="preserve">cards.21.positions.step</t>
  </si>
  <si>
    <r>
      <rPr>
        <sz val="10"/>
        <rFont val="Noto Sans CJK SC"/>
        <family val="2"/>
      </rPr>
      <t xml:space="preserve">앞으로는 지나온 여정과 나를 도와준 사람들을 돌아보는 데 마음을 두세요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한 바퀴를 잘 매듭지으면 다음 시작도 한결 가볍게 맞을 수 있어요</t>
    </r>
    <r>
      <rPr>
        <sz val="10"/>
        <rFont val="Malgun Gothic"/>
        <family val="0"/>
        <charset val="1"/>
      </rPr>
      <t xml:space="preserve">.</t>
    </r>
  </si>
  <si>
    <t xml:space="preserve">cards.21.reversed.positions.now</t>
  </si>
  <si>
    <r>
      <rPr>
        <sz val="10"/>
        <rFont val="Noto Sans CJK SC"/>
        <family val="2"/>
      </rPr>
      <t xml:space="preserve">그동안 더 잘할 수 있었다는 아쉬움에 마무리를 자꾸 미뤄 왔을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꼼꼼함이 결과를 다듬어 왔지만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끝나지 않은 일도 함께 쌓여 왔어요</t>
    </r>
    <r>
      <rPr>
        <sz val="10"/>
        <rFont val="Malgun Gothic"/>
        <family val="0"/>
        <charset val="1"/>
      </rPr>
      <t xml:space="preserve">.</t>
    </r>
  </si>
  <si>
    <t xml:space="preserve">cards.21.reversed.positions.hold</t>
  </si>
  <si>
    <r>
      <rPr>
        <sz val="10"/>
        <rFont val="Noto Sans CJK SC"/>
        <family val="2"/>
      </rPr>
      <t xml:space="preserve">지금은 끝이 보이는데도 마지막 한 걸음이 유난히 무겁게 느껴집니다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이대로라면 남은 일이 마음 한쪽을 차지해 쉬어도 개운하지 않기 쉬워요</t>
    </r>
    <r>
      <rPr>
        <sz val="10"/>
        <rFont val="Malgun Gothic"/>
        <family val="0"/>
        <charset val="1"/>
      </rPr>
      <t xml:space="preserve">.</t>
    </r>
  </si>
  <si>
    <t xml:space="preserve">cards.21.reversed.positions.step</t>
  </si>
  <si>
    <r>
      <rPr>
        <sz val="10"/>
        <rFont val="Noto Sans CJK SC"/>
        <family val="2"/>
      </rPr>
      <t xml:space="preserve">앞으로는 완벽보다 완료에 마음을 두세요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아쉬움이 조금 남아도 매듭을 지으면 다음으로 나아갈 여유가 생겨요</t>
    </r>
    <r>
      <rPr>
        <sz val="10"/>
        <rFont val="Malgun Gothic"/>
        <family val="0"/>
        <charset val="1"/>
      </rPr>
      <t xml:space="preserve">.</t>
    </r>
  </si>
  <si>
    <t xml:space="preserve">cards.0.asks_pos.now</t>
  </si>
  <si>
    <r>
      <rPr>
        <sz val="10"/>
        <rFont val="Noto Sans CJK SC"/>
        <family val="2"/>
      </rPr>
      <t xml:space="preserve">곱씹어 볼 질문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지나온 길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정방향</t>
    </r>
  </si>
  <si>
    <r>
      <rPr>
        <sz val="10"/>
        <rFont val="Noto Sans CJK SC"/>
        <family val="2"/>
      </rPr>
      <t xml:space="preserve">그동안 해 보고 싶은 일을 마음속으로만 여러 번 그려 보며 지내 오지 않았나요</t>
    </r>
    <r>
      <rPr>
        <sz val="10"/>
        <rFont val="Malgun Gothic"/>
        <family val="0"/>
        <charset val="1"/>
      </rPr>
      <t xml:space="preserve">?</t>
    </r>
  </si>
  <si>
    <t xml:space="preserve">cards.0.asks_pos.hold</t>
  </si>
  <si>
    <r>
      <rPr>
        <sz val="10"/>
        <rFont val="Noto Sans CJK SC"/>
        <family val="2"/>
      </rPr>
      <t xml:space="preserve">곱씹어 볼 질문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지금의 흐름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정방향</t>
    </r>
  </si>
  <si>
    <r>
      <rPr>
        <sz val="10"/>
        <rFont val="Noto Sans CJK SC"/>
        <family val="2"/>
      </rPr>
      <t xml:space="preserve">혹시 지금 해 보고 싶은 마음은 큰데 어디서부터 시작할지 몰라 제자리에 머물러 있지는 않나요</t>
    </r>
    <r>
      <rPr>
        <sz val="10"/>
        <rFont val="Malgun Gothic"/>
        <family val="0"/>
        <charset val="1"/>
      </rPr>
      <t xml:space="preserve">?</t>
    </r>
  </si>
  <si>
    <t xml:space="preserve">cards.0.asks_pos.step</t>
  </si>
  <si>
    <r>
      <rPr>
        <sz val="10"/>
        <rFont val="Noto Sans CJK SC"/>
        <family val="2"/>
      </rPr>
      <t xml:space="preserve">곱씹어 볼 질문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앞으로의 열쇠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정방향</t>
    </r>
  </si>
  <si>
    <r>
      <rPr>
        <sz val="10"/>
        <rFont val="Noto Sans CJK SC"/>
        <family val="2"/>
      </rPr>
      <t xml:space="preserve">앞으로 충분히 준비된 뒤에 시작하는 쪽과 서툴러도 일단 해 보는 쪽 중 어느 쪽에 더 마음을 두고 싶나요</t>
    </r>
    <r>
      <rPr>
        <sz val="10"/>
        <rFont val="Malgun Gothic"/>
        <family val="0"/>
        <charset val="1"/>
      </rPr>
      <t xml:space="preserve">?</t>
    </r>
  </si>
  <si>
    <t xml:space="preserve">cards.0.reversed.asks_pos.now</t>
  </si>
  <si>
    <r>
      <rPr>
        <sz val="10"/>
        <rFont val="Noto Sans CJK SC"/>
        <family val="2"/>
      </rPr>
      <t xml:space="preserve">곱씹어 볼 질문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지나온 길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역방향</t>
    </r>
  </si>
  <si>
    <r>
      <rPr>
        <sz val="10"/>
        <rFont val="Noto Sans CJK SC"/>
        <family val="2"/>
      </rPr>
      <t xml:space="preserve">그동안 처음부터 잘해야 한다는 생각에 해 보고 싶은 일을 계속 미뤄 오지 않았나요</t>
    </r>
    <r>
      <rPr>
        <sz val="10"/>
        <rFont val="Malgun Gothic"/>
        <family val="0"/>
        <charset val="1"/>
      </rPr>
      <t xml:space="preserve">?</t>
    </r>
  </si>
  <si>
    <t xml:space="preserve">cards.0.reversed.asks_pos.hold</t>
  </si>
  <si>
    <r>
      <rPr>
        <sz val="10"/>
        <rFont val="Noto Sans CJK SC"/>
        <family val="2"/>
      </rPr>
      <t xml:space="preserve">곱씹어 볼 질문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지금의 흐름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역방향</t>
    </r>
  </si>
  <si>
    <r>
      <rPr>
        <sz val="10"/>
        <rFont val="Noto Sans CJK SC"/>
        <family val="2"/>
      </rPr>
      <t xml:space="preserve">혹시 지금 잘하지 못할까 봐 해 보고 싶은 일 앞에서 계속 머뭇거리고 있지는 않나요</t>
    </r>
    <r>
      <rPr>
        <sz val="10"/>
        <rFont val="Malgun Gothic"/>
        <family val="0"/>
        <charset val="1"/>
      </rPr>
      <t xml:space="preserve">?</t>
    </r>
  </si>
  <si>
    <t xml:space="preserve">cards.0.reversed.asks_pos.step</t>
  </si>
  <si>
    <r>
      <rPr>
        <sz val="10"/>
        <rFont val="Noto Sans CJK SC"/>
        <family val="2"/>
      </rPr>
      <t xml:space="preserve">곱씹어 볼 질문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앞으로의 열쇠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역방향</t>
    </r>
  </si>
  <si>
    <r>
      <rPr>
        <sz val="10"/>
        <rFont val="Noto Sans CJK SC"/>
        <family val="2"/>
      </rPr>
      <t xml:space="preserve">앞으로 완벽하게 준비하는 쪽과 서툰 채로 조금씩 해 보는 쪽 중 어느 쪽에 더 마음을 두고 싶나요</t>
    </r>
    <r>
      <rPr>
        <sz val="10"/>
        <rFont val="Malgun Gothic"/>
        <family val="0"/>
        <charset val="1"/>
      </rPr>
      <t xml:space="preserve">?</t>
    </r>
  </si>
  <si>
    <t xml:space="preserve">cards.1.asks_pos.now</t>
  </si>
  <si>
    <r>
      <rPr>
        <sz val="10"/>
        <rFont val="Noto Sans CJK SC"/>
        <family val="2"/>
      </rPr>
      <t xml:space="preserve">그동안 무슨 일이든 내 손으로 직접 해결하려고 여러 방법을 시도해 오지 않았나요</t>
    </r>
    <r>
      <rPr>
        <sz val="10"/>
        <rFont val="Malgun Gothic"/>
        <family val="0"/>
        <charset val="1"/>
      </rPr>
      <t xml:space="preserve">?</t>
    </r>
  </si>
  <si>
    <t xml:space="preserve">cards.1.asks_pos.hold</t>
  </si>
  <si>
    <r>
      <rPr>
        <sz val="10"/>
        <rFont val="Noto Sans CJK SC"/>
        <family val="2"/>
      </rPr>
      <t xml:space="preserve">혹시 지금 부족한 것에만 눈이 가서 이미 가진 강점을 잊고 있지는 않나요</t>
    </r>
    <r>
      <rPr>
        <sz val="10"/>
        <rFont val="Malgun Gothic"/>
        <family val="0"/>
        <charset val="1"/>
      </rPr>
      <t xml:space="preserve">?</t>
    </r>
  </si>
  <si>
    <t xml:space="preserve">cards.1.asks_pos.step</t>
  </si>
  <si>
    <r>
      <rPr>
        <sz val="10"/>
        <rFont val="Noto Sans CJK SC"/>
        <family val="2"/>
      </rPr>
      <t xml:space="preserve">앞으로 부족한 것을 채우는 쪽과 가진 것을 잘 쓰는 쪽 중 어느 쪽에 더 마음을 두고 싶나요</t>
    </r>
    <r>
      <rPr>
        <sz val="10"/>
        <rFont val="Malgun Gothic"/>
        <family val="0"/>
        <charset val="1"/>
      </rPr>
      <t xml:space="preserve">?</t>
    </r>
  </si>
  <si>
    <t xml:space="preserve">cards.1.reversed.asks_pos.now</t>
  </si>
  <si>
    <r>
      <rPr>
        <sz val="10"/>
        <rFont val="Noto Sans CJK SC"/>
        <family val="2"/>
      </rPr>
      <t xml:space="preserve">그동안 하나를 끝내기도 전에 다른 일을 또 붙잡으며 바쁘게 지내 오지 않았나요</t>
    </r>
    <r>
      <rPr>
        <sz val="10"/>
        <rFont val="Malgun Gothic"/>
        <family val="0"/>
        <charset val="1"/>
      </rPr>
      <t xml:space="preserve">?</t>
    </r>
  </si>
  <si>
    <t xml:space="preserve">cards.1.reversed.asks_pos.hold</t>
  </si>
  <si>
    <r>
      <rPr>
        <sz val="10"/>
        <rFont val="Noto Sans CJK SC"/>
        <family val="2"/>
      </rPr>
      <t xml:space="preserve">혹시 지금 모든 걸 다 해내려다 정작 중요한 일에는 힘이 남지 않고 있지는 않나요</t>
    </r>
    <r>
      <rPr>
        <sz val="10"/>
        <rFont val="Malgun Gothic"/>
        <family val="0"/>
        <charset val="1"/>
      </rPr>
      <t xml:space="preserve">?</t>
    </r>
  </si>
  <si>
    <t xml:space="preserve">cards.1.reversed.asks_pos.step</t>
  </si>
  <si>
    <r>
      <rPr>
        <sz val="10"/>
        <rFont val="Noto Sans CJK SC"/>
        <family val="2"/>
      </rPr>
      <t xml:space="preserve">앞으로 여러 일을 동시에 붙잡는 쪽과 한 가지를 끝까지 해내는 쪽 중 어느 쪽에 더 마음을 두고 싶나요</t>
    </r>
    <r>
      <rPr>
        <sz val="10"/>
        <rFont val="Malgun Gothic"/>
        <family val="0"/>
        <charset val="1"/>
      </rPr>
      <t xml:space="preserve">?</t>
    </r>
  </si>
  <si>
    <t xml:space="preserve">cards.2.asks_pos.now</t>
  </si>
  <si>
    <r>
      <rPr>
        <sz val="10"/>
        <rFont val="Noto Sans CJK SC"/>
        <family val="2"/>
      </rPr>
      <t xml:space="preserve">그동안 마음속으로는 답을 짐작하면서도 겉으로는 말하지 않고 지켜보기만 해 오지 않았나요</t>
    </r>
    <r>
      <rPr>
        <sz val="10"/>
        <rFont val="Malgun Gothic"/>
        <family val="0"/>
        <charset val="1"/>
      </rPr>
      <t xml:space="preserve">?</t>
    </r>
  </si>
  <si>
    <t xml:space="preserve">cards.2.asks_pos.hold</t>
  </si>
  <si>
    <r>
      <rPr>
        <sz val="10"/>
        <rFont val="Noto Sans CJK SC"/>
        <family val="2"/>
      </rPr>
      <t xml:space="preserve">혹시 지금 다른 사람의 의견에 가려 내 마음이 정말 원하는 것을 놓치고 있지는 않나요</t>
    </r>
    <r>
      <rPr>
        <sz val="10"/>
        <rFont val="Malgun Gothic"/>
        <family val="0"/>
        <charset val="1"/>
      </rPr>
      <t xml:space="preserve">?</t>
    </r>
  </si>
  <si>
    <t xml:space="preserve">cards.2.asks_pos.step</t>
  </si>
  <si>
    <r>
      <rPr>
        <sz val="10"/>
        <rFont val="Noto Sans CJK SC"/>
        <family val="2"/>
      </rPr>
      <t xml:space="preserve">앞으로 남이 말하는 정답을 따르는 쪽과 내 안의 느낌을 믿어 보는 쪽 중 어느 쪽에 더 마음을 두고 싶나요</t>
    </r>
    <r>
      <rPr>
        <sz val="10"/>
        <rFont val="Malgun Gothic"/>
        <family val="0"/>
        <charset val="1"/>
      </rPr>
      <t xml:space="preserve">?</t>
    </r>
  </si>
  <si>
    <t xml:space="preserve">cards.2.reversed.asks_pos.now</t>
  </si>
  <si>
    <r>
      <rPr>
        <sz val="10"/>
        <rFont val="Noto Sans CJK SC"/>
        <family val="2"/>
      </rPr>
      <t xml:space="preserve">그동안 내 판단을 믿기보다 다른 사람의 의견과 후기를 먼저 찾아보며 지내 오지 않았나요</t>
    </r>
    <r>
      <rPr>
        <sz val="10"/>
        <rFont val="Malgun Gothic"/>
        <family val="0"/>
        <charset val="1"/>
      </rPr>
      <t xml:space="preserve">?</t>
    </r>
  </si>
  <si>
    <t xml:space="preserve">cards.2.reversed.asks_pos.hold</t>
  </si>
  <si>
    <r>
      <rPr>
        <sz val="10"/>
        <rFont val="Noto Sans CJK SC"/>
        <family val="2"/>
      </rPr>
      <t xml:space="preserve">혹시 지금 생각이 너무 많아 내 느낌이 어떤지조차 잘 모르는 날이 이어지고 있지는 않나요</t>
    </r>
    <r>
      <rPr>
        <sz val="10"/>
        <rFont val="Malgun Gothic"/>
        <family val="0"/>
        <charset val="1"/>
      </rPr>
      <t xml:space="preserve">?</t>
    </r>
  </si>
  <si>
    <t xml:space="preserve">cards.2.reversed.asks_pos.step</t>
  </si>
  <si>
    <r>
      <rPr>
        <sz val="10"/>
        <rFont val="Noto Sans CJK SC"/>
        <family val="2"/>
      </rPr>
      <t xml:space="preserve">앞으로 더 많은 의견을 모으는 쪽과 내 첫 느낌을 다시 들어 보는 쪽 중 어느 쪽에 더 마음을 두고 싶나요</t>
    </r>
    <r>
      <rPr>
        <sz val="10"/>
        <rFont val="Malgun Gothic"/>
        <family val="0"/>
        <charset val="1"/>
      </rPr>
      <t xml:space="preserve">?</t>
    </r>
  </si>
  <si>
    <t xml:space="preserve">cards.3.asks_pos.now</t>
  </si>
  <si>
    <r>
      <rPr>
        <sz val="10"/>
        <rFont val="Noto Sans CJK SC"/>
        <family val="2"/>
      </rPr>
      <t xml:space="preserve">그동안 다른 사람의 기분과 필요를 먼저 살피느라 내 마음은 뒤로 미뤄 오지 않았나요</t>
    </r>
    <r>
      <rPr>
        <sz val="10"/>
        <rFont val="Malgun Gothic"/>
        <family val="0"/>
        <charset val="1"/>
      </rPr>
      <t xml:space="preserve">?</t>
    </r>
  </si>
  <si>
    <t xml:space="preserve">cards.3.asks_pos.hold</t>
  </si>
  <si>
    <r>
      <rPr>
        <sz val="10"/>
        <rFont val="Noto Sans CJK SC"/>
        <family val="2"/>
      </rPr>
      <t xml:space="preserve">혹시 지금 남을 챙기는 데는 익숙한데 나를 챙기는 일은 어색하게 느끼고 있지는 않나요</t>
    </r>
    <r>
      <rPr>
        <sz val="10"/>
        <rFont val="Malgun Gothic"/>
        <family val="0"/>
        <charset val="1"/>
      </rPr>
      <t xml:space="preserve">?</t>
    </r>
  </si>
  <si>
    <t xml:space="preserve">cards.3.asks_pos.step</t>
  </si>
  <si>
    <r>
      <rPr>
        <sz val="10"/>
        <rFont val="Noto Sans CJK SC"/>
        <family val="2"/>
      </rPr>
      <t xml:space="preserve">앞으로 늘 남을 먼저 챙기는 쪽과 나도 함께 돌보는 쪽 중 어느 쪽에 더 마음을 두고 싶나요</t>
    </r>
    <r>
      <rPr>
        <sz val="10"/>
        <rFont val="Malgun Gothic"/>
        <family val="0"/>
        <charset val="1"/>
      </rPr>
      <t xml:space="preserve">?</t>
    </r>
  </si>
  <si>
    <t xml:space="preserve">cards.3.reversed.asks_pos.now</t>
  </si>
  <si>
    <r>
      <rPr>
        <sz val="10"/>
        <rFont val="Noto Sans CJK SC"/>
        <family val="2"/>
      </rPr>
      <t xml:space="preserve">그동안 누군가 도와주겠다고 해도 괜찮다며 먼저 사양해 오지 않았나요</t>
    </r>
    <r>
      <rPr>
        <sz val="10"/>
        <rFont val="Malgun Gothic"/>
        <family val="0"/>
        <charset val="1"/>
      </rPr>
      <t xml:space="preserve">?</t>
    </r>
  </si>
  <si>
    <t xml:space="preserve">cards.3.reversed.asks_pos.hold</t>
  </si>
  <si>
    <r>
      <rPr>
        <sz val="10"/>
        <rFont val="Noto Sans CJK SC"/>
        <family val="2"/>
      </rPr>
      <t xml:space="preserve">혹시 지금 누군가를 챙길 힘이 남아 있지 않은데도 여전히 괜찮은 척하고 있지는 않나요</t>
    </r>
    <r>
      <rPr>
        <sz val="10"/>
        <rFont val="Malgun Gothic"/>
        <family val="0"/>
        <charset val="1"/>
      </rPr>
      <t xml:space="preserve">?</t>
    </r>
  </si>
  <si>
    <t xml:space="preserve">cards.3.reversed.asks_pos.step</t>
  </si>
  <si>
    <r>
      <rPr>
        <sz val="10"/>
        <rFont val="Noto Sans CJK SC"/>
        <family val="2"/>
      </rPr>
      <t xml:space="preserve">앞으로 혼자 다 해내려는 쪽과 건네받은 도움을 편하게 받는 쪽 중 어느 쪽에 더 마음을 두고 싶나요</t>
    </r>
    <r>
      <rPr>
        <sz val="10"/>
        <rFont val="Malgun Gothic"/>
        <family val="0"/>
        <charset val="1"/>
      </rPr>
      <t xml:space="preserve">?</t>
    </r>
  </si>
  <si>
    <t xml:space="preserve">cards.4.asks_pos.now</t>
  </si>
  <si>
    <r>
      <rPr>
        <sz val="10"/>
        <rFont val="Noto Sans CJK SC"/>
        <family val="2"/>
      </rPr>
      <t xml:space="preserve">그동안 내가 손을 놓으면 다 흐트러질까 봐 쉬는 날에도 일을 붙잡아 오지 않았나요</t>
    </r>
    <r>
      <rPr>
        <sz val="10"/>
        <rFont val="Malgun Gothic"/>
        <family val="0"/>
        <charset val="1"/>
      </rPr>
      <t xml:space="preserve">?</t>
    </r>
  </si>
  <si>
    <t xml:space="preserve">cards.4.asks_pos.hold</t>
  </si>
  <si>
    <r>
      <rPr>
        <sz val="10"/>
        <rFont val="Noto Sans CJK SC"/>
        <family val="2"/>
      </rPr>
      <t xml:space="preserve">혹시 지금 통제할 수 없는 일까지 붙잡느라 쉬어도 개운하지 않은 날이 이어지고 있지는 않나요</t>
    </r>
    <r>
      <rPr>
        <sz val="10"/>
        <rFont val="Malgun Gothic"/>
        <family val="0"/>
        <charset val="1"/>
      </rPr>
      <t xml:space="preserve">?</t>
    </r>
  </si>
  <si>
    <t xml:space="preserve">cards.4.asks_pos.step</t>
  </si>
  <si>
    <r>
      <rPr>
        <sz val="10"/>
        <rFont val="Noto Sans CJK SC"/>
        <family val="2"/>
      </rPr>
      <t xml:space="preserve">앞으로 모든 걸 내가 쥐는 쪽과 바꿀 수 있는 일에만 힘을 쓰는 쪽 중 어느 쪽에 더 마음을 두고 싶나요</t>
    </r>
    <r>
      <rPr>
        <sz val="10"/>
        <rFont val="Malgun Gothic"/>
        <family val="0"/>
        <charset val="1"/>
      </rPr>
      <t xml:space="preserve">?</t>
    </r>
  </si>
  <si>
    <t xml:space="preserve">cards.4.reversed.asks_pos.now</t>
  </si>
  <si>
    <r>
      <rPr>
        <sz val="10"/>
        <rFont val="Noto Sans CJK SC"/>
        <family val="2"/>
      </rPr>
      <t xml:space="preserve">그동안 계획이 조금만 어긋나도 불안해서 더 단단히 붙잡으려 해 오지 않았나요</t>
    </r>
    <r>
      <rPr>
        <sz val="10"/>
        <rFont val="Malgun Gothic"/>
        <family val="0"/>
        <charset val="1"/>
      </rPr>
      <t xml:space="preserve">?</t>
    </r>
  </si>
  <si>
    <t xml:space="preserve">cards.4.reversed.asks_pos.hold</t>
  </si>
  <si>
    <r>
      <rPr>
        <sz val="10"/>
        <rFont val="Noto Sans CJK SC"/>
        <family val="2"/>
      </rPr>
      <t xml:space="preserve">혹시 지금 하나라도 놓치면 안 된다는 생각에 하루 종일 긴장한 채로 지내고 있지는 않나요</t>
    </r>
    <r>
      <rPr>
        <sz val="10"/>
        <rFont val="Malgun Gothic"/>
        <family val="0"/>
        <charset val="1"/>
      </rPr>
      <t xml:space="preserve">?</t>
    </r>
  </si>
  <si>
    <t xml:space="preserve">cards.4.reversed.asks_pos.step</t>
  </si>
  <si>
    <r>
      <rPr>
        <sz val="10"/>
        <rFont val="Noto Sans CJK SC"/>
        <family val="2"/>
      </rPr>
      <t xml:space="preserve">앞으로 모든 걸 계획대로 지키는 쪽과 중요한 한 가지만 지키는 쪽 중 어느 쪽에 더 마음을 두고 싶나요</t>
    </r>
    <r>
      <rPr>
        <sz val="10"/>
        <rFont val="Malgun Gothic"/>
        <family val="0"/>
        <charset val="1"/>
      </rPr>
      <t xml:space="preserve">?</t>
    </r>
  </si>
  <si>
    <t xml:space="preserve">cards.5.asks_pos.now</t>
  </si>
  <si>
    <r>
      <rPr>
        <sz val="10"/>
        <rFont val="Noto Sans CJK SC"/>
        <family val="2"/>
      </rPr>
      <t xml:space="preserve">그동안 이런 걸 물어봐도 되나 싶어 혼자서만 답을 찾으려 해 오지 않았나요</t>
    </r>
    <r>
      <rPr>
        <sz val="10"/>
        <rFont val="Malgun Gothic"/>
        <family val="0"/>
        <charset val="1"/>
      </rPr>
      <t xml:space="preserve">?</t>
    </r>
  </si>
  <si>
    <t xml:space="preserve">cards.5.asks_pos.hold</t>
  </si>
  <si>
    <r>
      <rPr>
        <sz val="10"/>
        <rFont val="Noto Sans CJK SC"/>
        <family val="2"/>
      </rPr>
      <t xml:space="preserve">혹시 지금 누군가에게 물으면 금방 풀릴 일을 혼자 붙잡고 오래 고민하고 있지는 않나요</t>
    </r>
    <r>
      <rPr>
        <sz val="10"/>
        <rFont val="Malgun Gothic"/>
        <family val="0"/>
        <charset val="1"/>
      </rPr>
      <t xml:space="preserve">?</t>
    </r>
  </si>
  <si>
    <t xml:space="preserve">cards.5.asks_pos.step</t>
  </si>
  <si>
    <r>
      <rPr>
        <sz val="10"/>
        <rFont val="Noto Sans CJK SC"/>
        <family val="2"/>
      </rPr>
      <t xml:space="preserve">앞으로 혼자 답을 찾아가는 쪽과 믿을 만한 지혜에 기대는 쪽 중 어느 쪽에 더 마음을 두고 싶나요</t>
    </r>
    <r>
      <rPr>
        <sz val="10"/>
        <rFont val="Malgun Gothic"/>
        <family val="0"/>
        <charset val="1"/>
      </rPr>
      <t xml:space="preserve">?</t>
    </r>
  </si>
  <si>
    <t xml:space="preserve">cards.5.reversed.asks_pos.now</t>
  </si>
  <si>
    <r>
      <rPr>
        <sz val="10"/>
        <rFont val="Noto Sans CJK SC"/>
        <family val="2"/>
      </rPr>
      <t xml:space="preserve">그동안 다들 그렇게 하니까 하며 나에게 맞지 않는 방식을 참고 따라 오지 않았나요</t>
    </r>
    <r>
      <rPr>
        <sz val="10"/>
        <rFont val="Malgun Gothic"/>
        <family val="0"/>
        <charset val="1"/>
      </rPr>
      <t xml:space="preserve">?</t>
    </r>
  </si>
  <si>
    <t xml:space="preserve">cards.5.reversed.asks_pos.hold</t>
  </si>
  <si>
    <r>
      <rPr>
        <sz val="10"/>
        <rFont val="Noto Sans CJK SC"/>
        <family val="2"/>
      </rPr>
      <t xml:space="preserve">혹시 지금 도움이 필요하다는 걸 알면서도 말을 꺼내지 못하고 혼자 버티고 있지는 않나요</t>
    </r>
    <r>
      <rPr>
        <sz val="10"/>
        <rFont val="Malgun Gothic"/>
        <family val="0"/>
        <charset val="1"/>
      </rPr>
      <t xml:space="preserve">?</t>
    </r>
  </si>
  <si>
    <t xml:space="preserve">cards.5.reversed.asks_pos.step</t>
  </si>
  <si>
    <r>
      <rPr>
        <sz val="10"/>
        <rFont val="Noto Sans CJK SC"/>
        <family val="2"/>
      </rPr>
      <t xml:space="preserve">앞으로 혼자 해결하는 쪽과 믿을 만한 한 사람에게 털어놓는 쪽 중 어느 쪽에 더 마음을 두고 싶나요</t>
    </r>
    <r>
      <rPr>
        <sz val="10"/>
        <rFont val="Malgun Gothic"/>
        <family val="0"/>
        <charset val="1"/>
      </rPr>
      <t xml:space="preserve">?</t>
    </r>
  </si>
  <si>
    <t xml:space="preserve">cards.6.asks_pos.now</t>
  </si>
  <si>
    <r>
      <rPr>
        <sz val="10"/>
        <rFont val="Noto Sans CJK SC"/>
        <family val="2"/>
      </rPr>
      <t xml:space="preserve">그동안 내 마음보다 남들이 어떻게 볼지를 기준으로 선택해 오지 않았나요</t>
    </r>
    <r>
      <rPr>
        <sz val="10"/>
        <rFont val="Malgun Gothic"/>
        <family val="0"/>
        <charset val="1"/>
      </rPr>
      <t xml:space="preserve">?</t>
    </r>
  </si>
  <si>
    <t xml:space="preserve">cards.6.asks_pos.hold</t>
  </si>
  <si>
    <r>
      <rPr>
        <sz val="10"/>
        <rFont val="Noto Sans CJK SC"/>
        <family val="2"/>
      </rPr>
      <t xml:space="preserve">혹시 지금 상대의 마음을 확인하기 전까지 내 선택을 계속 미뤄 두고 있지는 않나요</t>
    </r>
    <r>
      <rPr>
        <sz val="10"/>
        <rFont val="Malgun Gothic"/>
        <family val="0"/>
        <charset val="1"/>
      </rPr>
      <t xml:space="preserve">?</t>
    </r>
  </si>
  <si>
    <t xml:space="preserve">cards.6.asks_pos.step</t>
  </si>
  <si>
    <r>
      <rPr>
        <sz val="10"/>
        <rFont val="Noto Sans CJK SC"/>
        <family val="2"/>
      </rPr>
      <t xml:space="preserve">앞으로 남이 보기에 좋은 선택과 내가 소중히 여기는 것에 맞는 선택 중 어느 쪽에 더 마음을 두고 싶나요</t>
    </r>
    <r>
      <rPr>
        <sz val="10"/>
        <rFont val="Malgun Gothic"/>
        <family val="0"/>
        <charset val="1"/>
      </rPr>
      <t xml:space="preserve">?</t>
    </r>
  </si>
  <si>
    <t xml:space="preserve">cards.6.reversed.asks_pos.now</t>
  </si>
  <si>
    <r>
      <rPr>
        <sz val="10"/>
        <rFont val="Noto Sans CJK SC"/>
        <family val="2"/>
      </rPr>
      <t xml:space="preserve">그동안 거절당할까 봐 하고 싶은 말을 삼키고 상대의 표정부터 살펴 오지 않았나요</t>
    </r>
    <r>
      <rPr>
        <sz val="10"/>
        <rFont val="Malgun Gothic"/>
        <family val="0"/>
        <charset val="1"/>
      </rPr>
      <t xml:space="preserve">?</t>
    </r>
  </si>
  <si>
    <t xml:space="preserve">cards.6.reversed.asks_pos.hold</t>
  </si>
  <si>
    <r>
      <rPr>
        <sz val="10"/>
        <rFont val="Noto Sans CJK SC"/>
        <family val="2"/>
      </rPr>
      <t xml:space="preserve">혹시 지금 상대의 마음을 확인할 때까지 내 진심을 꺼내지 않고 기다리고 있지는 않나요</t>
    </r>
    <r>
      <rPr>
        <sz val="10"/>
        <rFont val="Malgun Gothic"/>
        <family val="0"/>
        <charset val="1"/>
      </rPr>
      <t xml:space="preserve">?</t>
    </r>
  </si>
  <si>
    <t xml:space="preserve">cards.6.reversed.asks_pos.step</t>
  </si>
  <si>
    <r>
      <rPr>
        <sz val="10"/>
        <rFont val="Noto Sans CJK SC"/>
        <family val="2"/>
      </rPr>
      <t xml:space="preserve">앞으로 상대의 반응을 확인하고 움직이는 쪽과 내가 바라는 것을 알고 움직이는 쪽 중 어느 쪽에 더 마음을 두고 싶나요</t>
    </r>
    <r>
      <rPr>
        <sz val="10"/>
        <rFont val="Malgun Gothic"/>
        <family val="0"/>
        <charset val="1"/>
      </rPr>
      <t xml:space="preserve">?</t>
    </r>
  </si>
  <si>
    <t xml:space="preserve">cards.7.asks_pos.now</t>
  </si>
  <si>
    <r>
      <rPr>
        <sz val="10"/>
        <rFont val="Noto Sans CJK SC"/>
        <family val="2"/>
      </rPr>
      <t xml:space="preserve">그동안 여러 사람의 기대를 한꺼번에 맞추려고 모든 방향으로 힘을 써 오지 않았나요</t>
    </r>
    <r>
      <rPr>
        <sz val="10"/>
        <rFont val="Malgun Gothic"/>
        <family val="0"/>
        <charset val="1"/>
      </rPr>
      <t xml:space="preserve">?</t>
    </r>
  </si>
  <si>
    <t xml:space="preserve">cards.7.asks_pos.hold</t>
  </si>
  <si>
    <r>
      <rPr>
        <sz val="10"/>
        <rFont val="Noto Sans CJK SC"/>
        <family val="2"/>
      </rPr>
      <t xml:space="preserve">혹시 지금 이것저것 다 잘하고 싶어서 정작 한 가지에도 힘을 모으지 못하고 있지는 않나요</t>
    </r>
    <r>
      <rPr>
        <sz val="10"/>
        <rFont val="Malgun Gothic"/>
        <family val="0"/>
        <charset val="1"/>
      </rPr>
      <t xml:space="preserve">?</t>
    </r>
  </si>
  <si>
    <t xml:space="preserve">cards.7.asks_pos.step</t>
  </si>
  <si>
    <r>
      <rPr>
        <sz val="10"/>
        <rFont val="Noto Sans CJK SC"/>
        <family val="2"/>
      </rPr>
      <t xml:space="preserve">앞으로 모든 길을 한꺼번에 밀어붙이는 쪽과 잘 풀리는 한 방향에 힘을 싣는 쪽 중 어느 쪽에 더 마음을 두고 싶나요</t>
    </r>
    <r>
      <rPr>
        <sz val="10"/>
        <rFont val="Malgun Gothic"/>
        <family val="0"/>
        <charset val="1"/>
      </rPr>
      <t xml:space="preserve">?</t>
    </r>
  </si>
  <si>
    <t xml:space="preserve">cards.7.reversed.asks_pos.now</t>
  </si>
  <si>
    <r>
      <rPr>
        <sz val="10"/>
        <rFont val="Noto Sans CJK SC"/>
        <family val="2"/>
      </rPr>
      <t xml:space="preserve">그동안 방향을 점검하기보다 일단 더 빨리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더 많이 하는 쪽을 골라 오지 않았나요</t>
    </r>
    <r>
      <rPr>
        <sz val="10"/>
        <rFont val="Malgun Gothic"/>
        <family val="0"/>
        <charset val="1"/>
      </rPr>
      <t xml:space="preserve">?</t>
    </r>
  </si>
  <si>
    <t xml:space="preserve">cards.7.reversed.asks_pos.hold</t>
  </si>
  <si>
    <r>
      <rPr>
        <sz val="10"/>
        <rFont val="Noto Sans CJK SC"/>
        <family val="2"/>
      </rPr>
      <t xml:space="preserve">혹시 지금 앞으로 가지 않는다는 느낌 때문에 쉬는 시간까지 줄이고 있지는 않나요</t>
    </r>
    <r>
      <rPr>
        <sz val="10"/>
        <rFont val="Malgun Gothic"/>
        <family val="0"/>
        <charset val="1"/>
      </rPr>
      <t xml:space="preserve">?</t>
    </r>
  </si>
  <si>
    <t xml:space="preserve">cards.7.reversed.asks_pos.step</t>
  </si>
  <si>
    <r>
      <rPr>
        <sz val="10"/>
        <rFont val="Noto Sans CJK SC"/>
        <family val="2"/>
      </rPr>
      <t xml:space="preserve">앞으로 속도를 더 올리는 쪽과 가고 싶은 방향을 다시 정하는 쪽 중 어느 쪽에 더 마음을 두고 싶나요</t>
    </r>
    <r>
      <rPr>
        <sz val="10"/>
        <rFont val="Malgun Gothic"/>
        <family val="0"/>
        <charset val="1"/>
      </rPr>
      <t xml:space="preserve">?</t>
    </r>
  </si>
  <si>
    <t xml:space="preserve">cards.8.asks_pos.now</t>
  </si>
  <si>
    <r>
      <rPr>
        <sz val="10"/>
        <rFont val="Noto Sans CJK SC"/>
        <family val="2"/>
      </rPr>
      <t xml:space="preserve">그동안 불편한 감정이 올라올 때마다 빨리 없애려고 애써 오지 않았나요</t>
    </r>
    <r>
      <rPr>
        <sz val="10"/>
        <rFont val="Malgun Gothic"/>
        <family val="0"/>
        <charset val="1"/>
      </rPr>
      <t xml:space="preserve">?</t>
    </r>
  </si>
  <si>
    <t xml:space="preserve">cards.8.asks_pos.hold</t>
  </si>
  <si>
    <r>
      <rPr>
        <sz val="10"/>
        <rFont val="Noto Sans CJK SC"/>
        <family val="2"/>
      </rPr>
      <t xml:space="preserve">혹시 지금 불편한 마음을 없애려고 애쓸수록 그 마음이 더 크게 느껴지고 있지는 않나요</t>
    </r>
    <r>
      <rPr>
        <sz val="10"/>
        <rFont val="Malgun Gothic"/>
        <family val="0"/>
        <charset val="1"/>
      </rPr>
      <t xml:space="preserve">?</t>
    </r>
  </si>
  <si>
    <t xml:space="preserve">cards.8.asks_pos.step</t>
  </si>
  <si>
    <r>
      <rPr>
        <sz val="10"/>
        <rFont val="Noto Sans CJK SC"/>
        <family val="2"/>
      </rPr>
      <t xml:space="preserve">앞으로 불편한 감정을 빨리 없애는 쪽과 잠시 곁에 두고 바라보는 쪽 중 어느 쪽에 더 마음을 두고 싶나요</t>
    </r>
    <r>
      <rPr>
        <sz val="10"/>
        <rFont val="Malgun Gothic"/>
        <family val="0"/>
        <charset val="1"/>
      </rPr>
      <t xml:space="preserve">?</t>
    </r>
  </si>
  <si>
    <t xml:space="preserve">cards.8.reversed.asks_pos.now</t>
  </si>
  <si>
    <r>
      <rPr>
        <sz val="10"/>
        <rFont val="Noto Sans CJK SC"/>
        <family val="2"/>
      </rPr>
      <t xml:space="preserve">그동안 이미 버거운 일도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괜찮다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고 넘기며 혼자 견뎌 오지 않았나요</t>
    </r>
    <r>
      <rPr>
        <sz val="10"/>
        <rFont val="Malgun Gothic"/>
        <family val="0"/>
        <charset val="1"/>
      </rPr>
      <t xml:space="preserve">?</t>
    </r>
  </si>
  <si>
    <t xml:space="preserve">cards.8.reversed.asks_pos.hold</t>
  </si>
  <si>
    <r>
      <rPr>
        <sz val="10"/>
        <rFont val="Noto Sans CJK SC"/>
        <family val="2"/>
      </rPr>
      <t xml:space="preserve">혹시 지금 힘들다고 말하면 약해 보일까 봐 도움을 청하는 걸 미루고 있지는 않나요</t>
    </r>
    <r>
      <rPr>
        <sz val="10"/>
        <rFont val="Malgun Gothic"/>
        <family val="0"/>
        <charset val="1"/>
      </rPr>
      <t xml:space="preserve">?</t>
    </r>
  </si>
  <si>
    <t xml:space="preserve">cards.8.reversed.asks_pos.step</t>
  </si>
  <si>
    <r>
      <rPr>
        <sz val="10"/>
        <rFont val="Noto Sans CJK SC"/>
        <family val="2"/>
      </rPr>
      <t xml:space="preserve">앞으로 끝까지 혼자 견디는 쪽과 버거운 마음을 꺼내 나누는 쪽 중 어느 쪽에 더 마음을 두고 싶나요</t>
    </r>
    <r>
      <rPr>
        <sz val="10"/>
        <rFont val="Malgun Gothic"/>
        <family val="0"/>
        <charset val="1"/>
      </rPr>
      <t xml:space="preserve">?</t>
    </r>
  </si>
  <si>
    <t xml:space="preserve">cards.9.asks_pos.now</t>
  </si>
  <si>
    <r>
      <rPr>
        <sz val="10"/>
        <rFont val="Noto Sans CJK SC"/>
        <family val="2"/>
      </rPr>
      <t xml:space="preserve">그동안 힘든 일이 생기면 누구에게 말하기보다 혼자 답을 찾으려고 해 오지 않았나요</t>
    </r>
    <r>
      <rPr>
        <sz val="10"/>
        <rFont val="Malgun Gothic"/>
        <family val="0"/>
        <charset val="1"/>
      </rPr>
      <t xml:space="preserve">?</t>
    </r>
  </si>
  <si>
    <t xml:space="preserve">cards.9.asks_pos.hold</t>
  </si>
  <si>
    <r>
      <rPr>
        <sz val="10"/>
        <rFont val="Noto Sans CJK SC"/>
        <family val="2"/>
      </rPr>
      <t xml:space="preserve">혹시 지금 혼자 있는 시간이 쉼인지 외로움인지 잘 모른 채 지내고 있지는 않나요</t>
    </r>
    <r>
      <rPr>
        <sz val="10"/>
        <rFont val="Malgun Gothic"/>
        <family val="0"/>
        <charset val="1"/>
      </rPr>
      <t xml:space="preserve">?</t>
    </r>
  </si>
  <si>
    <t xml:space="preserve">cards.9.asks_pos.step</t>
  </si>
  <si>
    <r>
      <rPr>
        <sz val="10"/>
        <rFont val="Noto Sans CJK SC"/>
        <family val="2"/>
      </rPr>
      <t xml:space="preserve">앞으로 혼자서만 답을 찾는 쪽과 고요한 시간 속에 믿는 사람 한 명을 두는 쪽 중 어느 쪽에 더 마음을 두고 싶나요</t>
    </r>
    <r>
      <rPr>
        <sz val="10"/>
        <rFont val="Malgun Gothic"/>
        <family val="0"/>
        <charset val="1"/>
      </rPr>
      <t xml:space="preserve">?</t>
    </r>
  </si>
  <si>
    <t xml:space="preserve">cards.9.reversed.asks_pos.now</t>
  </si>
  <si>
    <r>
      <rPr>
        <sz val="10"/>
        <rFont val="Noto Sans CJK SC"/>
        <family val="2"/>
      </rPr>
      <t xml:space="preserve">그동안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말해 봤자 모를 거야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라는 생각에 혼자 삼키는 쪽을 골라 오지 않았나요</t>
    </r>
    <r>
      <rPr>
        <sz val="10"/>
        <rFont val="Malgun Gothic"/>
        <family val="0"/>
        <charset val="1"/>
      </rPr>
      <t xml:space="preserve">?</t>
    </r>
  </si>
  <si>
    <t xml:space="preserve">cards.9.reversed.asks_pos.hold</t>
  </si>
  <si>
    <r>
      <rPr>
        <sz val="10"/>
        <rFont val="Noto Sans CJK SC"/>
        <family val="2"/>
      </rPr>
      <t xml:space="preserve">혹시 지금 아무도 몰라줄 거라는 생각에 편한 사람에게도 마음을 닫고 있지는 않나요</t>
    </r>
    <r>
      <rPr>
        <sz val="10"/>
        <rFont val="Malgun Gothic"/>
        <family val="0"/>
        <charset val="1"/>
      </rPr>
      <t xml:space="preserve">?</t>
    </r>
  </si>
  <si>
    <t xml:space="preserve">cards.9.reversed.asks_pos.step</t>
  </si>
  <si>
    <r>
      <rPr>
        <sz val="10"/>
        <rFont val="Noto Sans CJK SC"/>
        <family val="2"/>
      </rPr>
      <t xml:space="preserve">앞으로 혼자 안에서 버티는 쪽과 편한 한 사람과 마음을 나누는 쪽 중 어느 쪽에 더 마음을 두고 싶나요</t>
    </r>
    <r>
      <rPr>
        <sz val="10"/>
        <rFont val="Malgun Gothic"/>
        <family val="0"/>
        <charset val="1"/>
      </rPr>
      <t xml:space="preserve">?</t>
    </r>
  </si>
  <si>
    <t xml:space="preserve">cards.10.asks_pos.now</t>
  </si>
  <si>
    <r>
      <rPr>
        <sz val="10"/>
        <rFont val="Noto Sans CJK SC"/>
        <family val="2"/>
      </rPr>
      <t xml:space="preserve">그동안 예상하지 못한 변화가 올 때마다 혼자 애써 적응해 오지 않았나요</t>
    </r>
    <r>
      <rPr>
        <sz val="10"/>
        <rFont val="Malgun Gothic"/>
        <family val="0"/>
        <charset val="1"/>
      </rPr>
      <t xml:space="preserve">?</t>
    </r>
  </si>
  <si>
    <t xml:space="preserve">cards.10.asks_pos.hold</t>
  </si>
  <si>
    <r>
      <rPr>
        <sz val="10"/>
        <rFont val="Noto Sans CJK SC"/>
        <family val="2"/>
      </rPr>
      <t xml:space="preserve">혹시 지금 힘든 이 상태가 오래 계속될 거라고 여기며 지내고 있지는 않나요</t>
    </r>
    <r>
      <rPr>
        <sz val="10"/>
        <rFont val="Malgun Gothic"/>
        <family val="0"/>
        <charset val="1"/>
      </rPr>
      <t xml:space="preserve">?</t>
    </r>
  </si>
  <si>
    <t xml:space="preserve">cards.10.asks_pos.step</t>
  </si>
  <si>
    <r>
      <rPr>
        <sz val="10"/>
        <rFont val="Noto Sans CJK SC"/>
        <family val="2"/>
      </rPr>
      <t xml:space="preserve">앞으로 흐름이 바뀌기만 기다리는 쪽과 그 안에서 내가 고를 수 있는 것을 찾는 쪽 중 어느 쪽에 더 마음을 두고 싶나요</t>
    </r>
    <r>
      <rPr>
        <sz val="10"/>
        <rFont val="Malgun Gothic"/>
        <family val="0"/>
        <charset val="1"/>
      </rPr>
      <t xml:space="preserve">?</t>
    </r>
  </si>
  <si>
    <t xml:space="preserve">cards.10.reversed.asks_pos.now</t>
  </si>
  <si>
    <r>
      <rPr>
        <sz val="10"/>
        <rFont val="Noto Sans CJK SC"/>
        <family val="2"/>
      </rPr>
      <t xml:space="preserve">그동안 바뀐 상황을 받아들이기보다 예전으로 돌아가길 바라며 버텨 오지 않았나요</t>
    </r>
    <r>
      <rPr>
        <sz val="10"/>
        <rFont val="Malgun Gothic"/>
        <family val="0"/>
        <charset val="1"/>
      </rPr>
      <t xml:space="preserve">?</t>
    </r>
  </si>
  <si>
    <t xml:space="preserve">cards.10.reversed.asks_pos.hold</t>
  </si>
  <si>
    <r>
      <rPr>
        <sz val="10"/>
        <rFont val="Noto Sans CJK SC"/>
        <family val="2"/>
      </rPr>
      <t xml:space="preserve">혹시 지금 예전 모습을 되찾는 데만 힘을 쓰느라 지금 할 수 있는 일을 놓치고 있지는 않나요</t>
    </r>
    <r>
      <rPr>
        <sz val="10"/>
        <rFont val="Malgun Gothic"/>
        <family val="0"/>
        <charset val="1"/>
      </rPr>
      <t xml:space="preserve">?</t>
    </r>
  </si>
  <si>
    <t xml:space="preserve">cards.10.reversed.asks_pos.step</t>
  </si>
  <si>
    <r>
      <rPr>
        <sz val="10"/>
        <rFont val="Noto Sans CJK SC"/>
        <family val="2"/>
      </rPr>
      <t xml:space="preserve">앞으로 예전 모습을 되찾으려 버티는 쪽과 바뀐 흐름 안에서 할 수 있는 일을 찾는 쪽 중 어느 쪽에 더 마음을 두고 싶나요</t>
    </r>
    <r>
      <rPr>
        <sz val="10"/>
        <rFont val="Malgun Gothic"/>
        <family val="0"/>
        <charset val="1"/>
      </rPr>
      <t xml:space="preserve">?</t>
    </r>
  </si>
  <si>
    <t xml:space="preserve">cards.11.asks_pos.now</t>
  </si>
  <si>
    <r>
      <rPr>
        <sz val="10"/>
        <rFont val="Noto Sans CJK SC"/>
        <family val="2"/>
      </rPr>
      <t xml:space="preserve">그동안 남에게는 너그러우면서 나에게는 더 엄격한 기준을 대 오지 않았나요</t>
    </r>
    <r>
      <rPr>
        <sz val="10"/>
        <rFont val="Malgun Gothic"/>
        <family val="0"/>
        <charset val="1"/>
      </rPr>
      <t xml:space="preserve">?</t>
    </r>
  </si>
  <si>
    <t xml:space="preserve">cards.11.asks_pos.hold</t>
  </si>
  <si>
    <r>
      <rPr>
        <sz val="10"/>
        <rFont val="Noto Sans CJK SC"/>
        <family val="2"/>
      </rPr>
      <t xml:space="preserve">혹시 지금 한쪽 이야기만 되풀이해 떠올리며 결론을 서두르고 있지는 않나요</t>
    </r>
    <r>
      <rPr>
        <sz val="10"/>
        <rFont val="Malgun Gothic"/>
        <family val="0"/>
        <charset val="1"/>
      </rPr>
      <t xml:space="preserve">?</t>
    </r>
  </si>
  <si>
    <t xml:space="preserve">cards.11.asks_pos.step</t>
  </si>
  <si>
    <r>
      <rPr>
        <sz val="10"/>
        <rFont val="Noto Sans CJK SC"/>
        <family val="2"/>
      </rPr>
      <t xml:space="preserve">앞으로 누가 옳은지 가리는 쪽과 사실을 차분히 살피는 쪽 중 어느 쪽에 더 마음을 두고 싶나요</t>
    </r>
    <r>
      <rPr>
        <sz val="10"/>
        <rFont val="Malgun Gothic"/>
        <family val="0"/>
        <charset val="1"/>
      </rPr>
      <t xml:space="preserve">?</t>
    </r>
  </si>
  <si>
    <t xml:space="preserve">cards.11.reversed.asks_pos.now</t>
  </si>
  <si>
    <r>
      <rPr>
        <sz val="10"/>
        <rFont val="Noto Sans CJK SC"/>
        <family val="2"/>
      </rPr>
      <t xml:space="preserve">그동안 친구라면 쉽게 넘어갔을 실수도 나에게는 오래 따져 물어 오지 않았나요</t>
    </r>
    <r>
      <rPr>
        <sz val="10"/>
        <rFont val="Malgun Gothic"/>
        <family val="0"/>
        <charset val="1"/>
      </rPr>
      <t xml:space="preserve">?</t>
    </r>
  </si>
  <si>
    <t xml:space="preserve">cards.11.reversed.asks_pos.hold</t>
  </si>
  <si>
    <r>
      <rPr>
        <sz val="10"/>
        <rFont val="Noto Sans CJK SC"/>
        <family val="2"/>
      </rPr>
      <t xml:space="preserve">혹시 지금 지난 일을 되짚으며 누구 잘못인지 계속 따지고 있지는 않나요</t>
    </r>
    <r>
      <rPr>
        <sz val="10"/>
        <rFont val="Malgun Gothic"/>
        <family val="0"/>
        <charset val="1"/>
      </rPr>
      <t xml:space="preserve">?</t>
    </r>
  </si>
  <si>
    <t xml:space="preserve">cards.11.reversed.asks_pos.step</t>
  </si>
  <si>
    <r>
      <rPr>
        <sz val="10"/>
        <rFont val="Noto Sans CJK SC"/>
        <family val="2"/>
      </rPr>
      <t xml:space="preserve">앞으로 실수를 따져 묻는 쪽과 친구처럼 나를 이해해 주는 쪽 중 어느 쪽에 더 마음을 두고 싶나요</t>
    </r>
    <r>
      <rPr>
        <sz val="10"/>
        <rFont val="Malgun Gothic"/>
        <family val="0"/>
        <charset val="1"/>
      </rPr>
      <t xml:space="preserve">?</t>
    </r>
  </si>
  <si>
    <t xml:space="preserve">cards.12.asks_pos.now</t>
  </si>
  <si>
    <r>
      <rPr>
        <sz val="10"/>
        <rFont val="Noto Sans CJK SC"/>
        <family val="2"/>
      </rPr>
      <t xml:space="preserve">그동안 쉬는 날에도 머릿속으로는 할 일을 붙잡고 지내 오지 않았나요</t>
    </r>
    <r>
      <rPr>
        <sz val="10"/>
        <rFont val="Malgun Gothic"/>
        <family val="0"/>
        <charset val="1"/>
      </rPr>
      <t xml:space="preserve">?</t>
    </r>
  </si>
  <si>
    <t xml:space="preserve">cards.12.asks_pos.hold</t>
  </si>
  <si>
    <r>
      <rPr>
        <sz val="10"/>
        <rFont val="Noto Sans CJK SC"/>
        <family val="2"/>
      </rPr>
      <t xml:space="preserve">혹시 지금 제자리인 것 같은 답답함에 더 세게 밀어붙이고 있지는 않나요</t>
    </r>
    <r>
      <rPr>
        <sz val="10"/>
        <rFont val="Malgun Gothic"/>
        <family val="0"/>
        <charset val="1"/>
      </rPr>
      <t xml:space="preserve">?</t>
    </r>
  </si>
  <si>
    <t xml:space="preserve">cards.12.asks_pos.step</t>
  </si>
  <si>
    <r>
      <rPr>
        <sz val="10"/>
        <rFont val="Noto Sans CJK SC"/>
        <family val="2"/>
      </rPr>
      <t xml:space="preserve">앞으로 쉬지 않고 버티는 쪽과 잠시 멈춰 다르게 보는 쪽 중 어느 쪽에 더 마음을 두고 싶나요</t>
    </r>
    <r>
      <rPr>
        <sz val="10"/>
        <rFont val="Malgun Gothic"/>
        <family val="0"/>
        <charset val="1"/>
      </rPr>
      <t xml:space="preserve">?</t>
    </r>
  </si>
  <si>
    <t xml:space="preserve">cards.12.reversed.asks_pos.now</t>
  </si>
  <si>
    <r>
      <rPr>
        <sz val="10"/>
        <rFont val="Noto Sans CJK SC"/>
        <family val="2"/>
      </rPr>
      <t xml:space="preserve">그동안 쉬는 시간이 생겨도 괜히 미안한 마음에 편히 누리지 못해 오지 않았나요</t>
    </r>
    <r>
      <rPr>
        <sz val="10"/>
        <rFont val="Malgun Gothic"/>
        <family val="0"/>
        <charset val="1"/>
      </rPr>
      <t xml:space="preserve">?</t>
    </r>
  </si>
  <si>
    <t xml:space="preserve">cards.12.reversed.asks_pos.hold</t>
  </si>
  <si>
    <r>
      <rPr>
        <sz val="10"/>
        <rFont val="Noto Sans CJK SC"/>
        <family val="2"/>
      </rPr>
      <t xml:space="preserve">혹시 지금 몸은 쉬고 있는데 마음은 할 일을 붙든 채 죄책감을 느끼고 있지는 않나요</t>
    </r>
    <r>
      <rPr>
        <sz val="10"/>
        <rFont val="Malgun Gothic"/>
        <family val="0"/>
        <charset val="1"/>
      </rPr>
      <t xml:space="preserve">?</t>
    </r>
  </si>
  <si>
    <t xml:space="preserve">cards.12.reversed.asks_pos.step</t>
  </si>
  <si>
    <r>
      <rPr>
        <sz val="10"/>
        <rFont val="Noto Sans CJK SC"/>
        <family val="2"/>
      </rPr>
      <t xml:space="preserve">앞으로 쉬면서도 나를 탓하는 쪽과 쉼을 할 일로 인정하는 쪽 중 어느 쪽에 더 마음을 두고 싶나요</t>
    </r>
    <r>
      <rPr>
        <sz val="10"/>
        <rFont val="Malgun Gothic"/>
        <family val="0"/>
        <charset val="1"/>
      </rPr>
      <t xml:space="preserve">?</t>
    </r>
  </si>
  <si>
    <t xml:space="preserve">cards.13.asks_pos.now</t>
  </si>
  <si>
    <r>
      <rPr>
        <sz val="10"/>
        <rFont val="Noto Sans CJK SC"/>
        <family val="2"/>
      </rPr>
      <t xml:space="preserve">그동안 이미 작아진 줄 알면서도 익숙하다는 이유로 같은 자리를 지켜 오지 않았나요</t>
    </r>
    <r>
      <rPr>
        <sz val="10"/>
        <rFont val="Malgun Gothic"/>
        <family val="0"/>
        <charset val="1"/>
      </rPr>
      <t xml:space="preserve">?</t>
    </r>
  </si>
  <si>
    <t xml:space="preserve">cards.13.asks_pos.hold</t>
  </si>
  <si>
    <r>
      <rPr>
        <sz val="10"/>
        <rFont val="Noto Sans CJK SC"/>
        <family val="2"/>
      </rPr>
      <t xml:space="preserve">혹시 지금 끝을 인정하는 게 실패처럼 느껴져 마무리를 미루고 있지는 않나요</t>
    </r>
    <r>
      <rPr>
        <sz val="10"/>
        <rFont val="Malgun Gothic"/>
        <family val="0"/>
        <charset val="1"/>
      </rPr>
      <t xml:space="preserve">?</t>
    </r>
  </si>
  <si>
    <t xml:space="preserve">cards.13.asks_pos.step</t>
  </si>
  <si>
    <r>
      <rPr>
        <sz val="10"/>
        <rFont val="Noto Sans CJK SC"/>
        <family val="2"/>
      </rPr>
      <t xml:space="preserve">앞으로 익숙한 껍데기에 머무는 쪽과 나에게 맞는 새 집으로 옮기는 쪽 중 어느 쪽에 더 마음을 두고 싶나요</t>
    </r>
    <r>
      <rPr>
        <sz val="10"/>
        <rFont val="Malgun Gothic"/>
        <family val="0"/>
        <charset val="1"/>
      </rPr>
      <t xml:space="preserve">?</t>
    </r>
  </si>
  <si>
    <t xml:space="preserve">cards.13.reversed.asks_pos.now</t>
  </si>
  <si>
    <r>
      <rPr>
        <sz val="10"/>
        <rFont val="Noto Sans CJK SC"/>
        <family val="2"/>
      </rPr>
      <t xml:space="preserve">그동안 떠나야 할 때를 알면서도 무너질까 봐 정리를 뒤로 미뤄 오지 않았나요</t>
    </r>
    <r>
      <rPr>
        <sz val="10"/>
        <rFont val="Malgun Gothic"/>
        <family val="0"/>
        <charset val="1"/>
      </rPr>
      <t xml:space="preserve">?</t>
    </r>
  </si>
  <si>
    <t xml:space="preserve">cards.13.reversed.asks_pos.hold</t>
  </si>
  <si>
    <r>
      <rPr>
        <sz val="10"/>
        <rFont val="Noto Sans CJK SC"/>
        <family val="2"/>
      </rPr>
      <t xml:space="preserve">혹시 지금 이미 맞지 않는 줄 알면서도 익숙함 때문에 붙잡고 있는 것이 있지는 않나요</t>
    </r>
    <r>
      <rPr>
        <sz val="10"/>
        <rFont val="Malgun Gothic"/>
        <family val="0"/>
        <charset val="1"/>
      </rPr>
      <t xml:space="preserve">?</t>
    </r>
  </si>
  <si>
    <t xml:space="preserve">cards.13.reversed.asks_pos.step</t>
  </si>
  <si>
    <r>
      <rPr>
        <sz val="10"/>
        <rFont val="Noto Sans CJK SC"/>
        <family val="2"/>
      </rPr>
      <t xml:space="preserve">앞으로 익숙함을 계속 붙드는 쪽과 하나씩 천천히 정리하는 쪽 중 어느 쪽에 더 마음을 두고 싶나요</t>
    </r>
    <r>
      <rPr>
        <sz val="10"/>
        <rFont val="Malgun Gothic"/>
        <family val="0"/>
        <charset val="1"/>
      </rPr>
      <t xml:space="preserve">?</t>
    </r>
  </si>
  <si>
    <t xml:space="preserve">cards.14.asks_pos.now</t>
  </si>
  <si>
    <r>
      <rPr>
        <sz val="10"/>
        <rFont val="Noto Sans CJK SC"/>
        <family val="2"/>
      </rPr>
      <t xml:space="preserve">그동안 하나를 고르면 다른 하나를 잃을 것 같아 둘 다 붙잡아 오지 않았나요</t>
    </r>
    <r>
      <rPr>
        <sz val="10"/>
        <rFont val="Malgun Gothic"/>
        <family val="0"/>
        <charset val="1"/>
      </rPr>
      <t xml:space="preserve">?</t>
    </r>
  </si>
  <si>
    <t xml:space="preserve">cards.14.asks_pos.hold</t>
  </si>
  <si>
    <r>
      <rPr>
        <sz val="10"/>
        <rFont val="Noto Sans CJK SC"/>
        <family val="2"/>
      </rPr>
      <t xml:space="preserve">혹시 지금 둘 중 하나만 정답이라고 여기며 선택을 미루고 있지는 않나요</t>
    </r>
    <r>
      <rPr>
        <sz val="10"/>
        <rFont val="Malgun Gothic"/>
        <family val="0"/>
        <charset val="1"/>
      </rPr>
      <t xml:space="preserve">?</t>
    </r>
  </si>
  <si>
    <t xml:space="preserve">cards.14.asks_pos.step</t>
  </si>
  <si>
    <r>
      <rPr>
        <sz val="10"/>
        <rFont val="Noto Sans CJK SC"/>
        <family val="2"/>
      </rPr>
      <t xml:space="preserve">앞으로 하나만 고르는 쪽과 둘을 알맞게 섞는 쪽 중 어느 쪽에 더 마음을 두고 싶나요</t>
    </r>
    <r>
      <rPr>
        <sz val="10"/>
        <rFont val="Malgun Gothic"/>
        <family val="0"/>
        <charset val="1"/>
      </rPr>
      <t xml:space="preserve">?</t>
    </r>
  </si>
  <si>
    <t xml:space="preserve">cards.14.reversed.asks_pos.now</t>
  </si>
  <si>
    <r>
      <rPr>
        <sz val="10"/>
        <rFont val="Noto Sans CJK SC"/>
        <family val="2"/>
      </rPr>
      <t xml:space="preserve">그동안 다 하거나 아예 안 하거나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둘 중 하나로만 움직여 오지 않았나요</t>
    </r>
    <r>
      <rPr>
        <sz val="10"/>
        <rFont val="Malgun Gothic"/>
        <family val="0"/>
        <charset val="1"/>
      </rPr>
      <t xml:space="preserve">?</t>
    </r>
  </si>
  <si>
    <t xml:space="preserve">cards.14.reversed.asks_pos.hold</t>
  </si>
  <si>
    <r>
      <rPr>
        <sz val="10"/>
        <rFont val="Noto Sans CJK SC"/>
        <family val="2"/>
      </rPr>
      <t xml:space="preserve">혹시 지금 일이나 사람 한쪽에만 기운을 다 쓰고 나는 뒷전이 되어 있지는 않나요</t>
    </r>
    <r>
      <rPr>
        <sz val="10"/>
        <rFont val="Malgun Gothic"/>
        <family val="0"/>
        <charset val="1"/>
      </rPr>
      <t xml:space="preserve">?</t>
    </r>
  </si>
  <si>
    <t xml:space="preserve">cards.14.reversed.asks_pos.step</t>
  </si>
  <si>
    <r>
      <rPr>
        <sz val="10"/>
        <rFont val="Noto Sans CJK SC"/>
        <family val="2"/>
      </rPr>
      <t xml:space="preserve">앞으로 한쪽에 다 쏟는 쪽과 조금씩 무게를 나누는 쪽 중 어느 쪽에 더 마음을 두고 싶나요</t>
    </r>
    <r>
      <rPr>
        <sz val="10"/>
        <rFont val="Malgun Gothic"/>
        <family val="0"/>
        <charset val="1"/>
      </rPr>
      <t xml:space="preserve">?</t>
    </r>
  </si>
  <si>
    <t xml:space="preserve">cards.15.asks_pos.now</t>
  </si>
  <si>
    <r>
      <rPr>
        <sz val="10"/>
        <rFont val="Noto Sans CJK SC"/>
        <family val="2"/>
      </rPr>
      <t xml:space="preserve">그동안 불안해지면 나도 모르게 같은 행동을 되풀이하며 버텨 오지 않았나요</t>
    </r>
    <r>
      <rPr>
        <sz val="10"/>
        <rFont val="Malgun Gothic"/>
        <family val="0"/>
        <charset val="1"/>
      </rPr>
      <t xml:space="preserve">?</t>
    </r>
  </si>
  <si>
    <t xml:space="preserve">cards.15.asks_pos.hold</t>
  </si>
  <si>
    <r>
      <rPr>
        <sz val="10"/>
        <rFont val="Noto Sans CJK SC"/>
        <family val="2"/>
      </rPr>
      <t xml:space="preserve">혹시 지금 예민해진 마음을 달래려고 같은 습관에 더 기대고 있지는 않나요</t>
    </r>
    <r>
      <rPr>
        <sz val="10"/>
        <rFont val="Malgun Gothic"/>
        <family val="0"/>
        <charset val="1"/>
      </rPr>
      <t xml:space="preserve">?</t>
    </r>
  </si>
  <si>
    <t xml:space="preserve">cards.15.asks_pos.step</t>
  </si>
  <si>
    <r>
      <rPr>
        <sz val="10"/>
        <rFont val="Noto Sans CJK SC"/>
        <family val="2"/>
      </rPr>
      <t xml:space="preserve">앞으로 익숙한 습관에 기대는 쪽과 부푼 순간을 알아차리는 쪽 중 어느 쪽에 더 마음을 두고 싶나요</t>
    </r>
    <r>
      <rPr>
        <sz val="10"/>
        <rFont val="Malgun Gothic"/>
        <family val="0"/>
        <charset val="1"/>
      </rPr>
      <t xml:space="preserve">?</t>
    </r>
  </si>
  <si>
    <t xml:space="preserve">cards.15.reversed.asks_pos.now</t>
  </si>
  <si>
    <r>
      <rPr>
        <sz val="10"/>
        <rFont val="Noto Sans CJK SC"/>
        <family val="2"/>
      </rPr>
      <t xml:space="preserve">그동안 예전 같으면 크게 흔들렸을 일에서 조금씩 덜 흔들려 오지 않았나요</t>
    </r>
    <r>
      <rPr>
        <sz val="10"/>
        <rFont val="Malgun Gothic"/>
        <family val="0"/>
        <charset val="1"/>
      </rPr>
      <t xml:space="preserve">?</t>
    </r>
  </si>
  <si>
    <t xml:space="preserve">cards.15.reversed.asks_pos.hold</t>
  </si>
  <si>
    <r>
      <rPr>
        <sz val="10"/>
        <rFont val="Noto Sans CJK SC"/>
        <family val="2"/>
      </rPr>
      <t xml:space="preserve">혹시 지금 나아진 걸 느끼면서도 다시 예전으로 돌아갈까 봐 조마조마해하고 있지는 않나요</t>
    </r>
    <r>
      <rPr>
        <sz val="10"/>
        <rFont val="Malgun Gothic"/>
        <family val="0"/>
        <charset val="1"/>
      </rPr>
      <t xml:space="preserve">?</t>
    </r>
  </si>
  <si>
    <t xml:space="preserve">cards.15.reversed.asks_pos.step</t>
  </si>
  <si>
    <r>
      <rPr>
        <sz val="10"/>
        <rFont val="Noto Sans CJK SC"/>
        <family val="2"/>
      </rPr>
      <t xml:space="preserve">앞으로 다시 무너질까 걱정하는 쪽과 달라진 나를 믿어 주는 쪽 중 어느 쪽에 더 마음을 두고 싶나요</t>
    </r>
    <r>
      <rPr>
        <sz val="10"/>
        <rFont val="Malgun Gothic"/>
        <family val="0"/>
        <charset val="1"/>
      </rPr>
      <t xml:space="preserve">?</t>
    </r>
  </si>
  <si>
    <t xml:space="preserve">cards.16.asks_pos.now</t>
  </si>
  <si>
    <r>
      <rPr>
        <sz val="10"/>
        <rFont val="Noto Sans CJK SC"/>
        <family val="2"/>
      </rPr>
      <t xml:space="preserve">그동안 하나의 계획이 꼭 그대로 이뤄져야 한다고 믿으며 달려 오지 않았나요</t>
    </r>
    <r>
      <rPr>
        <sz val="10"/>
        <rFont val="Malgun Gothic"/>
        <family val="0"/>
        <charset val="1"/>
      </rPr>
      <t xml:space="preserve">?</t>
    </r>
  </si>
  <si>
    <t xml:space="preserve">cards.16.asks_pos.hold</t>
  </si>
  <si>
    <r>
      <rPr>
        <sz val="10"/>
        <rFont val="Noto Sans CJK SC"/>
        <family val="2"/>
      </rPr>
      <t xml:space="preserve">혹시 지금 무너진 것만 바라보느라 남아 있는 것을 놓치고 있지는 않나요</t>
    </r>
    <r>
      <rPr>
        <sz val="10"/>
        <rFont val="Malgun Gothic"/>
        <family val="0"/>
        <charset val="1"/>
      </rPr>
      <t xml:space="preserve">?</t>
    </r>
  </si>
  <si>
    <t xml:space="preserve">cards.16.asks_pos.step</t>
  </si>
  <si>
    <r>
      <rPr>
        <sz val="10"/>
        <rFont val="Noto Sans CJK SC"/>
        <family val="2"/>
      </rPr>
      <t xml:space="preserve">앞으로 무너진 것을 세는 쪽과 남은 것에서 다시 쌓는 쪽 중 어느 쪽에 더 마음을 두고 싶나요</t>
    </r>
    <r>
      <rPr>
        <sz val="10"/>
        <rFont val="Malgun Gothic"/>
        <family val="0"/>
        <charset val="1"/>
      </rPr>
      <t xml:space="preserve">?</t>
    </r>
  </si>
  <si>
    <t xml:space="preserve">cards.16.reversed.asks_pos.now</t>
  </si>
  <si>
    <r>
      <rPr>
        <sz val="10"/>
        <rFont val="Noto Sans CJK SC"/>
        <family val="2"/>
      </rPr>
      <t xml:space="preserve">그동안 무너진 마음을 들키지 않으려고 아무렇지 않은 척 버텨 오지 않았나요</t>
    </r>
    <r>
      <rPr>
        <sz val="10"/>
        <rFont val="Malgun Gothic"/>
        <family val="0"/>
        <charset val="1"/>
      </rPr>
      <t xml:space="preserve">?</t>
    </r>
  </si>
  <si>
    <t xml:space="preserve">cards.16.reversed.asks_pos.hold</t>
  </si>
  <si>
    <r>
      <rPr>
        <sz val="10"/>
        <rFont val="Noto Sans CJK SC"/>
        <family val="2"/>
      </rPr>
      <t xml:space="preserve">혹시 지금 또 무너질까 봐 다시 시작하는 일을 계속 미루고 있지는 않나요</t>
    </r>
    <r>
      <rPr>
        <sz val="10"/>
        <rFont val="Malgun Gothic"/>
        <family val="0"/>
        <charset val="1"/>
      </rPr>
      <t xml:space="preserve">?</t>
    </r>
  </si>
  <si>
    <t xml:space="preserve">cards.16.reversed.asks_pos.step</t>
  </si>
  <si>
    <r>
      <rPr>
        <sz val="10"/>
        <rFont val="Noto Sans CJK SC"/>
        <family val="2"/>
      </rPr>
      <t xml:space="preserve">앞으로 완벽하게 다시 짓는 쪽과 오늘 한 조각만 쌓는 쪽 중 어느 쪽에 더 마음을 두고 싶나요</t>
    </r>
    <r>
      <rPr>
        <sz val="10"/>
        <rFont val="Malgun Gothic"/>
        <family val="0"/>
        <charset val="1"/>
      </rPr>
      <t xml:space="preserve">?</t>
    </r>
  </si>
  <si>
    <t xml:space="preserve">cards.17.asks_pos.now</t>
  </si>
  <si>
    <r>
      <rPr>
        <sz val="10"/>
        <rFont val="Noto Sans CJK SC"/>
        <family val="2"/>
      </rPr>
      <t xml:space="preserve">그동안 힘든 날에도 하루를 어떻게든 마무리하며 조금씩 버텨 오지 않았나요</t>
    </r>
    <r>
      <rPr>
        <sz val="10"/>
        <rFont val="Malgun Gothic"/>
        <family val="0"/>
        <charset val="1"/>
      </rPr>
      <t xml:space="preserve">?</t>
    </r>
  </si>
  <si>
    <t xml:space="preserve">cards.17.asks_pos.hold</t>
  </si>
  <si>
    <r>
      <rPr>
        <sz val="10"/>
        <rFont val="Noto Sans CJK SC"/>
        <family val="2"/>
      </rPr>
      <t xml:space="preserve">혹시 지금 예전의 나와 비교하느라 나아진 부분을 그냥 지나치고 있지는 않나요</t>
    </r>
    <r>
      <rPr>
        <sz val="10"/>
        <rFont val="Malgun Gothic"/>
        <family val="0"/>
        <charset val="1"/>
      </rPr>
      <t xml:space="preserve">?</t>
    </r>
  </si>
  <si>
    <t xml:space="preserve">cards.17.asks_pos.step</t>
  </si>
  <si>
    <r>
      <rPr>
        <sz val="10"/>
        <rFont val="Noto Sans CJK SC"/>
        <family val="2"/>
      </rPr>
      <t xml:space="preserve">앞으로 예전 모습을 되찾는 쪽과 어제보다 나아진 점을 알아보는 쪽 중 어느 쪽에 더 마음을 두고 싶나요</t>
    </r>
    <r>
      <rPr>
        <sz val="10"/>
        <rFont val="Malgun Gothic"/>
        <family val="0"/>
        <charset val="1"/>
      </rPr>
      <t xml:space="preserve">?</t>
    </r>
  </si>
  <si>
    <t xml:space="preserve">cards.17.reversed.asks_pos.now</t>
  </si>
  <si>
    <r>
      <rPr>
        <sz val="10"/>
        <rFont val="Noto Sans CJK SC"/>
        <family val="2"/>
      </rPr>
      <t xml:space="preserve">그동안 아직 괜찮지 않은 나를 보며 왜 이렇게 더디냐고 자신을 다그쳐 오지 않았나요</t>
    </r>
    <r>
      <rPr>
        <sz val="10"/>
        <rFont val="Malgun Gothic"/>
        <family val="0"/>
        <charset val="1"/>
      </rPr>
      <t xml:space="preserve">?</t>
    </r>
  </si>
  <si>
    <t xml:space="preserve">cards.17.reversed.asks_pos.hold</t>
  </si>
  <si>
    <r>
      <rPr>
        <sz val="10"/>
        <rFont val="Noto Sans CJK SC"/>
        <family val="2"/>
      </rPr>
      <t xml:space="preserve">혹시 지금 기대만큼 빨리 나아지지 않는다는 생각에 작은 변화까지 실망으로 덮고 있지는 않나요</t>
    </r>
    <r>
      <rPr>
        <sz val="10"/>
        <rFont val="Malgun Gothic"/>
        <family val="0"/>
        <charset val="1"/>
      </rPr>
      <t xml:space="preserve">?</t>
    </r>
  </si>
  <si>
    <t xml:space="preserve">cards.17.reversed.asks_pos.step</t>
  </si>
  <si>
    <r>
      <rPr>
        <sz val="10"/>
        <rFont val="Noto Sans CJK SC"/>
        <family val="2"/>
      </rPr>
      <t xml:space="preserve">앞으로 빨리 회복하는 쪽과 느려도 나아지는 방향을 확인하는 쪽 중 어느 쪽에 더 마음을 두고 싶나요</t>
    </r>
    <r>
      <rPr>
        <sz val="10"/>
        <rFont val="Malgun Gothic"/>
        <family val="0"/>
        <charset val="1"/>
      </rPr>
      <t xml:space="preserve">?</t>
    </r>
  </si>
  <si>
    <t xml:space="preserve">cards.18.asks_pos.now</t>
  </si>
  <si>
    <r>
      <rPr>
        <sz val="10"/>
        <rFont val="Noto Sans CJK SC"/>
        <family val="2"/>
      </rPr>
      <t xml:space="preserve">그동안 확실해질 때까지 기다리며 가장 나쁜 경우부터 떠올려 오지 않았나요</t>
    </r>
    <r>
      <rPr>
        <sz val="10"/>
        <rFont val="Malgun Gothic"/>
        <family val="0"/>
        <charset val="1"/>
      </rPr>
      <t xml:space="preserve">?</t>
    </r>
  </si>
  <si>
    <t xml:space="preserve">cards.18.asks_pos.hold</t>
  </si>
  <si>
    <r>
      <rPr>
        <sz val="10"/>
        <rFont val="Noto Sans CJK SC"/>
        <family val="2"/>
      </rPr>
      <t xml:space="preserve">혹시 지금 아직 일어나지 않은 일을 미리 떠올리며 하루의 많은 시간을 보내고 있지는 않나요</t>
    </r>
    <r>
      <rPr>
        <sz val="10"/>
        <rFont val="Malgun Gothic"/>
        <family val="0"/>
        <charset val="1"/>
      </rPr>
      <t xml:space="preserve">?</t>
    </r>
  </si>
  <si>
    <t xml:space="preserve">cards.18.asks_pos.step</t>
  </si>
  <si>
    <r>
      <rPr>
        <sz val="10"/>
        <rFont val="Noto Sans CJK SC"/>
        <family val="2"/>
      </rPr>
      <t xml:space="preserve">앞으로 모든 게 확실해지기를 기다리는 쪽과 지금 보이는 만큼만 믿고 가는 쪽 중 어느 쪽에 더 마음을 두고 싶나요</t>
    </r>
    <r>
      <rPr>
        <sz val="10"/>
        <rFont val="Malgun Gothic"/>
        <family val="0"/>
        <charset val="1"/>
      </rPr>
      <t xml:space="preserve">?</t>
    </r>
  </si>
  <si>
    <t xml:space="preserve">cards.18.reversed.asks_pos.now</t>
  </si>
  <si>
    <r>
      <rPr>
        <sz val="10"/>
        <rFont val="Noto Sans CJK SC"/>
        <family val="2"/>
      </rPr>
      <t xml:space="preserve">그동안 막연한 불안 속에서도 무엇이 마음에 걸리는지 하나씩 들여다보려 애써 오지 않았나요</t>
    </r>
    <r>
      <rPr>
        <sz val="10"/>
        <rFont val="Malgun Gothic"/>
        <family val="0"/>
        <charset val="1"/>
      </rPr>
      <t xml:space="preserve">?</t>
    </r>
  </si>
  <si>
    <t xml:space="preserve">cards.18.reversed.asks_pos.hold</t>
  </si>
  <si>
    <r>
      <rPr>
        <sz val="10"/>
        <rFont val="Noto Sans CJK SC"/>
        <family val="2"/>
      </rPr>
      <t xml:space="preserve">혹시 지금 꽤 많은 게 정리됐는데도 남은 작은 물음표 하나 때문에 마음을 놓지 못하고 있지는 않나요</t>
    </r>
    <r>
      <rPr>
        <sz val="10"/>
        <rFont val="Malgun Gothic"/>
        <family val="0"/>
        <charset val="1"/>
      </rPr>
      <t xml:space="preserve">?</t>
    </r>
  </si>
  <si>
    <t xml:space="preserve">cards.18.reversed.asks_pos.step</t>
  </si>
  <si>
    <r>
      <rPr>
        <sz val="10"/>
        <rFont val="Noto Sans CJK SC"/>
        <family val="2"/>
      </rPr>
      <t xml:space="preserve">앞으로 남은 물음표를 모두 지우는 쪽과 이미 보이는 것부터 믿어 보는 쪽 중 어느 쪽에 더 마음을 두고 싶나요</t>
    </r>
    <r>
      <rPr>
        <sz val="10"/>
        <rFont val="Malgun Gothic"/>
        <family val="0"/>
        <charset val="1"/>
      </rPr>
      <t xml:space="preserve">?</t>
    </r>
  </si>
  <si>
    <t xml:space="preserve">cards.19.asks_pos.now</t>
  </si>
  <si>
    <r>
      <rPr>
        <sz val="10"/>
        <rFont val="Noto Sans CJK SC"/>
        <family val="2"/>
      </rPr>
      <t xml:space="preserve">그동안 마음이 무거운 날에도 작은 즐거움 하나씩은 챙기며 지내 오지 않았나요</t>
    </r>
    <r>
      <rPr>
        <sz val="10"/>
        <rFont val="Malgun Gothic"/>
        <family val="0"/>
        <charset val="1"/>
      </rPr>
      <t xml:space="preserve">?</t>
    </r>
  </si>
  <si>
    <t xml:space="preserve">cards.19.asks_pos.hold</t>
  </si>
  <si>
    <r>
      <rPr>
        <sz val="10"/>
        <rFont val="Noto Sans CJK SC"/>
        <family val="2"/>
      </rPr>
      <t xml:space="preserve">혹시 지금 고민만 바라보느라 곁에 있는 즐거운 순간을 작게 여기고 있지는 않나요</t>
    </r>
    <r>
      <rPr>
        <sz val="10"/>
        <rFont val="Malgun Gothic"/>
        <family val="0"/>
        <charset val="1"/>
      </rPr>
      <t xml:space="preserve">?</t>
    </r>
  </si>
  <si>
    <t xml:space="preserve">cards.19.asks_pos.step</t>
  </si>
  <si>
    <r>
      <rPr>
        <sz val="10"/>
        <rFont val="Noto Sans CJK SC"/>
        <family val="2"/>
      </rPr>
      <t xml:space="preserve">앞으로 고민부터 해결하는 쪽과 오늘의 기쁨을 충분히 누리는 쪽 중 어느 쪽에 더 마음을 두고 싶나요</t>
    </r>
    <r>
      <rPr>
        <sz val="10"/>
        <rFont val="Malgun Gothic"/>
        <family val="0"/>
        <charset val="1"/>
      </rPr>
      <t xml:space="preserve">?</t>
    </r>
  </si>
  <si>
    <t xml:space="preserve">cards.19.reversed.asks_pos.now</t>
  </si>
  <si>
    <r>
      <rPr>
        <sz val="10"/>
        <rFont val="Noto Sans CJK SC"/>
        <family val="2"/>
      </rPr>
      <t xml:space="preserve">그동안 좋은 일이 생겨도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이러다 또 안 좋아지겠지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하며 마음껏 기뻐하지 못해 오지 않았나요</t>
    </r>
    <r>
      <rPr>
        <sz val="10"/>
        <rFont val="Malgun Gothic"/>
        <family val="0"/>
        <charset val="1"/>
      </rPr>
      <t xml:space="preserve">?</t>
    </r>
  </si>
  <si>
    <t xml:space="preserve">cards.19.reversed.asks_pos.hold</t>
  </si>
  <si>
    <r>
      <rPr>
        <sz val="10"/>
        <rFont val="Noto Sans CJK SC"/>
        <family val="2"/>
      </rPr>
      <t xml:space="preserve">혹시 지금 좋은 순간이 와도 기뻐해도 될지 망설이다 그냥 흘려보내고 있지는 않나요</t>
    </r>
    <r>
      <rPr>
        <sz val="10"/>
        <rFont val="Malgun Gothic"/>
        <family val="0"/>
        <charset val="1"/>
      </rPr>
      <t xml:space="preserve">?</t>
    </r>
  </si>
  <si>
    <t xml:space="preserve">cards.19.reversed.asks_pos.step</t>
  </si>
  <si>
    <r>
      <rPr>
        <sz val="10"/>
        <rFont val="Noto Sans CJK SC"/>
        <family val="2"/>
      </rPr>
      <t xml:space="preserve">앞으로 다음 걱정에 미리 대비하는 쪽과 지금 찾아온 기쁨을 받아들이는 쪽 중 어느 쪽에 더 마음을 두고 싶나요</t>
    </r>
    <r>
      <rPr>
        <sz val="10"/>
        <rFont val="Malgun Gothic"/>
        <family val="0"/>
        <charset val="1"/>
      </rPr>
      <t xml:space="preserve">?</t>
    </r>
  </si>
  <si>
    <t xml:space="preserve">cards.20.asks_pos.now</t>
  </si>
  <si>
    <r>
      <rPr>
        <sz val="10"/>
        <rFont val="Noto Sans CJK SC"/>
        <family val="2"/>
      </rPr>
      <t xml:space="preserve">그동안 정말 하고 싶은 일이 있었는데도 지금은 때가 아니라며 미뤄 오지 않았나요</t>
    </r>
    <r>
      <rPr>
        <sz val="10"/>
        <rFont val="Malgun Gothic"/>
        <family val="0"/>
        <charset val="1"/>
      </rPr>
      <t xml:space="preserve">?</t>
    </r>
  </si>
  <si>
    <t xml:space="preserve">cards.20.asks_pos.hold</t>
  </si>
  <si>
    <r>
      <rPr>
        <sz val="10"/>
        <rFont val="Noto Sans CJK SC"/>
        <family val="2"/>
      </rPr>
      <t xml:space="preserve">혹시 지금 익숙한 하루 속에서도 이게 정말 내가 원하는 삶인지 자꾸 묻고 있지는 않나요</t>
    </r>
    <r>
      <rPr>
        <sz val="10"/>
        <rFont val="Malgun Gothic"/>
        <family val="0"/>
        <charset val="1"/>
      </rPr>
      <t xml:space="preserve">?</t>
    </r>
  </si>
  <si>
    <t xml:space="preserve">cards.20.asks_pos.step</t>
  </si>
  <si>
    <r>
      <rPr>
        <sz val="10"/>
        <rFont val="Noto Sans CJK SC"/>
        <family val="2"/>
      </rPr>
      <t xml:space="preserve">앞으로 남들이 보기에 좋은 길과 내 마음이 오래 바라 온 길 중 어느 쪽에 더 마음을 두고 싶나요</t>
    </r>
    <r>
      <rPr>
        <sz val="10"/>
        <rFont val="Malgun Gothic"/>
        <family val="0"/>
        <charset val="1"/>
      </rPr>
      <t xml:space="preserve">?</t>
    </r>
  </si>
  <si>
    <t xml:space="preserve">cards.20.reversed.asks_pos.now</t>
  </si>
  <si>
    <r>
      <rPr>
        <sz val="10"/>
        <rFont val="Noto Sans CJK SC"/>
        <family val="2"/>
      </rPr>
      <t xml:space="preserve">그동안 제대로 할 수 없을 바엔 시작하지 않겠다며 마음속 바람을 미뤄 오지 않았나요</t>
    </r>
    <r>
      <rPr>
        <sz val="10"/>
        <rFont val="Malgun Gothic"/>
        <family val="0"/>
        <charset val="1"/>
      </rPr>
      <t xml:space="preserve">?</t>
    </r>
  </si>
  <si>
    <t xml:space="preserve">cards.20.reversed.asks_pos.hold</t>
  </si>
  <si>
    <r>
      <rPr>
        <sz val="10"/>
        <rFont val="Noto Sans CJK SC"/>
        <family val="2"/>
      </rPr>
      <t xml:space="preserve">혹시 지금 지난 선택을 되짚으며 스스로를 평가하느라 다음 걸음을 망설이고 있지는 않나요</t>
    </r>
    <r>
      <rPr>
        <sz val="10"/>
        <rFont val="Malgun Gothic"/>
        <family val="0"/>
        <charset val="1"/>
      </rPr>
      <t xml:space="preserve">?</t>
    </r>
  </si>
  <si>
    <t xml:space="preserve">cards.20.reversed.asks_pos.step</t>
  </si>
  <si>
    <r>
      <rPr>
        <sz val="10"/>
        <rFont val="Noto Sans CJK SC"/>
        <family val="2"/>
      </rPr>
      <t xml:space="preserve">앞으로 완벽한 계획을 세운 뒤 시작하는 쪽과 끌리는 방향으로 작게 움직이는 쪽 중 어느 쪽에 더 마음을 두고 싶나요</t>
    </r>
    <r>
      <rPr>
        <sz val="10"/>
        <rFont val="Malgun Gothic"/>
        <family val="0"/>
        <charset val="1"/>
      </rPr>
      <t xml:space="preserve">?</t>
    </r>
  </si>
  <si>
    <t xml:space="preserve">cards.21.asks_pos.now</t>
  </si>
  <si>
    <r>
      <rPr>
        <sz val="10"/>
        <rFont val="Noto Sans CJK SC"/>
        <family val="2"/>
      </rPr>
      <t xml:space="preserve">그동안 힘든 순간이 있어도 멈추지 않고 하나의 시기를 끝까지 걸어오지 않았나요</t>
    </r>
    <r>
      <rPr>
        <sz val="10"/>
        <rFont val="Malgun Gothic"/>
        <family val="0"/>
        <charset val="1"/>
      </rPr>
      <t xml:space="preserve">?</t>
    </r>
  </si>
  <si>
    <t xml:space="preserve">cards.21.asks_pos.hold</t>
  </si>
  <si>
    <r>
      <rPr>
        <sz val="10"/>
        <rFont val="Noto Sans CJK SC"/>
        <family val="2"/>
      </rPr>
      <t xml:space="preserve">혹시 지금 하나를 마치자마자 다음 목표로 넘어가느라 애쓴 나를 알아봐 주지 못하고 있지는 않나요</t>
    </r>
    <r>
      <rPr>
        <sz val="10"/>
        <rFont val="Malgun Gothic"/>
        <family val="0"/>
        <charset val="1"/>
      </rPr>
      <t xml:space="preserve">?</t>
    </r>
  </si>
  <si>
    <t xml:space="preserve">cards.21.asks_pos.step</t>
  </si>
  <si>
    <r>
      <rPr>
        <sz val="10"/>
        <rFont val="Noto Sans CJK SC"/>
        <family val="2"/>
      </rPr>
      <t xml:space="preserve">앞으로 곧장 다음 목표로 가는 쪽과 여기까지 온 길을 돌아보고 가는 쪽 중 어느 쪽에 더 마음을 두고 싶나요</t>
    </r>
    <r>
      <rPr>
        <sz val="10"/>
        <rFont val="Malgun Gothic"/>
        <family val="0"/>
        <charset val="1"/>
      </rPr>
      <t xml:space="preserve">?</t>
    </r>
  </si>
  <si>
    <t xml:space="preserve">cards.21.reversed.asks_pos.now</t>
  </si>
  <si>
    <r>
      <rPr>
        <sz val="10"/>
        <rFont val="Noto Sans CJK SC"/>
        <family val="2"/>
      </rPr>
      <t xml:space="preserve">그동안 조금만 더 다듬으면 된다며 거의 다 된 일을 끝내지 못하고 붙잡아 오지 않았나요</t>
    </r>
    <r>
      <rPr>
        <sz val="10"/>
        <rFont val="Malgun Gothic"/>
        <family val="0"/>
        <charset val="1"/>
      </rPr>
      <t xml:space="preserve">?</t>
    </r>
  </si>
  <si>
    <t xml:space="preserve">cards.21.reversed.asks_pos.hold</t>
  </si>
  <si>
    <r>
      <rPr>
        <sz val="10"/>
        <rFont val="Noto Sans CJK SC"/>
        <family val="2"/>
      </rPr>
      <t xml:space="preserve">혹시 지금 거의 다 끝난 일을 마음 한쪽에 짐처럼 계속 남겨 두고 있지는 않나요</t>
    </r>
    <r>
      <rPr>
        <sz val="10"/>
        <rFont val="Malgun Gothic"/>
        <family val="0"/>
        <charset val="1"/>
      </rPr>
      <t xml:space="preserve">?</t>
    </r>
  </si>
  <si>
    <t xml:space="preserve">cards.21.reversed.asks_pos.step</t>
  </si>
  <si>
    <r>
      <rPr>
        <sz val="10"/>
        <rFont val="Noto Sans CJK SC"/>
        <family val="2"/>
      </rPr>
      <t xml:space="preserve">앞으로 아쉬움 없이 완벽하게 끝내는 쪽과 지금 이 정도에서 매듭짓는 쪽 중 어느 쪽에 더 마음을 두고 싶나요</t>
    </r>
    <r>
      <rPr>
        <sz val="10"/>
        <rFont val="Malgun Gothic"/>
        <family val="0"/>
        <charset val="1"/>
      </rPr>
      <t xml:space="preserve">?</t>
    </r>
  </si>
  <si>
    <t xml:space="preserve">cards.0.direct.slow_short</t>
  </si>
  <si>
    <r>
      <rPr>
        <sz val="10"/>
        <rFont val="Noto Sans CJK SC"/>
        <family val="2"/>
      </rPr>
      <t xml:space="preserve">정방향 </t>
    </r>
    <r>
      <rPr>
        <sz val="10"/>
        <rFont val="Malgun Gothic"/>
        <family val="0"/>
        <charset val="1"/>
      </rPr>
      <t xml:space="preserve">· 8</t>
    </r>
    <r>
      <rPr>
        <sz val="10"/>
        <rFont val="Noto Sans CJK SC"/>
        <family val="2"/>
      </rPr>
      <t xml:space="preserve">쪽 굵은 줄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속도를 늦추는 ‘…’를 풀려면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에 들어갈 명사구</t>
    </r>
  </si>
  <si>
    <t xml:space="preserve">생각만 앞서가는 습관</t>
  </si>
  <si>
    <t xml:space="preserve">cards.0.direct.key_rx.title</t>
  </si>
  <si>
    <r>
      <rPr>
        <sz val="10"/>
        <rFont val="Noto Sans CJK SC"/>
        <family val="2"/>
      </rPr>
      <t xml:space="preserve">정방향 </t>
    </r>
    <r>
      <rPr>
        <sz val="10"/>
        <rFont val="Malgun Gothic"/>
        <family val="0"/>
        <charset val="1"/>
      </rPr>
      <t xml:space="preserve">· 8</t>
    </r>
    <r>
      <rPr>
        <sz val="10"/>
        <rFont val="Noto Sans CJK SC"/>
        <family val="2"/>
      </rPr>
      <t xml:space="preserve">쪽 처방 ① 앞으로의 열쇠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세 번째 카드일 때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제목</t>
    </r>
  </si>
  <si>
    <t xml:space="preserve">해 본 경험만 남기는 메모</t>
  </si>
  <si>
    <t xml:space="preserve">cards.0.direct.key_rx.how</t>
  </si>
  <si>
    <r>
      <rPr>
        <sz val="10"/>
        <rFont val="Noto Sans CJK SC"/>
        <family val="2"/>
      </rPr>
      <t xml:space="preserve">정방향 </t>
    </r>
    <r>
      <rPr>
        <sz val="10"/>
        <rFont val="Malgun Gothic"/>
        <family val="0"/>
        <charset val="1"/>
      </rPr>
      <t xml:space="preserve">· 8</t>
    </r>
    <r>
      <rPr>
        <sz val="10"/>
        <rFont val="Noto Sans CJK SC"/>
        <family val="2"/>
      </rPr>
      <t xml:space="preserve">쪽 처방 ① 앞으로의 열쇠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세 번째 카드일 때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방법</t>
    </r>
  </si>
  <si>
    <r>
      <rPr>
        <sz val="10"/>
        <rFont val="Noto Sans CJK SC"/>
        <family val="2"/>
      </rPr>
      <t xml:space="preserve">새로 해 본 일을 하나 정해서 하고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잘했는지는 적지 말고 해 보니 어땠는지만 노트에 한 줄 적어요</t>
    </r>
    <r>
      <rPr>
        <sz val="10"/>
        <rFont val="Malgun Gothic"/>
        <family val="0"/>
        <charset val="1"/>
      </rPr>
      <t xml:space="preserve">.</t>
    </r>
  </si>
  <si>
    <t xml:space="preserve">cards.0.direct.key_rx.why</t>
  </si>
  <si>
    <r>
      <rPr>
        <sz val="10"/>
        <rFont val="Noto Sans CJK SC"/>
        <family val="2"/>
      </rPr>
      <t xml:space="preserve">정방향 </t>
    </r>
    <r>
      <rPr>
        <sz val="10"/>
        <rFont val="Malgun Gothic"/>
        <family val="0"/>
        <charset val="1"/>
      </rPr>
      <t xml:space="preserve">· 8</t>
    </r>
    <r>
      <rPr>
        <sz val="10"/>
        <rFont val="Noto Sans CJK SC"/>
        <family val="2"/>
      </rPr>
      <t xml:space="preserve">쪽 처방 ① 앞으로의 열쇠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세 번째 카드일 때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이유</t>
    </r>
  </si>
  <si>
    <r>
      <rPr>
        <sz val="10"/>
        <rFont val="Noto Sans CJK SC"/>
        <family val="2"/>
      </rPr>
      <t xml:space="preserve">해 보는 경험 자체에 마음을 두면 잘해야 한다는 기준이 내려가서 시작이 훨씬 가벼워집니다</t>
    </r>
    <r>
      <rPr>
        <sz val="10"/>
        <rFont val="Malgun Gothic"/>
        <family val="0"/>
        <charset val="1"/>
      </rPr>
      <t xml:space="preserve">.</t>
    </r>
  </si>
  <si>
    <t xml:space="preserve">cards.0.direct.today.title</t>
  </si>
  <si>
    <r>
      <rPr>
        <sz val="10"/>
        <rFont val="Noto Sans CJK SC"/>
        <family val="2"/>
      </rPr>
      <t xml:space="preserve">정방향 </t>
    </r>
    <r>
      <rPr>
        <sz val="10"/>
        <rFont val="Malgun Gothic"/>
        <family val="0"/>
        <charset val="1"/>
      </rPr>
      <t xml:space="preserve">· 9</t>
    </r>
    <r>
      <rPr>
        <sz val="10"/>
        <rFont val="Noto Sans CJK SC"/>
        <family val="2"/>
      </rPr>
      <t xml:space="preserve">쪽 오늘 — 처방 ①의 </t>
    </r>
    <r>
      <rPr>
        <sz val="10"/>
        <rFont val="Malgun Gothic"/>
        <family val="0"/>
        <charset val="1"/>
      </rPr>
      <t xml:space="preserve">1~5</t>
    </r>
    <r>
      <rPr>
        <sz val="10"/>
        <rFont val="Noto Sans CJK SC"/>
        <family val="2"/>
      </rPr>
      <t xml:space="preserve">분판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제목</t>
    </r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</si>
  <si>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분 동안 해 보기</t>
    </r>
  </si>
  <si>
    <t xml:space="preserve">cards.0.direct.today.how</t>
  </si>
  <si>
    <r>
      <rPr>
        <sz val="10"/>
        <rFont val="Noto Sans CJK SC"/>
        <family val="2"/>
      </rPr>
      <t xml:space="preserve">정방향 </t>
    </r>
    <r>
      <rPr>
        <sz val="10"/>
        <rFont val="Malgun Gothic"/>
        <family val="0"/>
        <charset val="1"/>
      </rPr>
      <t xml:space="preserve">· 9</t>
    </r>
    <r>
      <rPr>
        <sz val="10"/>
        <rFont val="Noto Sans CJK SC"/>
        <family val="2"/>
      </rPr>
      <t xml:space="preserve">쪽 오늘 — 처방 ①의 </t>
    </r>
    <r>
      <rPr>
        <sz val="10"/>
        <rFont val="Malgun Gothic"/>
        <family val="0"/>
        <charset val="1"/>
      </rPr>
      <t xml:space="preserve">1~5</t>
    </r>
    <r>
      <rPr>
        <sz val="10"/>
        <rFont val="Noto Sans CJK SC"/>
        <family val="2"/>
      </rPr>
      <t xml:space="preserve">분판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방법</t>
    </r>
  </si>
  <si>
    <r>
      <rPr>
        <sz val="10"/>
        <rFont val="Noto Sans CJK SC"/>
        <family val="2"/>
      </rPr>
      <t xml:space="preserve">타이머를 </t>
    </r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분에 맞추고 미뤄 둔 일을 시작해 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끝나면 해 보니 어땠는지 한 줄만 적어요</t>
    </r>
    <r>
      <rPr>
        <sz val="10"/>
        <rFont val="Malgun Gothic"/>
        <family val="0"/>
        <charset val="1"/>
      </rPr>
      <t xml:space="preserve">.</t>
    </r>
  </si>
  <si>
    <t xml:space="preserve">cards.0.direct.today.time</t>
  </si>
  <si>
    <r>
      <rPr>
        <sz val="10"/>
        <rFont val="Noto Sans CJK SC"/>
        <family val="2"/>
      </rPr>
      <t xml:space="preserve">정방향 </t>
    </r>
    <r>
      <rPr>
        <sz val="10"/>
        <rFont val="Malgun Gothic"/>
        <family val="0"/>
        <charset val="1"/>
      </rPr>
      <t xml:space="preserve">· 9</t>
    </r>
    <r>
      <rPr>
        <sz val="10"/>
        <rFont val="Noto Sans CJK SC"/>
        <family val="2"/>
      </rPr>
      <t xml:space="preserve">쪽 오늘 — 처방 ①의 </t>
    </r>
    <r>
      <rPr>
        <sz val="10"/>
        <rFont val="Malgun Gothic"/>
        <family val="0"/>
        <charset val="1"/>
      </rPr>
      <t xml:space="preserve">1~5</t>
    </r>
    <r>
      <rPr>
        <sz val="10"/>
        <rFont val="Noto Sans CJK SC"/>
        <family val="2"/>
      </rPr>
      <t xml:space="preserve">분판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시간</t>
    </r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</si>
  <si>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분</t>
    </r>
  </si>
  <si>
    <t xml:space="preserve">cards.0.direct.today.why</t>
  </si>
  <si>
    <r>
      <rPr>
        <sz val="10"/>
        <rFont val="Noto Sans CJK SC"/>
        <family val="2"/>
      </rPr>
      <t xml:space="preserve">정방향 </t>
    </r>
    <r>
      <rPr>
        <sz val="10"/>
        <rFont val="Malgun Gothic"/>
        <family val="0"/>
        <charset val="1"/>
      </rPr>
      <t xml:space="preserve">· 9</t>
    </r>
    <r>
      <rPr>
        <sz val="10"/>
        <rFont val="Noto Sans CJK SC"/>
        <family val="2"/>
      </rPr>
      <t xml:space="preserve">쪽 오늘 — 처방 ①의 </t>
    </r>
    <r>
      <rPr>
        <sz val="10"/>
        <rFont val="Malgun Gothic"/>
        <family val="0"/>
        <charset val="1"/>
      </rPr>
      <t xml:space="preserve">1~5</t>
    </r>
    <r>
      <rPr>
        <sz val="10"/>
        <rFont val="Noto Sans CJK SC"/>
        <family val="2"/>
      </rPr>
      <t xml:space="preserve">분판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이유</t>
    </r>
  </si>
  <si>
    <r>
      <rPr>
        <sz val="10"/>
        <rFont val="Noto Sans CJK SC"/>
        <family val="2"/>
      </rPr>
      <t xml:space="preserve">경험 자체에 마음을 두면 </t>
    </r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분만 해 봐도 충분하다고 느끼게 되어 시작이 가벼워져요</t>
    </r>
    <r>
      <rPr>
        <sz val="10"/>
        <rFont val="Malgun Gothic"/>
        <family val="0"/>
        <charset val="1"/>
      </rPr>
      <t xml:space="preserve">.</t>
    </r>
  </si>
  <si>
    <t xml:space="preserve">cards.0.direct.week.title</t>
  </si>
  <si>
    <r>
      <rPr>
        <sz val="10"/>
        <rFont val="Noto Sans CJK SC"/>
        <family val="2"/>
      </rPr>
      <t xml:space="preserve">정방향 </t>
    </r>
    <r>
      <rPr>
        <sz val="10"/>
        <rFont val="Malgun Gothic"/>
        <family val="0"/>
        <charset val="1"/>
      </rPr>
      <t xml:space="preserve">· 9</t>
    </r>
    <r>
      <rPr>
        <sz val="10"/>
        <rFont val="Noto Sans CJK SC"/>
        <family val="2"/>
      </rPr>
      <t xml:space="preserve">쪽 이번 주 — 처방 ①을 되풀이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제목</t>
    </r>
  </si>
  <si>
    <t xml:space="preserve">이번 주 해 본 일 세 가지</t>
  </si>
  <si>
    <t xml:space="preserve">cards.0.direct.week.how</t>
  </si>
  <si>
    <r>
      <rPr>
        <sz val="10"/>
        <rFont val="Noto Sans CJK SC"/>
        <family val="2"/>
      </rPr>
      <t xml:space="preserve">정방향 </t>
    </r>
    <r>
      <rPr>
        <sz val="10"/>
        <rFont val="Malgun Gothic"/>
        <family val="0"/>
        <charset val="1"/>
      </rPr>
      <t xml:space="preserve">· 9</t>
    </r>
    <r>
      <rPr>
        <sz val="10"/>
        <rFont val="Noto Sans CJK SC"/>
        <family val="2"/>
      </rPr>
      <t xml:space="preserve">쪽 이번 주 — 처방 ①을 되풀이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방법</t>
    </r>
  </si>
  <si>
    <r>
      <rPr>
        <sz val="10"/>
        <rFont val="Noto Sans CJK SC"/>
        <family val="2"/>
      </rPr>
      <t xml:space="preserve">이번 주에 새로 해 볼 일을 세 가지 정해 하나씩 해 보고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그때마다 해 보니 어땠는지 한 줄씩 적습니다</t>
    </r>
    <r>
      <rPr>
        <sz val="10"/>
        <rFont val="Malgun Gothic"/>
        <family val="0"/>
        <charset val="1"/>
      </rPr>
      <t xml:space="preserve">.</t>
    </r>
  </si>
  <si>
    <t xml:space="preserve">cards.0.direct.week.time</t>
  </si>
  <si>
    <r>
      <rPr>
        <sz val="10"/>
        <rFont val="Noto Sans CJK SC"/>
        <family val="2"/>
      </rPr>
      <t xml:space="preserve">정방향 </t>
    </r>
    <r>
      <rPr>
        <sz val="10"/>
        <rFont val="Malgun Gothic"/>
        <family val="0"/>
        <charset val="1"/>
      </rPr>
      <t xml:space="preserve">· 9</t>
    </r>
    <r>
      <rPr>
        <sz val="10"/>
        <rFont val="Noto Sans CJK SC"/>
        <family val="2"/>
      </rPr>
      <t xml:space="preserve">쪽 이번 주 — 처방 ①을 되풀이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시간</t>
    </r>
  </si>
  <si>
    <t xml:space="preserve">이번 주</t>
  </si>
  <si>
    <t xml:space="preserve">cards.0.direct.week.why</t>
  </si>
  <si>
    <r>
      <rPr>
        <sz val="10"/>
        <rFont val="Noto Sans CJK SC"/>
        <family val="2"/>
      </rPr>
      <t xml:space="preserve">정방향 </t>
    </r>
    <r>
      <rPr>
        <sz val="10"/>
        <rFont val="Malgun Gothic"/>
        <family val="0"/>
        <charset val="1"/>
      </rPr>
      <t xml:space="preserve">· 9</t>
    </r>
    <r>
      <rPr>
        <sz val="10"/>
        <rFont val="Noto Sans CJK SC"/>
        <family val="2"/>
      </rPr>
      <t xml:space="preserve">쪽 이번 주 — 처방 ①을 되풀이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이유</t>
    </r>
  </si>
  <si>
    <r>
      <rPr>
        <sz val="10"/>
        <rFont val="Noto Sans CJK SC"/>
        <family val="2"/>
      </rPr>
      <t xml:space="preserve">해 보는 경험을 되풀이하면 잘해야 한다는 기준이 점점 내려가 시작하는 일이 즐거워져요</t>
    </r>
    <r>
      <rPr>
        <sz val="10"/>
        <rFont val="Malgun Gothic"/>
        <family val="0"/>
        <charset val="1"/>
      </rPr>
      <t xml:space="preserve">.</t>
    </r>
  </si>
  <si>
    <t xml:space="preserve">cards.0.direct.slow_rx.title</t>
  </si>
  <si>
    <r>
      <rPr>
        <sz val="10"/>
        <rFont val="Noto Sans CJK SC"/>
        <family val="2"/>
      </rPr>
      <t xml:space="preserve">정방향 </t>
    </r>
    <r>
      <rPr>
        <sz val="10"/>
        <rFont val="Malgun Gothic"/>
        <family val="0"/>
        <charset val="1"/>
      </rPr>
      <t xml:space="preserve">· 8</t>
    </r>
    <r>
      <rPr>
        <sz val="10"/>
        <rFont val="Noto Sans CJK SC"/>
        <family val="2"/>
      </rPr>
      <t xml:space="preserve">쪽 처방 ② 속도를 늦추는 것 풀기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두 번째 카드일 때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제목</t>
    </r>
  </si>
  <si>
    <t xml:space="preserve">생각 대신 첫 동작 정하기</t>
  </si>
  <si>
    <t xml:space="preserve">cards.0.direct.slow_rx.how</t>
  </si>
  <si>
    <r>
      <rPr>
        <sz val="10"/>
        <rFont val="Noto Sans CJK SC"/>
        <family val="2"/>
      </rPr>
      <t xml:space="preserve">정방향 </t>
    </r>
    <r>
      <rPr>
        <sz val="10"/>
        <rFont val="Malgun Gothic"/>
        <family val="0"/>
        <charset val="1"/>
      </rPr>
      <t xml:space="preserve">· 8</t>
    </r>
    <r>
      <rPr>
        <sz val="10"/>
        <rFont val="Noto Sans CJK SC"/>
        <family val="2"/>
      </rPr>
      <t xml:space="preserve">쪽 처방 ② 속도를 늦추는 것 풀기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두 번째 카드일 때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방법</t>
    </r>
  </si>
  <si>
    <r>
      <rPr>
        <sz val="10"/>
        <rFont val="Noto Sans CJK SC"/>
        <family val="2"/>
      </rPr>
      <t xml:space="preserve">머릿속 생각을 노트에 모두 적고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그중 지금 바로 할 수 있는 첫 동작 하나에만 동그라미를 쳐요</t>
    </r>
    <r>
      <rPr>
        <sz val="10"/>
        <rFont val="Malgun Gothic"/>
        <family val="0"/>
        <charset val="1"/>
      </rPr>
      <t xml:space="preserve">.</t>
    </r>
  </si>
  <si>
    <t xml:space="preserve">cards.0.direct.slow_rx.why</t>
  </si>
  <si>
    <r>
      <rPr>
        <sz val="10"/>
        <rFont val="Noto Sans CJK SC"/>
        <family val="2"/>
      </rPr>
      <t xml:space="preserve">정방향 </t>
    </r>
    <r>
      <rPr>
        <sz val="10"/>
        <rFont val="Malgun Gothic"/>
        <family val="0"/>
        <charset val="1"/>
      </rPr>
      <t xml:space="preserve">· 8</t>
    </r>
    <r>
      <rPr>
        <sz val="10"/>
        <rFont val="Noto Sans CJK SC"/>
        <family val="2"/>
      </rPr>
      <t xml:space="preserve">쪽 처방 ② 속도를 늦추는 것 풀기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두 번째 카드일 때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이유</t>
    </r>
  </si>
  <si>
    <r>
      <rPr>
        <sz val="10"/>
        <rFont val="Noto Sans CJK SC"/>
        <family val="2"/>
      </rPr>
      <t xml:space="preserve">생각만 앞서가면 첫발이 계속 다음으로 밀리니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첫 동작 하나를 정해 두면 시작이 쉬워집니다</t>
    </r>
    <r>
      <rPr>
        <sz val="10"/>
        <rFont val="Malgun Gothic"/>
        <family val="0"/>
        <charset val="1"/>
      </rPr>
      <t xml:space="preserve">.</t>
    </r>
  </si>
  <si>
    <t xml:space="preserve">cards.0.direct.three.title</t>
  </si>
  <si>
    <r>
      <rPr>
        <sz val="10"/>
        <rFont val="Noto Sans CJK SC"/>
        <family val="2"/>
      </rPr>
      <t xml:space="preserve">정방향 </t>
    </r>
    <r>
      <rPr>
        <sz val="10"/>
        <rFont val="Malgun Gothic"/>
        <family val="0"/>
        <charset val="1"/>
      </rPr>
      <t xml:space="preserve">· 9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일 안에 — 처방 ②의 </t>
    </r>
    <r>
      <rPr>
        <sz val="10"/>
        <rFont val="Malgun Gothic"/>
        <family val="0"/>
        <charset val="1"/>
      </rPr>
      <t xml:space="preserve">10~20</t>
    </r>
    <r>
      <rPr>
        <sz val="10"/>
        <rFont val="Noto Sans CJK SC"/>
        <family val="2"/>
      </rPr>
      <t xml:space="preserve">분판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제목</t>
    </r>
  </si>
  <si>
    <t xml:space="preserve">첫 동작 바로 해 보기</t>
  </si>
  <si>
    <t xml:space="preserve">cards.0.direct.three.how</t>
  </si>
  <si>
    <r>
      <rPr>
        <sz val="10"/>
        <rFont val="Noto Sans CJK SC"/>
        <family val="2"/>
      </rPr>
      <t xml:space="preserve">정방향 </t>
    </r>
    <r>
      <rPr>
        <sz val="10"/>
        <rFont val="Malgun Gothic"/>
        <family val="0"/>
        <charset val="1"/>
      </rPr>
      <t xml:space="preserve">· 9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일 안에 — 처방 ②의 </t>
    </r>
    <r>
      <rPr>
        <sz val="10"/>
        <rFont val="Malgun Gothic"/>
        <family val="0"/>
        <charset val="1"/>
      </rPr>
      <t xml:space="preserve">10~20</t>
    </r>
    <r>
      <rPr>
        <sz val="10"/>
        <rFont val="Noto Sans CJK SC"/>
        <family val="2"/>
      </rPr>
      <t xml:space="preserve">분판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방법</t>
    </r>
  </si>
  <si>
    <r>
      <rPr>
        <sz val="10"/>
        <rFont val="Noto Sans CJK SC"/>
        <family val="2"/>
      </rPr>
      <t xml:space="preserve">노트에 동그라미 친 첫 동작을 </t>
    </r>
    <r>
      <rPr>
        <sz val="10"/>
        <rFont val="Malgun Gothic"/>
        <family val="0"/>
        <charset val="1"/>
      </rPr>
      <t xml:space="preserve">10</t>
    </r>
    <r>
      <rPr>
        <sz val="10"/>
        <rFont val="Noto Sans CJK SC"/>
        <family val="2"/>
      </rPr>
      <t xml:space="preserve">분 안에 해 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끝내지 못해도 첫발을 뗀 것으로 충분해요</t>
    </r>
    <r>
      <rPr>
        <sz val="10"/>
        <rFont val="Malgun Gothic"/>
        <family val="0"/>
        <charset val="1"/>
      </rPr>
      <t xml:space="preserve">.</t>
    </r>
  </si>
  <si>
    <t xml:space="preserve">cards.0.direct.three.time</t>
  </si>
  <si>
    <r>
      <rPr>
        <sz val="10"/>
        <rFont val="Noto Sans CJK SC"/>
        <family val="2"/>
      </rPr>
      <t xml:space="preserve">정방향 </t>
    </r>
    <r>
      <rPr>
        <sz val="10"/>
        <rFont val="Malgun Gothic"/>
        <family val="0"/>
        <charset val="1"/>
      </rPr>
      <t xml:space="preserve">· 9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일 안에 — 처방 ②의 </t>
    </r>
    <r>
      <rPr>
        <sz val="10"/>
        <rFont val="Malgun Gothic"/>
        <family val="0"/>
        <charset val="1"/>
      </rPr>
      <t xml:space="preserve">10~20</t>
    </r>
    <r>
      <rPr>
        <sz val="10"/>
        <rFont val="Noto Sans CJK SC"/>
        <family val="2"/>
      </rPr>
      <t xml:space="preserve">분판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시간</t>
    </r>
  </si>
  <si>
    <r>
      <rPr>
        <sz val="10"/>
        <rFont val="Malgun Gothic"/>
        <family val="0"/>
        <charset val="1"/>
      </rPr>
      <t xml:space="preserve">10</t>
    </r>
    <r>
      <rPr>
        <sz val="10"/>
        <rFont val="Noto Sans CJK SC"/>
        <family val="2"/>
      </rPr>
      <t xml:space="preserve">분</t>
    </r>
  </si>
  <si>
    <t xml:space="preserve">cards.0.direct.three.why</t>
  </si>
  <si>
    <r>
      <rPr>
        <sz val="10"/>
        <rFont val="Noto Sans CJK SC"/>
        <family val="2"/>
      </rPr>
      <t xml:space="preserve">정방향 </t>
    </r>
    <r>
      <rPr>
        <sz val="10"/>
        <rFont val="Malgun Gothic"/>
        <family val="0"/>
        <charset val="1"/>
      </rPr>
      <t xml:space="preserve">· 9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일 안에 — 처방 ②의 </t>
    </r>
    <r>
      <rPr>
        <sz val="10"/>
        <rFont val="Malgun Gothic"/>
        <family val="0"/>
        <charset val="1"/>
      </rPr>
      <t xml:space="preserve">10~20</t>
    </r>
    <r>
      <rPr>
        <sz val="10"/>
        <rFont val="Noto Sans CJK SC"/>
        <family val="2"/>
      </rPr>
      <t xml:space="preserve">분판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이유</t>
    </r>
  </si>
  <si>
    <r>
      <rPr>
        <sz val="10"/>
        <rFont val="Noto Sans CJK SC"/>
        <family val="2"/>
      </rPr>
      <t xml:space="preserve">생각만 앞서가는 습관은 첫발이 밀릴 때 커지니</t>
    </r>
    <r>
      <rPr>
        <sz val="10"/>
        <rFont val="Malgun Gothic"/>
        <family val="0"/>
        <charset val="1"/>
      </rPr>
      <t xml:space="preserve">, 10</t>
    </r>
    <r>
      <rPr>
        <sz val="10"/>
        <rFont val="Noto Sans CJK SC"/>
        <family val="2"/>
      </rPr>
      <t xml:space="preserve">분 안에 실제로 움직여 보면 밀리는 흐름이 멈춰요</t>
    </r>
    <r>
      <rPr>
        <sz val="10"/>
        <rFont val="Malgun Gothic"/>
        <family val="0"/>
        <charset val="1"/>
      </rPr>
      <t xml:space="preserve">.</t>
    </r>
  </si>
  <si>
    <t xml:space="preserve">cards.0.reversed.direct.slow_short</t>
  </si>
  <si>
    <r>
      <rPr>
        <sz val="10"/>
        <rFont val="Noto Sans CJK SC"/>
        <family val="2"/>
      </rPr>
      <t xml:space="preserve">역방향 </t>
    </r>
    <r>
      <rPr>
        <sz val="10"/>
        <rFont val="Malgun Gothic"/>
        <family val="0"/>
        <charset val="1"/>
      </rPr>
      <t xml:space="preserve">· 8</t>
    </r>
    <r>
      <rPr>
        <sz val="10"/>
        <rFont val="Noto Sans CJK SC"/>
        <family val="2"/>
      </rPr>
      <t xml:space="preserve">쪽 굵은 줄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속도를 늦추는 ‘…’를 풀려면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에 들어갈 명사구</t>
    </r>
  </si>
  <si>
    <t xml:space="preserve">준비를 더 하려는 마음</t>
  </si>
  <si>
    <t xml:space="preserve">cards.0.reversed.direct.key_rx.title</t>
  </si>
  <si>
    <r>
      <rPr>
        <sz val="10"/>
        <rFont val="Noto Sans CJK SC"/>
        <family val="2"/>
      </rPr>
      <t xml:space="preserve">역방향 </t>
    </r>
    <r>
      <rPr>
        <sz val="10"/>
        <rFont val="Malgun Gothic"/>
        <family val="0"/>
        <charset val="1"/>
      </rPr>
      <t xml:space="preserve">· 8</t>
    </r>
    <r>
      <rPr>
        <sz val="10"/>
        <rFont val="Noto Sans CJK SC"/>
        <family val="2"/>
      </rPr>
      <t xml:space="preserve">쪽 처방 ① 앞으로의 열쇠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세 번째 카드일 때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제목</t>
    </r>
  </si>
  <si>
    <t xml:space="preserve">작게 시작하는 일 정하기</t>
  </si>
  <si>
    <t xml:space="preserve">cards.0.reversed.direct.key_rx.how</t>
  </si>
  <si>
    <r>
      <rPr>
        <sz val="10"/>
        <rFont val="Noto Sans CJK SC"/>
        <family val="2"/>
      </rPr>
      <t xml:space="preserve">역방향 </t>
    </r>
    <r>
      <rPr>
        <sz val="10"/>
        <rFont val="Malgun Gothic"/>
        <family val="0"/>
        <charset val="1"/>
      </rPr>
      <t xml:space="preserve">· 8</t>
    </r>
    <r>
      <rPr>
        <sz val="10"/>
        <rFont val="Noto Sans CJK SC"/>
        <family val="2"/>
      </rPr>
      <t xml:space="preserve">쪽 처방 ① 앞으로의 열쇠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세 번째 카드일 때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방법</t>
    </r>
  </si>
  <si>
    <r>
      <rPr>
        <sz val="10"/>
        <rFont val="Noto Sans CJK SC"/>
        <family val="2"/>
      </rPr>
      <t xml:space="preserve">미뤄 둔 일을 가장 작은 단위로 쪼개 노트에 적고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서툴러도 되는 첫 단계 하나만 이번 주 일정에 넣어요</t>
    </r>
    <r>
      <rPr>
        <sz val="10"/>
        <rFont val="Malgun Gothic"/>
        <family val="0"/>
        <charset val="1"/>
      </rPr>
      <t xml:space="preserve">.</t>
    </r>
  </si>
  <si>
    <t xml:space="preserve">cards.0.reversed.direct.key_rx.why</t>
  </si>
  <si>
    <r>
      <rPr>
        <sz val="10"/>
        <rFont val="Noto Sans CJK SC"/>
        <family val="2"/>
      </rPr>
      <t xml:space="preserve">역방향 </t>
    </r>
    <r>
      <rPr>
        <sz val="10"/>
        <rFont val="Malgun Gothic"/>
        <family val="0"/>
        <charset val="1"/>
      </rPr>
      <t xml:space="preserve">· 8</t>
    </r>
    <r>
      <rPr>
        <sz val="10"/>
        <rFont val="Noto Sans CJK SC"/>
        <family val="2"/>
      </rPr>
      <t xml:space="preserve">쪽 처방 ① 앞으로의 열쇠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세 번째 카드일 때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이유</t>
    </r>
  </si>
  <si>
    <r>
      <rPr>
        <sz val="10"/>
        <rFont val="Noto Sans CJK SC"/>
        <family val="2"/>
      </rPr>
      <t xml:space="preserve">잘 해내는 것보다 작게라도 시작하는 데 마음을 두면 기준이 낮아져서 시작이 덜 무서워집니다</t>
    </r>
    <r>
      <rPr>
        <sz val="10"/>
        <rFont val="Malgun Gothic"/>
        <family val="0"/>
        <charset val="1"/>
      </rPr>
      <t xml:space="preserve">.</t>
    </r>
  </si>
  <si>
    <t xml:space="preserve">cards.0.reversed.direct.today.title</t>
  </si>
  <si>
    <r>
      <rPr>
        <sz val="10"/>
        <rFont val="Noto Sans CJK SC"/>
        <family val="2"/>
      </rPr>
      <t xml:space="preserve">역방향 </t>
    </r>
    <r>
      <rPr>
        <sz val="10"/>
        <rFont val="Malgun Gothic"/>
        <family val="0"/>
        <charset val="1"/>
      </rPr>
      <t xml:space="preserve">· 9</t>
    </r>
    <r>
      <rPr>
        <sz val="10"/>
        <rFont val="Noto Sans CJK SC"/>
        <family val="2"/>
      </rPr>
      <t xml:space="preserve">쪽 오늘 — 처방 ①의 </t>
    </r>
    <r>
      <rPr>
        <sz val="10"/>
        <rFont val="Malgun Gothic"/>
        <family val="0"/>
        <charset val="1"/>
      </rPr>
      <t xml:space="preserve">1~5</t>
    </r>
    <r>
      <rPr>
        <sz val="10"/>
        <rFont val="Noto Sans CJK SC"/>
        <family val="2"/>
      </rPr>
      <t xml:space="preserve">분판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제목</t>
    </r>
  </si>
  <si>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분짜리 첫 단계 하기</t>
    </r>
  </si>
  <si>
    <t xml:space="preserve">cards.0.reversed.direct.today.how</t>
  </si>
  <si>
    <r>
      <rPr>
        <sz val="10"/>
        <rFont val="Noto Sans CJK SC"/>
        <family val="2"/>
      </rPr>
      <t xml:space="preserve">역방향 </t>
    </r>
    <r>
      <rPr>
        <sz val="10"/>
        <rFont val="Malgun Gothic"/>
        <family val="0"/>
        <charset val="1"/>
      </rPr>
      <t xml:space="preserve">· 9</t>
    </r>
    <r>
      <rPr>
        <sz val="10"/>
        <rFont val="Noto Sans CJK SC"/>
        <family val="2"/>
      </rPr>
      <t xml:space="preserve">쪽 오늘 — 처방 ①의 </t>
    </r>
    <r>
      <rPr>
        <sz val="10"/>
        <rFont val="Malgun Gothic"/>
        <family val="0"/>
        <charset val="1"/>
      </rPr>
      <t xml:space="preserve">1~5</t>
    </r>
    <r>
      <rPr>
        <sz val="10"/>
        <rFont val="Noto Sans CJK SC"/>
        <family val="2"/>
      </rPr>
      <t xml:space="preserve">분판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방법</t>
    </r>
  </si>
  <si>
    <r>
      <rPr>
        <sz val="10"/>
        <rFont val="Noto Sans CJK SC"/>
        <family val="2"/>
      </rPr>
      <t xml:space="preserve">미뤄 둔 일의 첫 단계를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분 안에 끝낼 수 있는 크기로 줄여서 지금 해 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서툴러도 괜찮아요</t>
    </r>
    <r>
      <rPr>
        <sz val="10"/>
        <rFont val="Malgun Gothic"/>
        <family val="0"/>
        <charset val="1"/>
      </rPr>
      <t xml:space="preserve">.</t>
    </r>
  </si>
  <si>
    <t xml:space="preserve">cards.0.reversed.direct.today.time</t>
  </si>
  <si>
    <r>
      <rPr>
        <sz val="10"/>
        <rFont val="Noto Sans CJK SC"/>
        <family val="2"/>
      </rPr>
      <t xml:space="preserve">역방향 </t>
    </r>
    <r>
      <rPr>
        <sz val="10"/>
        <rFont val="Malgun Gothic"/>
        <family val="0"/>
        <charset val="1"/>
      </rPr>
      <t xml:space="preserve">· 9</t>
    </r>
    <r>
      <rPr>
        <sz val="10"/>
        <rFont val="Noto Sans CJK SC"/>
        <family val="2"/>
      </rPr>
      <t xml:space="preserve">쪽 오늘 — 처방 ①의 </t>
    </r>
    <r>
      <rPr>
        <sz val="10"/>
        <rFont val="Malgun Gothic"/>
        <family val="0"/>
        <charset val="1"/>
      </rPr>
      <t xml:space="preserve">1~5</t>
    </r>
    <r>
      <rPr>
        <sz val="10"/>
        <rFont val="Noto Sans CJK SC"/>
        <family val="2"/>
      </rPr>
      <t xml:space="preserve">분판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시간</t>
    </r>
  </si>
  <si>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분</t>
    </r>
  </si>
  <si>
    <t xml:space="preserve">cards.0.reversed.direct.today.why</t>
  </si>
  <si>
    <r>
      <rPr>
        <sz val="10"/>
        <rFont val="Noto Sans CJK SC"/>
        <family val="2"/>
      </rPr>
      <t xml:space="preserve">역방향 </t>
    </r>
    <r>
      <rPr>
        <sz val="10"/>
        <rFont val="Malgun Gothic"/>
        <family val="0"/>
        <charset val="1"/>
      </rPr>
      <t xml:space="preserve">· 9</t>
    </r>
    <r>
      <rPr>
        <sz val="10"/>
        <rFont val="Noto Sans CJK SC"/>
        <family val="2"/>
      </rPr>
      <t xml:space="preserve">쪽 오늘 — 처방 ①의 </t>
    </r>
    <r>
      <rPr>
        <sz val="10"/>
        <rFont val="Malgun Gothic"/>
        <family val="0"/>
        <charset val="1"/>
      </rPr>
      <t xml:space="preserve">1~5</t>
    </r>
    <r>
      <rPr>
        <sz val="10"/>
        <rFont val="Noto Sans CJK SC"/>
        <family val="2"/>
      </rPr>
      <t xml:space="preserve">분판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이유</t>
    </r>
  </si>
  <si>
    <r>
      <rPr>
        <sz val="10"/>
        <rFont val="Noto Sans CJK SC"/>
        <family val="2"/>
      </rPr>
      <t xml:space="preserve">작게라도 시작하는 데 마음을 두면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분짜리 시작도 충분해서 미뤄 둔 마음이 움직여요</t>
    </r>
    <r>
      <rPr>
        <sz val="10"/>
        <rFont val="Malgun Gothic"/>
        <family val="0"/>
        <charset val="1"/>
      </rPr>
      <t xml:space="preserve">.</t>
    </r>
  </si>
  <si>
    <t xml:space="preserve">cards.0.reversed.direct.week.title</t>
  </si>
  <si>
    <r>
      <rPr>
        <sz val="10"/>
        <rFont val="Noto Sans CJK SC"/>
        <family val="2"/>
      </rPr>
      <t xml:space="preserve">역방향 </t>
    </r>
    <r>
      <rPr>
        <sz val="10"/>
        <rFont val="Malgun Gothic"/>
        <family val="0"/>
        <charset val="1"/>
      </rPr>
      <t xml:space="preserve">· 9</t>
    </r>
    <r>
      <rPr>
        <sz val="10"/>
        <rFont val="Noto Sans CJK SC"/>
        <family val="2"/>
      </rPr>
      <t xml:space="preserve">쪽 이번 주 — 처방 ①을 되풀이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제목</t>
    </r>
  </si>
  <si>
    <t xml:space="preserve">하루 한 번 서툰 시작</t>
  </si>
  <si>
    <t xml:space="preserve">cards.0.reversed.direct.week.how</t>
  </si>
  <si>
    <r>
      <rPr>
        <sz val="10"/>
        <rFont val="Noto Sans CJK SC"/>
        <family val="2"/>
      </rPr>
      <t xml:space="preserve">역방향 </t>
    </r>
    <r>
      <rPr>
        <sz val="10"/>
        <rFont val="Malgun Gothic"/>
        <family val="0"/>
        <charset val="1"/>
      </rPr>
      <t xml:space="preserve">· 9</t>
    </r>
    <r>
      <rPr>
        <sz val="10"/>
        <rFont val="Noto Sans CJK SC"/>
        <family val="2"/>
      </rPr>
      <t xml:space="preserve">쪽 이번 주 — 처방 ①을 되풀이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방법</t>
    </r>
  </si>
  <si>
    <r>
      <rPr>
        <sz val="10"/>
        <rFont val="Noto Sans CJK SC"/>
        <family val="2"/>
      </rPr>
      <t xml:space="preserve">이번 주 매일 미뤄 둔 일의 작은 단계를 하나씩 해 보고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서툴렀던 점은 평가하지 말고 해 봤다는 것만 체크합니다</t>
    </r>
    <r>
      <rPr>
        <sz val="10"/>
        <rFont val="Malgun Gothic"/>
        <family val="0"/>
        <charset val="1"/>
      </rPr>
      <t xml:space="preserve">.</t>
    </r>
  </si>
  <si>
    <t xml:space="preserve">cards.0.reversed.direct.week.time</t>
  </si>
  <si>
    <r>
      <rPr>
        <sz val="10"/>
        <rFont val="Noto Sans CJK SC"/>
        <family val="2"/>
      </rPr>
      <t xml:space="preserve">역방향 </t>
    </r>
    <r>
      <rPr>
        <sz val="10"/>
        <rFont val="Malgun Gothic"/>
        <family val="0"/>
        <charset val="1"/>
      </rPr>
      <t xml:space="preserve">· 9</t>
    </r>
    <r>
      <rPr>
        <sz val="10"/>
        <rFont val="Noto Sans CJK SC"/>
        <family val="2"/>
      </rPr>
      <t xml:space="preserve">쪽 이번 주 — 처방 ①을 되풀이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시간</t>
    </r>
  </si>
  <si>
    <t xml:space="preserve">cards.0.reversed.direct.week.why</t>
  </si>
  <si>
    <r>
      <rPr>
        <sz val="10"/>
        <rFont val="Noto Sans CJK SC"/>
        <family val="2"/>
      </rPr>
      <t xml:space="preserve">역방향 </t>
    </r>
    <r>
      <rPr>
        <sz val="10"/>
        <rFont val="Malgun Gothic"/>
        <family val="0"/>
        <charset val="1"/>
      </rPr>
      <t xml:space="preserve">· 9</t>
    </r>
    <r>
      <rPr>
        <sz val="10"/>
        <rFont val="Noto Sans CJK SC"/>
        <family val="2"/>
      </rPr>
      <t xml:space="preserve">쪽 이번 주 — 처방 ①을 되풀이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이유</t>
    </r>
  </si>
  <si>
    <r>
      <rPr>
        <sz val="10"/>
        <rFont val="Noto Sans CJK SC"/>
        <family val="2"/>
      </rPr>
      <t xml:space="preserve">작게 시작하는 일을 되풀이하면 기준이 계속 낮게 유지되어 시작이 덜 무서워져요</t>
    </r>
    <r>
      <rPr>
        <sz val="10"/>
        <rFont val="Malgun Gothic"/>
        <family val="0"/>
        <charset val="1"/>
      </rPr>
      <t xml:space="preserve">.</t>
    </r>
  </si>
  <si>
    <t xml:space="preserve">cards.0.reversed.direct.slow_rx.title</t>
  </si>
  <si>
    <r>
      <rPr>
        <sz val="10"/>
        <rFont val="Noto Sans CJK SC"/>
        <family val="2"/>
      </rPr>
      <t xml:space="preserve">역방향 </t>
    </r>
    <r>
      <rPr>
        <sz val="10"/>
        <rFont val="Malgun Gothic"/>
        <family val="0"/>
        <charset val="1"/>
      </rPr>
      <t xml:space="preserve">· 8</t>
    </r>
    <r>
      <rPr>
        <sz val="10"/>
        <rFont val="Noto Sans CJK SC"/>
        <family val="2"/>
      </rPr>
      <t xml:space="preserve">쪽 처방 ② 속도를 늦추는 것 풀기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두 번째 카드일 때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제목</t>
    </r>
  </si>
  <si>
    <t xml:space="preserve">준비 목록 세 개로 줄이기</t>
  </si>
  <si>
    <t xml:space="preserve">cards.0.reversed.direct.slow_rx.how</t>
  </si>
  <si>
    <r>
      <rPr>
        <sz val="10"/>
        <rFont val="Noto Sans CJK SC"/>
        <family val="2"/>
      </rPr>
      <t xml:space="preserve">역방향 </t>
    </r>
    <r>
      <rPr>
        <sz val="10"/>
        <rFont val="Malgun Gothic"/>
        <family val="0"/>
        <charset val="1"/>
      </rPr>
      <t xml:space="preserve">· 8</t>
    </r>
    <r>
      <rPr>
        <sz val="10"/>
        <rFont val="Noto Sans CJK SC"/>
        <family val="2"/>
      </rPr>
      <t xml:space="preserve">쪽 처방 ② 속도를 늦추는 것 풀기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두 번째 카드일 때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방법</t>
    </r>
  </si>
  <si>
    <r>
      <rPr>
        <sz val="10"/>
        <rFont val="Noto Sans CJK SC"/>
        <family val="2"/>
      </rPr>
      <t xml:space="preserve">시작 전에 필요하다고 생각한 준비를 모두 적고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정말 꼭 필요한 것 세 개만 남기고 나머지는 지워요</t>
    </r>
    <r>
      <rPr>
        <sz val="10"/>
        <rFont val="Malgun Gothic"/>
        <family val="0"/>
        <charset val="1"/>
      </rPr>
      <t xml:space="preserve">.</t>
    </r>
  </si>
  <si>
    <t xml:space="preserve">cards.0.reversed.direct.slow_rx.why</t>
  </si>
  <si>
    <r>
      <rPr>
        <sz val="10"/>
        <rFont val="Noto Sans CJK SC"/>
        <family val="2"/>
      </rPr>
      <t xml:space="preserve">역방향 </t>
    </r>
    <r>
      <rPr>
        <sz val="10"/>
        <rFont val="Malgun Gothic"/>
        <family val="0"/>
        <charset val="1"/>
      </rPr>
      <t xml:space="preserve">· 8</t>
    </r>
    <r>
      <rPr>
        <sz val="10"/>
        <rFont val="Noto Sans CJK SC"/>
        <family val="2"/>
      </rPr>
      <t xml:space="preserve">쪽 처방 ② 속도를 늦추는 것 풀기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두 번째 카드일 때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이유</t>
    </r>
  </si>
  <si>
    <r>
      <rPr>
        <sz val="10"/>
        <rFont val="Noto Sans CJK SC"/>
        <family val="2"/>
      </rPr>
      <t xml:space="preserve">준비를 더 하려는 마음은 이유를 쌓으니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필요한 준비를 줄이면 기회가 와도 지나치지 않습니다</t>
    </r>
    <r>
      <rPr>
        <sz val="10"/>
        <rFont val="Malgun Gothic"/>
        <family val="0"/>
        <charset val="1"/>
      </rPr>
      <t xml:space="preserve">.</t>
    </r>
  </si>
  <si>
    <t xml:space="preserve">cards.0.reversed.direct.three.title</t>
  </si>
  <si>
    <r>
      <rPr>
        <sz val="10"/>
        <rFont val="Noto Sans CJK SC"/>
        <family val="2"/>
      </rPr>
      <t xml:space="preserve">역방향 </t>
    </r>
    <r>
      <rPr>
        <sz val="10"/>
        <rFont val="Malgun Gothic"/>
        <family val="0"/>
        <charset val="1"/>
      </rPr>
      <t xml:space="preserve">· 9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일 안에 — 처방 ②의 </t>
    </r>
    <r>
      <rPr>
        <sz val="10"/>
        <rFont val="Malgun Gothic"/>
        <family val="0"/>
        <charset val="1"/>
      </rPr>
      <t xml:space="preserve">10~20</t>
    </r>
    <r>
      <rPr>
        <sz val="10"/>
        <rFont val="Noto Sans CJK SC"/>
        <family val="2"/>
      </rPr>
      <t xml:space="preserve">분판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제목</t>
    </r>
  </si>
  <si>
    <t xml:space="preserve">준비 끝내고 시작하기</t>
  </si>
  <si>
    <t xml:space="preserve">cards.0.reversed.direct.three.how</t>
  </si>
  <si>
    <r>
      <rPr>
        <sz val="10"/>
        <rFont val="Noto Sans CJK SC"/>
        <family val="2"/>
      </rPr>
      <t xml:space="preserve">역방향 </t>
    </r>
    <r>
      <rPr>
        <sz val="10"/>
        <rFont val="Malgun Gothic"/>
        <family val="0"/>
        <charset val="1"/>
      </rPr>
      <t xml:space="preserve">· 9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일 안에 — 처방 ②의 </t>
    </r>
    <r>
      <rPr>
        <sz val="10"/>
        <rFont val="Malgun Gothic"/>
        <family val="0"/>
        <charset val="1"/>
      </rPr>
      <t xml:space="preserve">10~20</t>
    </r>
    <r>
      <rPr>
        <sz val="10"/>
        <rFont val="Noto Sans CJK SC"/>
        <family val="2"/>
      </rPr>
      <t xml:space="preserve">분판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방법</t>
    </r>
  </si>
  <si>
    <r>
      <rPr>
        <sz val="10"/>
        <rFont val="Noto Sans CJK SC"/>
        <family val="2"/>
      </rPr>
      <t xml:space="preserve">남긴 준비 세 개를 </t>
    </r>
    <r>
      <rPr>
        <sz val="10"/>
        <rFont val="Malgun Gothic"/>
        <family val="0"/>
        <charset val="1"/>
      </rPr>
      <t xml:space="preserve">15</t>
    </r>
    <r>
      <rPr>
        <sz val="10"/>
        <rFont val="Noto Sans CJK SC"/>
        <family val="2"/>
      </rPr>
      <t xml:space="preserve">분 안에 마치고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바로 이어서 미뤄 둔 일의 첫 단계를 시작해 봅니다</t>
    </r>
    <r>
      <rPr>
        <sz val="10"/>
        <rFont val="Malgun Gothic"/>
        <family val="0"/>
        <charset val="1"/>
      </rPr>
      <t xml:space="preserve">.</t>
    </r>
  </si>
  <si>
    <t xml:space="preserve">cards.0.reversed.direct.three.time</t>
  </si>
  <si>
    <r>
      <rPr>
        <sz val="10"/>
        <rFont val="Noto Sans CJK SC"/>
        <family val="2"/>
      </rPr>
      <t xml:space="preserve">역방향 </t>
    </r>
    <r>
      <rPr>
        <sz val="10"/>
        <rFont val="Malgun Gothic"/>
        <family val="0"/>
        <charset val="1"/>
      </rPr>
      <t xml:space="preserve">· 9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일 안에 — 처방 ②의 </t>
    </r>
    <r>
      <rPr>
        <sz val="10"/>
        <rFont val="Malgun Gothic"/>
        <family val="0"/>
        <charset val="1"/>
      </rPr>
      <t xml:space="preserve">10~20</t>
    </r>
    <r>
      <rPr>
        <sz val="10"/>
        <rFont val="Noto Sans CJK SC"/>
        <family val="2"/>
      </rPr>
      <t xml:space="preserve">분판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시간</t>
    </r>
  </si>
  <si>
    <r>
      <rPr>
        <sz val="10"/>
        <rFont val="Malgun Gothic"/>
        <family val="0"/>
        <charset val="1"/>
      </rPr>
      <t xml:space="preserve">15</t>
    </r>
    <r>
      <rPr>
        <sz val="10"/>
        <rFont val="Noto Sans CJK SC"/>
        <family val="2"/>
      </rPr>
      <t xml:space="preserve">분</t>
    </r>
  </si>
  <si>
    <t xml:space="preserve">cards.0.reversed.direct.three.why</t>
  </si>
  <si>
    <r>
      <rPr>
        <sz val="10"/>
        <rFont val="Noto Sans CJK SC"/>
        <family val="2"/>
      </rPr>
      <t xml:space="preserve">역방향 </t>
    </r>
    <r>
      <rPr>
        <sz val="10"/>
        <rFont val="Malgun Gothic"/>
        <family val="0"/>
        <charset val="1"/>
      </rPr>
      <t xml:space="preserve">· 9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일 안에 — 처방 ②의 </t>
    </r>
    <r>
      <rPr>
        <sz val="10"/>
        <rFont val="Malgun Gothic"/>
        <family val="0"/>
        <charset val="1"/>
      </rPr>
      <t xml:space="preserve">10~20</t>
    </r>
    <r>
      <rPr>
        <sz val="10"/>
        <rFont val="Noto Sans CJK SC"/>
        <family val="2"/>
      </rPr>
      <t xml:space="preserve">분판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이유</t>
    </r>
  </si>
  <si>
    <r>
      <rPr>
        <sz val="10"/>
        <rFont val="Noto Sans CJK SC"/>
        <family val="2"/>
      </rPr>
      <t xml:space="preserve">준비가 덜 됐다는 이유가 쌓이기 전에 준비에 시간 제한을 두면 기회를 그냥 지나치지 않게 돼요</t>
    </r>
    <r>
      <rPr>
        <sz val="10"/>
        <rFont val="Malgun Gothic"/>
        <family val="0"/>
        <charset val="1"/>
      </rPr>
      <t xml:space="preserve">.</t>
    </r>
  </si>
  <si>
    <t xml:space="preserve">cards.1.direct.slow_short</t>
  </si>
  <si>
    <t xml:space="preserve">없는 것에 먼저 눈이 가는 습관</t>
  </si>
  <si>
    <t xml:space="preserve">cards.1.direct.key_rx.title</t>
  </si>
  <si>
    <t xml:space="preserve">내가 가진 것 목록 쓰기</t>
  </si>
  <si>
    <t xml:space="preserve">cards.1.direct.key_rx.how</t>
  </si>
  <si>
    <r>
      <rPr>
        <sz val="10"/>
        <rFont val="Noto Sans CJK SC"/>
        <family val="2"/>
      </rPr>
      <t xml:space="preserve">노트에 내가 쓸 수 있는 시간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아는 사람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해 본 경험을 칸으로 나눠 적어요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많지 않아도 보이는 대로 적습니다</t>
    </r>
    <r>
      <rPr>
        <sz val="10"/>
        <rFont val="Malgun Gothic"/>
        <family val="0"/>
        <charset val="1"/>
      </rPr>
      <t xml:space="preserve">.</t>
    </r>
  </si>
  <si>
    <t xml:space="preserve">cards.1.direct.key_rx.why</t>
  </si>
  <si>
    <r>
      <rPr>
        <sz val="10"/>
        <rFont val="Noto Sans CJK SC"/>
        <family val="2"/>
      </rPr>
      <t xml:space="preserve">이미 가진 자원을 알아보는 데 마음을 두면 내 손에 있는 시간과 사람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경험이 보여 시작이 수월해집니다</t>
    </r>
    <r>
      <rPr>
        <sz val="10"/>
        <rFont val="Malgun Gothic"/>
        <family val="0"/>
        <charset val="1"/>
      </rPr>
      <t xml:space="preserve">.</t>
    </r>
  </si>
  <si>
    <t xml:space="preserve">cards.1.direct.today.title</t>
  </si>
  <si>
    <t xml:space="preserve">가진 것 세 가지 적기</t>
  </si>
  <si>
    <t xml:space="preserve">cards.1.direct.today.how</t>
  </si>
  <si>
    <r>
      <rPr>
        <sz val="10"/>
        <rFont val="Noto Sans CJK SC"/>
        <family val="2"/>
      </rPr>
      <t xml:space="preserve">지금 내 손에 있는 시간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사람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경험을 하나씩 골라 메모장에 한 줄씩 적어요</t>
    </r>
    <r>
      <rPr>
        <sz val="10"/>
        <rFont val="Malgun Gothic"/>
        <family val="0"/>
        <charset val="1"/>
      </rPr>
      <t xml:space="preserve">.</t>
    </r>
  </si>
  <si>
    <t xml:space="preserve">cards.1.direct.today.time</t>
  </si>
  <si>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분</t>
    </r>
  </si>
  <si>
    <t xml:space="preserve">cards.1.direct.today.why</t>
  </si>
  <si>
    <r>
      <rPr>
        <sz val="10"/>
        <rFont val="Noto Sans CJK SC"/>
        <family val="2"/>
      </rPr>
      <t xml:space="preserve">가진 자원을 알아보는 데 마음을 두는 첫걸음으로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오늘 가진 것을 눈에 보이게 합니다</t>
    </r>
    <r>
      <rPr>
        <sz val="10"/>
        <rFont val="Malgun Gothic"/>
        <family val="0"/>
        <charset val="1"/>
      </rPr>
      <t xml:space="preserve">.</t>
    </r>
  </si>
  <si>
    <t xml:space="preserve">cards.1.direct.week.title</t>
  </si>
  <si>
    <t xml:space="preserve">하루 하나씩 가진 것 더하기</t>
  </si>
  <si>
    <t xml:space="preserve">cards.1.direct.week.how</t>
  </si>
  <si>
    <r>
      <rPr>
        <sz val="10"/>
        <rFont val="Noto Sans CJK SC"/>
        <family val="2"/>
      </rPr>
      <t xml:space="preserve">이번 주 매일 목록에 내가 가진 것을 하나씩 더 적고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주말에 그중 하나를 골라 실제로 써 봐요</t>
    </r>
    <r>
      <rPr>
        <sz val="10"/>
        <rFont val="Malgun Gothic"/>
        <family val="0"/>
        <charset val="1"/>
      </rPr>
      <t xml:space="preserve">.</t>
    </r>
  </si>
  <si>
    <t xml:space="preserve">cards.1.direct.week.time</t>
  </si>
  <si>
    <t xml:space="preserve">cards.1.direct.week.why</t>
  </si>
  <si>
    <r>
      <rPr>
        <sz val="10"/>
        <rFont val="Noto Sans CJK SC"/>
        <family val="2"/>
      </rPr>
      <t xml:space="preserve">가진 자원을 날마다 알아보면 내 손에 있는 것이 늘어 보여서 시작이 수월해집니다</t>
    </r>
    <r>
      <rPr>
        <sz val="10"/>
        <rFont val="Malgun Gothic"/>
        <family val="0"/>
        <charset val="1"/>
      </rPr>
      <t xml:space="preserve">.</t>
    </r>
  </si>
  <si>
    <t xml:space="preserve">cards.1.direct.slow_rx.title</t>
  </si>
  <si>
    <t xml:space="preserve">없는 것 옆에 있는 것 적기</t>
  </si>
  <si>
    <t xml:space="preserve">cards.1.direct.slow_rx.how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</si>
  <si>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없는 것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을 노트 왼쪽에 적고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오른쪽에는 그 일에 대신 쓸 수 있는 내가 가진 것을 하나씩 짝지어 적어요</t>
    </r>
    <r>
      <rPr>
        <sz val="10"/>
        <rFont val="Malgun Gothic"/>
        <family val="0"/>
        <charset val="1"/>
      </rPr>
      <t xml:space="preserve">.</t>
    </r>
  </si>
  <si>
    <t xml:space="preserve">cards.1.direct.slow_rx.why</t>
  </si>
  <si>
    <r>
      <rPr>
        <sz val="10"/>
        <rFont val="Noto Sans CJK SC"/>
        <family val="2"/>
      </rPr>
      <t xml:space="preserve">없는 것에 먼저 눈이 가면 내 안의 힘이 쓰이지 못하니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없는 것마다 쓸 수 있는 것을 짝지어 봅니다</t>
    </r>
    <r>
      <rPr>
        <sz val="10"/>
        <rFont val="Malgun Gothic"/>
        <family val="0"/>
        <charset val="1"/>
      </rPr>
      <t xml:space="preserve">.</t>
    </r>
  </si>
  <si>
    <t xml:space="preserve">cards.1.direct.three.title</t>
  </si>
  <si>
    <t xml:space="preserve">없는 것과 있는 것 짝짓기</t>
  </si>
  <si>
    <t xml:space="preserve">cards.1.direct.three.how</t>
  </si>
  <si>
    <r>
      <rPr>
        <sz val="10"/>
        <rFont val="Noto Sans CJK SC"/>
        <family val="2"/>
      </rPr>
      <t xml:space="preserve">고민되는 일에서 없다고 느낀 것을 다섯 가지 적고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각각 대신 쓸 수 있는 내 것을 하나씩 짝지어 적어요</t>
    </r>
    <r>
      <rPr>
        <sz val="10"/>
        <rFont val="Malgun Gothic"/>
        <family val="0"/>
        <charset val="1"/>
      </rPr>
      <t xml:space="preserve">.</t>
    </r>
  </si>
  <si>
    <t xml:space="preserve">cards.1.direct.three.time</t>
  </si>
  <si>
    <t xml:space="preserve">cards.1.direct.three.why</t>
  </si>
  <si>
    <r>
      <rPr>
        <sz val="10"/>
        <rFont val="Noto Sans CJK SC"/>
        <family val="2"/>
      </rPr>
      <t xml:space="preserve">없는 것에 먼저 눈이 가는 습관은 짝지어 적을 때 풀리고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가진 힘이 실제로 쓰일 자리가 보입니다</t>
    </r>
    <r>
      <rPr>
        <sz val="10"/>
        <rFont val="Malgun Gothic"/>
        <family val="0"/>
        <charset val="1"/>
      </rPr>
      <t xml:space="preserve">.</t>
    </r>
  </si>
  <si>
    <t xml:space="preserve">cards.1.reversed.direct.slow_short</t>
  </si>
  <si>
    <t xml:space="preserve">할 일을 한꺼번에 붙잡는 상태</t>
  </si>
  <si>
    <t xml:space="preserve">cards.1.reversed.direct.key_rx.title</t>
  </si>
  <si>
    <t xml:space="preserve">꼭 필요한 한 가지 고르기</t>
  </si>
  <si>
    <t xml:space="preserve">cards.1.reversed.direct.key_rx.how</t>
  </si>
  <si>
    <r>
      <rPr>
        <sz val="10"/>
        <rFont val="Noto Sans CJK SC"/>
        <family val="2"/>
      </rPr>
      <t xml:space="preserve">할 일을 모두 노트에 적고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지금 꼭 필요한 한 가지에만 동그라미를 쳐요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나머지는 다음 주 칸으로 옮깁니다</t>
    </r>
    <r>
      <rPr>
        <sz val="10"/>
        <rFont val="Malgun Gothic"/>
        <family val="0"/>
        <charset val="1"/>
      </rPr>
      <t xml:space="preserve">.</t>
    </r>
  </si>
  <si>
    <t xml:space="preserve">cards.1.reversed.direct.key_rx.why</t>
  </si>
  <si>
    <r>
      <rPr>
        <sz val="10"/>
        <rFont val="Noto Sans CJK SC"/>
        <family val="2"/>
      </rPr>
      <t xml:space="preserve">지금 꼭 필요한 한 가지를 고르는 데 마음을 두면 힘이 모여 끝까지 해냈다는 뿌듯함을 느낄 수 있어요</t>
    </r>
    <r>
      <rPr>
        <sz val="10"/>
        <rFont val="Malgun Gothic"/>
        <family val="0"/>
        <charset val="1"/>
      </rPr>
      <t xml:space="preserve">.</t>
    </r>
  </si>
  <si>
    <t xml:space="preserve">cards.1.reversed.direct.today.title</t>
  </si>
  <si>
    <t xml:space="preserve">오늘 할 일 한 가지만 고르기</t>
  </si>
  <si>
    <t xml:space="preserve">cards.1.reversed.direct.today.how</t>
  </si>
  <si>
    <r>
      <rPr>
        <sz val="10"/>
        <rFont val="Noto Sans CJK SC"/>
        <family val="2"/>
      </rPr>
      <t xml:space="preserve">오늘 할 일 중 가장 필요한 한 가지만 골라 메모장 맨 위에 적어요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다른 일은 아래로 내려 둬요</t>
    </r>
    <r>
      <rPr>
        <sz val="10"/>
        <rFont val="Malgun Gothic"/>
        <family val="0"/>
        <charset val="1"/>
      </rPr>
      <t xml:space="preserve">.</t>
    </r>
  </si>
  <si>
    <t xml:space="preserve">cards.1.reversed.direct.today.time</t>
  </si>
  <si>
    <t xml:space="preserve">cards.1.reversed.direct.today.why</t>
  </si>
  <si>
    <r>
      <rPr>
        <sz val="10"/>
        <rFont val="Noto Sans CJK SC"/>
        <family val="2"/>
      </rPr>
      <t xml:space="preserve">꼭 필요한 한 가지를 고르는 데 마음을 두면 오늘 힘을 어디에 모을지 정해집니다</t>
    </r>
    <r>
      <rPr>
        <sz val="10"/>
        <rFont val="Malgun Gothic"/>
        <family val="0"/>
        <charset val="1"/>
      </rPr>
      <t xml:space="preserve">.</t>
    </r>
  </si>
  <si>
    <t xml:space="preserve">cards.1.reversed.direct.week.title</t>
  </si>
  <si>
    <t xml:space="preserve">하루 한 가지 끝내기</t>
  </si>
  <si>
    <t xml:space="preserve">cards.1.reversed.direct.week.how</t>
  </si>
  <si>
    <r>
      <rPr>
        <sz val="10"/>
        <rFont val="Noto Sans CJK SC"/>
        <family val="2"/>
      </rPr>
      <t xml:space="preserve">이번 주 매일 아침 오늘의 한 가지를 정하고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 일을 마친 뒤에 다음 일을 시작해요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저녁에 끝낸 것을 체크합니다</t>
    </r>
    <r>
      <rPr>
        <sz val="10"/>
        <rFont val="Malgun Gothic"/>
        <family val="0"/>
        <charset val="1"/>
      </rPr>
      <t xml:space="preserve">.</t>
    </r>
  </si>
  <si>
    <t xml:space="preserve">cards.1.reversed.direct.week.time</t>
  </si>
  <si>
    <t xml:space="preserve">cards.1.reversed.direct.week.why</t>
  </si>
  <si>
    <r>
      <rPr>
        <sz val="10"/>
        <rFont val="Noto Sans CJK SC"/>
        <family val="2"/>
      </rPr>
      <t xml:space="preserve">꼭 필요한 한 가지에 힘을 모으는 날이 쌓이면 같은 노력으로도 끝까지 해내는 느낌이 커집니다</t>
    </r>
    <r>
      <rPr>
        <sz val="10"/>
        <rFont val="Malgun Gothic"/>
        <family val="0"/>
        <charset val="1"/>
      </rPr>
      <t xml:space="preserve">.</t>
    </r>
  </si>
  <si>
    <t xml:space="preserve">cards.1.reversed.direct.slow_rx.title</t>
  </si>
  <si>
    <t xml:space="preserve">붙잡은 일 내려놓기</t>
  </si>
  <si>
    <t xml:space="preserve">cards.1.reversed.direct.slow_rx.how</t>
  </si>
  <si>
    <r>
      <rPr>
        <sz val="10"/>
        <rFont val="Noto Sans CJK SC"/>
        <family val="2"/>
      </rPr>
      <t xml:space="preserve">머릿속 할 일을 모두 노트에 적어 꺼내 놓고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오늘 손대지 않을 일에 줄을 그어 잠시 내려놓아요</t>
    </r>
    <r>
      <rPr>
        <sz val="10"/>
        <rFont val="Malgun Gothic"/>
        <family val="0"/>
        <charset val="1"/>
      </rPr>
      <t xml:space="preserve">.</t>
    </r>
  </si>
  <si>
    <t xml:space="preserve">cards.1.reversed.direct.slow_rx.why</t>
  </si>
  <si>
    <r>
      <rPr>
        <sz val="10"/>
        <rFont val="Noto Sans CJK SC"/>
        <family val="2"/>
      </rPr>
      <t xml:space="preserve">할 일을 한꺼번에 붙잡으면 힘이 흩어져 마음만 조급해지니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적어서 눈앞에 꺼내 놓으면 부담이 줄어요</t>
    </r>
    <r>
      <rPr>
        <sz val="10"/>
        <rFont val="Malgun Gothic"/>
        <family val="0"/>
        <charset val="1"/>
      </rPr>
      <t xml:space="preserve">.</t>
    </r>
  </si>
  <si>
    <t xml:space="preserve">cards.1.reversed.direct.three.title</t>
  </si>
  <si>
    <t xml:space="preserve">할 일 목록 덜어 내기</t>
  </si>
  <si>
    <t xml:space="preserve">cards.1.reversed.direct.three.how</t>
  </si>
  <si>
    <r>
      <rPr>
        <sz val="10"/>
        <rFont val="Noto Sans CJK SC"/>
        <family val="2"/>
      </rPr>
      <t xml:space="preserve">적어 둔 할 일을 하나씩 보며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이번 주에 안 해도 되나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를 묻고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그렇다고 답한 일을 목록에서 지워요</t>
    </r>
    <r>
      <rPr>
        <sz val="10"/>
        <rFont val="Malgun Gothic"/>
        <family val="0"/>
        <charset val="1"/>
      </rPr>
      <t xml:space="preserve">.</t>
    </r>
  </si>
  <si>
    <t xml:space="preserve">cards.1.reversed.direct.three.time</t>
  </si>
  <si>
    <t xml:space="preserve">cards.1.reversed.direct.three.why</t>
  </si>
  <si>
    <r>
      <rPr>
        <sz val="10"/>
        <rFont val="Noto Sans CJK SC"/>
        <family val="2"/>
      </rPr>
      <t xml:space="preserve">할 일을 한꺼번에 붙잡은 상태는 덜어 낼 때 풀리고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남는 일에 힘이 모여 손에 남는 것이 생깁니다</t>
    </r>
    <r>
      <rPr>
        <sz val="10"/>
        <rFont val="Malgun Gothic"/>
        <family val="0"/>
        <charset val="1"/>
      </rPr>
      <t xml:space="preserve">.</t>
    </r>
  </si>
  <si>
    <t xml:space="preserve">cards.2.direct.slow_short</t>
  </si>
  <si>
    <t xml:space="preserve">남의 기준을 따르는 습관</t>
  </si>
  <si>
    <t xml:space="preserve">cards.2.direct.key_rx.title</t>
  </si>
  <si>
    <t xml:space="preserve">작은 느낌 적어 두기</t>
  </si>
  <si>
    <t xml:space="preserve">cards.2.direct.key_rx.how</t>
  </si>
  <si>
    <r>
      <rPr>
        <sz val="10"/>
        <rFont val="Noto Sans CJK SC"/>
        <family val="2"/>
      </rPr>
      <t xml:space="preserve">선택을 앞둔 일에 대해 떠오르는 느낌을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편하다</t>
    </r>
    <r>
      <rPr>
        <sz val="10"/>
        <rFont val="Malgun Gothic"/>
        <family val="0"/>
        <charset val="1"/>
      </rPr>
      <t xml:space="preserve">', '</t>
    </r>
    <r>
      <rPr>
        <sz val="10"/>
        <rFont val="Noto Sans CJK SC"/>
        <family val="2"/>
      </rPr>
      <t xml:space="preserve">무겁다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처럼 한두 단어로 노트에 적습니다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이유는 쓰지 않아도 돼요</t>
    </r>
    <r>
      <rPr>
        <sz val="10"/>
        <rFont val="Malgun Gothic"/>
        <family val="0"/>
        <charset val="1"/>
      </rPr>
      <t xml:space="preserve">.</t>
    </r>
  </si>
  <si>
    <t xml:space="preserve">cards.2.direct.key_rx.why</t>
  </si>
  <si>
    <r>
      <rPr>
        <sz val="10"/>
        <rFont val="Noto Sans CJK SC"/>
        <family val="2"/>
      </rPr>
      <t xml:space="preserve">내 안의 작은 느낌에 귀 기울이는 데 마음을 두면 내 감각을 믿게 되어 선택한 뒤에도 덜 흔들려요</t>
    </r>
    <r>
      <rPr>
        <sz val="10"/>
        <rFont val="Malgun Gothic"/>
        <family val="0"/>
        <charset val="1"/>
      </rPr>
      <t xml:space="preserve">.</t>
    </r>
  </si>
  <si>
    <t xml:space="preserve">cards.2.direct.today.title</t>
  </si>
  <si>
    <t xml:space="preserve">느낌 한 단어 적기</t>
  </si>
  <si>
    <t xml:space="preserve">cards.2.direct.today.how</t>
  </si>
  <si>
    <r>
      <rPr>
        <sz val="10"/>
        <rFont val="Noto Sans CJK SC"/>
        <family val="2"/>
      </rPr>
      <t xml:space="preserve">고민 중인 선택지를 하나씩 떠올리며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각각에서 드는 느낌을 한 단어로 메모장에 적어요</t>
    </r>
    <r>
      <rPr>
        <sz val="10"/>
        <rFont val="Malgun Gothic"/>
        <family val="0"/>
        <charset val="1"/>
      </rPr>
      <t xml:space="preserve">.</t>
    </r>
  </si>
  <si>
    <t xml:space="preserve">cards.2.direct.today.time</t>
  </si>
  <si>
    <t xml:space="preserve">cards.2.direct.today.why</t>
  </si>
  <si>
    <r>
      <rPr>
        <sz val="10"/>
        <rFont val="Noto Sans CJK SC"/>
        <family val="2"/>
      </rPr>
      <t xml:space="preserve">작은 느낌에 귀 기울이는 데 마음을 두면 서둘러 답을 정하지 않아도 내 감각이 먼저 보입니다</t>
    </r>
    <r>
      <rPr>
        <sz val="10"/>
        <rFont val="Malgun Gothic"/>
        <family val="0"/>
        <charset val="1"/>
      </rPr>
      <t xml:space="preserve">.</t>
    </r>
  </si>
  <si>
    <t xml:space="preserve">cards.2.direct.week.title</t>
  </si>
  <si>
    <t xml:space="preserve">저녁마다 느낌 한 줄</t>
  </si>
  <si>
    <t xml:space="preserve">cards.2.direct.week.how</t>
  </si>
  <si>
    <r>
      <rPr>
        <sz val="10"/>
        <rFont val="Noto Sans CJK SC"/>
        <family val="2"/>
      </rPr>
      <t xml:space="preserve">이번 주 매일 저녁 고민 중인 선택에 대해 오늘 든 느낌을 한 줄씩 적고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주말에 자주 나온 단어를 찾아봐요</t>
    </r>
    <r>
      <rPr>
        <sz val="10"/>
        <rFont val="Malgun Gothic"/>
        <family val="0"/>
        <charset val="1"/>
      </rPr>
      <t xml:space="preserve">.</t>
    </r>
  </si>
  <si>
    <t xml:space="preserve">cards.2.direct.week.time</t>
  </si>
  <si>
    <t xml:space="preserve">cards.2.direct.week.why</t>
  </si>
  <si>
    <r>
      <rPr>
        <sz val="10"/>
        <rFont val="Noto Sans CJK SC"/>
        <family val="2"/>
      </rPr>
      <t xml:space="preserve">느낌을 날마다 적어 두면 내 감각을 믿는 근거가 쌓여서 선택한 뒤에도 덜 흔들립니다</t>
    </r>
    <r>
      <rPr>
        <sz val="10"/>
        <rFont val="Malgun Gothic"/>
        <family val="0"/>
        <charset val="1"/>
      </rPr>
      <t xml:space="preserve">.</t>
    </r>
  </si>
  <si>
    <t xml:space="preserve">cards.2.direct.slow_rx.title</t>
  </si>
  <si>
    <t xml:space="preserve">남의 기준과 내 느낌 나눠 적기</t>
  </si>
  <si>
    <t xml:space="preserve">cards.2.direct.slow_rx.how</t>
  </si>
  <si>
    <r>
      <rPr>
        <sz val="10"/>
        <rFont val="Noto Sans CJK SC"/>
        <family val="2"/>
      </rPr>
      <t xml:space="preserve">선택 이유를 두 칸으로 나눠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왼쪽에는 남들이 말한 기준을 오른쪽에는 내가 느낀 것을 적어요</t>
    </r>
    <r>
      <rPr>
        <sz val="10"/>
        <rFont val="Malgun Gothic"/>
        <family val="0"/>
        <charset val="1"/>
      </rPr>
      <t xml:space="preserve">.</t>
    </r>
  </si>
  <si>
    <t xml:space="preserve">cards.2.direct.slow_rx.why</t>
  </si>
  <si>
    <r>
      <rPr>
        <sz val="10"/>
        <rFont val="Noto Sans CJK SC"/>
        <family val="2"/>
      </rPr>
      <t xml:space="preserve">남의 기준만 따르면 맞는 선택도 마음이 개운하지 않으니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내 느낌을 따로 적어 눈에 보이게 합니다</t>
    </r>
    <r>
      <rPr>
        <sz val="10"/>
        <rFont val="Malgun Gothic"/>
        <family val="0"/>
        <charset val="1"/>
      </rPr>
      <t xml:space="preserve">.</t>
    </r>
  </si>
  <si>
    <t xml:space="preserve">cards.2.direct.three.title</t>
  </si>
  <si>
    <t xml:space="preserve">기준 두 칸 비교하기</t>
  </si>
  <si>
    <t xml:space="preserve">cards.2.direct.three.how</t>
  </si>
  <si>
    <r>
      <rPr>
        <sz val="10"/>
        <rFont val="Noto Sans CJK SC"/>
        <family val="2"/>
      </rPr>
      <t xml:space="preserve">적어 둔 두 칸을 나란히 놓고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남의 기준과 내 느낌 중 어느 쪽에 마음이 더 가는지 표시해요</t>
    </r>
    <r>
      <rPr>
        <sz val="10"/>
        <rFont val="Malgun Gothic"/>
        <family val="0"/>
        <charset val="1"/>
      </rPr>
      <t xml:space="preserve">.</t>
    </r>
  </si>
  <si>
    <t xml:space="preserve">cards.2.direct.three.time</t>
  </si>
  <si>
    <t xml:space="preserve">cards.2.direct.three.why</t>
  </si>
  <si>
    <r>
      <rPr>
        <sz val="10"/>
        <rFont val="Noto Sans CJK SC"/>
        <family val="2"/>
      </rPr>
      <t xml:space="preserve">남의 기준을 따르는 습관은 두 칸을 비교할 때 보이고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마음이 개운한 선택이 어느 쪽인지 알 수 있습니다</t>
    </r>
    <r>
      <rPr>
        <sz val="10"/>
        <rFont val="Malgun Gothic"/>
        <family val="0"/>
        <charset val="1"/>
      </rPr>
      <t xml:space="preserve">.</t>
    </r>
  </si>
  <si>
    <t xml:space="preserve">cards.2.reversed.direct.slow_short</t>
  </si>
  <si>
    <t xml:space="preserve">선택마다 걱정부터 떠올리는 생각</t>
  </si>
  <si>
    <t xml:space="preserve">cards.2.reversed.direct.key_rx.title</t>
  </si>
  <si>
    <t xml:space="preserve">바깥 소리 줄이는 시간</t>
  </si>
  <si>
    <t xml:space="preserve">cards.2.reversed.direct.key_rx.how</t>
  </si>
  <si>
    <r>
      <rPr>
        <sz val="10"/>
        <rFont val="Noto Sans CJK SC"/>
        <family val="2"/>
      </rPr>
      <t xml:space="preserve">하루 중 </t>
    </r>
    <r>
      <rPr>
        <sz val="10"/>
        <rFont val="Malgun Gothic"/>
        <family val="0"/>
        <charset val="1"/>
      </rPr>
      <t xml:space="preserve">20</t>
    </r>
    <r>
      <rPr>
        <sz val="10"/>
        <rFont val="Noto Sans CJK SC"/>
        <family val="2"/>
      </rPr>
      <t xml:space="preserve">분은 알림을 끄고 검색도 뉴스도 보지 않아요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휴대폰을 다른 방에 두고 조용히 앉아 있습니다</t>
    </r>
    <r>
      <rPr>
        <sz val="10"/>
        <rFont val="Malgun Gothic"/>
        <family val="0"/>
        <charset val="1"/>
      </rPr>
      <t xml:space="preserve">.</t>
    </r>
  </si>
  <si>
    <t xml:space="preserve">cards.2.reversed.direct.key_rx.why</t>
  </si>
  <si>
    <r>
      <rPr>
        <sz val="10"/>
        <rFont val="Noto Sans CJK SC"/>
        <family val="2"/>
      </rPr>
      <t xml:space="preserve">정보를 더 모으기보다 바깥 소리를 줄이는 데 마음을 두면 묻혀 있던 내 느낌이 다시 또렷해집니다</t>
    </r>
    <r>
      <rPr>
        <sz val="10"/>
        <rFont val="Malgun Gothic"/>
        <family val="0"/>
        <charset val="1"/>
      </rPr>
      <t xml:space="preserve">.</t>
    </r>
  </si>
  <si>
    <t xml:space="preserve">cards.2.reversed.direct.today.title</t>
  </si>
  <si>
    <r>
      <rPr>
        <sz val="10"/>
        <rFont val="Noto Sans CJK SC"/>
        <family val="2"/>
      </rPr>
      <t xml:space="preserve">알림 끄고 </t>
    </r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분 앉기</t>
    </r>
  </si>
  <si>
    <t xml:space="preserve">cards.2.reversed.direct.today.how</t>
  </si>
  <si>
    <r>
      <rPr>
        <sz val="10"/>
        <rFont val="Noto Sans CJK SC"/>
        <family val="2"/>
      </rPr>
      <t xml:space="preserve">휴대폰 알림을 끄고 </t>
    </r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분 동안 아무것도 보지 않은 채 조용히 앉아 있습니다</t>
    </r>
    <r>
      <rPr>
        <sz val="10"/>
        <rFont val="Malgun Gothic"/>
        <family val="0"/>
        <charset val="1"/>
      </rPr>
      <t xml:space="preserve">.</t>
    </r>
  </si>
  <si>
    <t xml:space="preserve">cards.2.reversed.direct.today.time</t>
  </si>
  <si>
    <t xml:space="preserve">cards.2.reversed.direct.today.why</t>
  </si>
  <si>
    <r>
      <rPr>
        <sz val="10"/>
        <rFont val="Noto Sans CJK SC"/>
        <family val="2"/>
      </rPr>
      <t xml:space="preserve">바깥 소리를 줄이는 데 마음을 두면 </t>
    </r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분의 조용한 틈에서도 내 느낌이 조금씩 떠올라요</t>
    </r>
    <r>
      <rPr>
        <sz val="10"/>
        <rFont val="Malgun Gothic"/>
        <family val="0"/>
        <charset val="1"/>
      </rPr>
      <t xml:space="preserve">.</t>
    </r>
  </si>
  <si>
    <t xml:space="preserve">cards.2.reversed.direct.week.title</t>
  </si>
  <si>
    <r>
      <rPr>
        <sz val="10"/>
        <rFont val="Noto Sans CJK SC"/>
        <family val="2"/>
      </rPr>
      <t xml:space="preserve">매일 조용한 </t>
    </r>
    <r>
      <rPr>
        <sz val="10"/>
        <rFont val="Malgun Gothic"/>
        <family val="0"/>
        <charset val="1"/>
      </rPr>
      <t xml:space="preserve">20</t>
    </r>
    <r>
      <rPr>
        <sz val="10"/>
        <rFont val="Noto Sans CJK SC"/>
        <family val="2"/>
      </rPr>
      <t xml:space="preserve">분</t>
    </r>
  </si>
  <si>
    <t xml:space="preserve">cards.2.reversed.direct.week.how</t>
  </si>
  <si>
    <r>
      <rPr>
        <sz val="10"/>
        <rFont val="Noto Sans CJK SC"/>
        <family val="2"/>
      </rPr>
      <t xml:space="preserve">이번 주 매일 같은 시간에 알림을 끄고 정보 찾기를 멈춘 채 </t>
    </r>
    <r>
      <rPr>
        <sz val="10"/>
        <rFont val="Malgun Gothic"/>
        <family val="0"/>
        <charset val="1"/>
      </rPr>
      <t xml:space="preserve">20</t>
    </r>
    <r>
      <rPr>
        <sz val="10"/>
        <rFont val="Noto Sans CJK SC"/>
        <family val="2"/>
      </rPr>
      <t xml:space="preserve">분을 보내요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끝나면 떠오른 느낌을 한 줄 적습니다</t>
    </r>
    <r>
      <rPr>
        <sz val="10"/>
        <rFont val="Malgun Gothic"/>
        <family val="0"/>
        <charset val="1"/>
      </rPr>
      <t xml:space="preserve">.</t>
    </r>
  </si>
  <si>
    <t xml:space="preserve">cards.2.reversed.direct.week.time</t>
  </si>
  <si>
    <t xml:space="preserve">cards.2.reversed.direct.week.why</t>
  </si>
  <si>
    <r>
      <rPr>
        <sz val="10"/>
        <rFont val="Noto Sans CJK SC"/>
        <family val="2"/>
      </rPr>
      <t xml:space="preserve">바깥 소리를 줄이는 틈을 되풀이하면 묻혀 있던 내 느낌이 갈수록 또렷하게 들립니다</t>
    </r>
    <r>
      <rPr>
        <sz val="10"/>
        <rFont val="Malgun Gothic"/>
        <family val="0"/>
        <charset val="1"/>
      </rPr>
      <t xml:space="preserve">.</t>
    </r>
  </si>
  <si>
    <t xml:space="preserve">cards.2.reversed.direct.slow_rx.title</t>
  </si>
  <si>
    <t xml:space="preserve">걱정 목록 한 번에 적기</t>
  </si>
  <si>
    <t xml:space="preserve">cards.2.reversed.direct.slow_rx.how</t>
  </si>
  <si>
    <r>
      <rPr>
        <sz val="10"/>
        <rFont val="Noto Sans CJK SC"/>
        <family val="2"/>
      </rPr>
      <t xml:space="preserve">선택에 따라오는 걱정을 노트에 모두 적고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하나씩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지금 할 수 있는 일인가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를 확인해요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아니면 선을 그어요</t>
    </r>
    <r>
      <rPr>
        <sz val="10"/>
        <rFont val="Malgun Gothic"/>
        <family val="0"/>
        <charset val="1"/>
      </rPr>
      <t xml:space="preserve">.</t>
    </r>
  </si>
  <si>
    <t xml:space="preserve">cards.2.reversed.direct.slow_rx.why</t>
  </si>
  <si>
    <r>
      <rPr>
        <sz val="10"/>
        <rFont val="Noto Sans CJK SC"/>
        <family val="2"/>
      </rPr>
      <t xml:space="preserve">걱정이 먼저 따라오면 정보만 늘고 머리가 쉬지 못하니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걱정을 종이에 옮기면 선택이 덜 미뤄집니다</t>
    </r>
    <r>
      <rPr>
        <sz val="10"/>
        <rFont val="Malgun Gothic"/>
        <family val="0"/>
        <charset val="1"/>
      </rPr>
      <t xml:space="preserve">.</t>
    </r>
  </si>
  <si>
    <t xml:space="preserve">cards.2.reversed.direct.three.title</t>
  </si>
  <si>
    <t xml:space="preserve">걱정 꺼내고 선 긋기</t>
  </si>
  <si>
    <t xml:space="preserve">cards.2.reversed.direct.three.how</t>
  </si>
  <si>
    <r>
      <rPr>
        <sz val="10"/>
        <rFont val="Noto Sans CJK SC"/>
        <family val="2"/>
      </rPr>
      <t xml:space="preserve">걱정 목록을 보며 오늘 할 수 있는 일 하나만 남기고 나머지는 선을 그어요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남긴 일은 바로 해 봅니다</t>
    </r>
    <r>
      <rPr>
        <sz val="10"/>
        <rFont val="Malgun Gothic"/>
        <family val="0"/>
        <charset val="1"/>
      </rPr>
      <t xml:space="preserve">.</t>
    </r>
  </si>
  <si>
    <t xml:space="preserve">cards.2.reversed.direct.three.time</t>
  </si>
  <si>
    <t xml:space="preserve">cards.2.reversed.direct.three.why</t>
  </si>
  <si>
    <r>
      <rPr>
        <sz val="10"/>
        <rFont val="Noto Sans CJK SC"/>
        <family val="2"/>
      </rPr>
      <t xml:space="preserve">선택마다 걱정부터 떠올리는 생각은 정리할 때 줄고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할 수 있는 일 하나로 선택이 앞으로 나가요</t>
    </r>
    <r>
      <rPr>
        <sz val="10"/>
        <rFont val="Malgun Gothic"/>
        <family val="0"/>
        <charset val="1"/>
      </rPr>
      <t xml:space="preserve">.</t>
    </r>
  </si>
  <si>
    <t xml:space="preserve">cards.3.direct.slow_short</t>
  </si>
  <si>
    <t xml:space="preserve">내 힘이 줄어드는 걸 넘기는 습관</t>
  </si>
  <si>
    <t xml:space="preserve">cards.3.direct.key_rx.title</t>
  </si>
  <si>
    <t xml:space="preserve">나에게 건네는 다정한 말</t>
  </si>
  <si>
    <t xml:space="preserve">cards.3.direct.key_rx.how</t>
  </si>
  <si>
    <r>
      <rPr>
        <sz val="10"/>
        <rFont val="Noto Sans CJK SC"/>
        <family val="2"/>
      </rPr>
      <t xml:space="preserve">남에게 해 주던 말을 나에게도 해 줍니다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지친 나에게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수고했어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같은 말을 노트에 한 줄 적어요</t>
    </r>
    <r>
      <rPr>
        <sz val="10"/>
        <rFont val="Malgun Gothic"/>
        <family val="0"/>
        <charset val="1"/>
      </rPr>
      <t xml:space="preserve">.</t>
    </r>
  </si>
  <si>
    <t xml:space="preserve">cards.3.direct.key_rx.why</t>
  </si>
  <si>
    <r>
      <rPr>
        <sz val="10"/>
        <rFont val="Noto Sans CJK SC"/>
        <family val="2"/>
      </rPr>
      <t xml:space="preserve">남에게 건네던 다정함을 나에게도 나누는 데 마음을 두면 내가 먼저 채워져 돌보는 마음도 오래 이어져요</t>
    </r>
    <r>
      <rPr>
        <sz val="10"/>
        <rFont val="Malgun Gothic"/>
        <family val="0"/>
        <charset val="1"/>
      </rPr>
      <t xml:space="preserve">.</t>
    </r>
  </si>
  <si>
    <t xml:space="preserve">cards.3.direct.today.title</t>
  </si>
  <si>
    <t xml:space="preserve">나에게 수고했다고 적기</t>
  </si>
  <si>
    <t xml:space="preserve">cards.3.direct.today.how</t>
  </si>
  <si>
    <r>
      <rPr>
        <sz val="10"/>
        <rFont val="Noto Sans CJK SC"/>
        <family val="2"/>
      </rPr>
      <t xml:space="preserve">오늘 한 일 중 하나를 골라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고생했어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같은 말을 나에게 한 줄 적습니다</t>
    </r>
    <r>
      <rPr>
        <sz val="10"/>
        <rFont val="Malgun Gothic"/>
        <family val="0"/>
        <charset val="1"/>
      </rPr>
      <t xml:space="preserve">.</t>
    </r>
  </si>
  <si>
    <t xml:space="preserve">cards.3.direct.today.time</t>
  </si>
  <si>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분</t>
    </r>
  </si>
  <si>
    <t xml:space="preserve">cards.3.direct.today.why</t>
  </si>
  <si>
    <r>
      <rPr>
        <sz val="10"/>
        <rFont val="Noto Sans CJK SC"/>
        <family val="2"/>
      </rPr>
      <t xml:space="preserve">나에게도 다정함을 나누는 데 마음을 두는 첫걸음으로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오늘 한 일에 말 한마디를 건네요</t>
    </r>
    <r>
      <rPr>
        <sz val="10"/>
        <rFont val="Malgun Gothic"/>
        <family val="0"/>
        <charset val="1"/>
      </rPr>
      <t xml:space="preserve">.</t>
    </r>
  </si>
  <si>
    <t xml:space="preserve">cards.3.direct.week.title</t>
  </si>
  <si>
    <t xml:space="preserve">저녁마다 다정한 말 한 줄</t>
  </si>
  <si>
    <t xml:space="preserve">cards.3.direct.week.how</t>
  </si>
  <si>
    <r>
      <rPr>
        <sz val="10"/>
        <rFont val="Noto Sans CJK SC"/>
        <family val="2"/>
      </rPr>
      <t xml:space="preserve">이번 주 매일 저녁 남에게 해 줄 법한 다정한 말을 나에게 한 줄씩 적습니다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주말에 모아서 읽어 봐요</t>
    </r>
    <r>
      <rPr>
        <sz val="10"/>
        <rFont val="Malgun Gothic"/>
        <family val="0"/>
        <charset val="1"/>
      </rPr>
      <t xml:space="preserve">.</t>
    </r>
  </si>
  <si>
    <t xml:space="preserve">cards.3.direct.week.time</t>
  </si>
  <si>
    <t xml:space="preserve">cards.3.direct.week.why</t>
  </si>
  <si>
    <r>
      <rPr>
        <sz val="10"/>
        <rFont val="Noto Sans CJK SC"/>
        <family val="2"/>
      </rPr>
      <t xml:space="preserve">나에게 다정한 말을 날마다 건네면 내가 먼저 채워져서 남을 돌보는 마음도 오래 이어져요</t>
    </r>
    <r>
      <rPr>
        <sz val="10"/>
        <rFont val="Malgun Gothic"/>
        <family val="0"/>
        <charset val="1"/>
      </rPr>
      <t xml:space="preserve">.</t>
    </r>
  </si>
  <si>
    <t xml:space="preserve">cards.3.direct.slow_rx.title</t>
  </si>
  <si>
    <t xml:space="preserve">내게 남은 힘 확인하기</t>
  </si>
  <si>
    <t xml:space="preserve">cards.3.direct.slow_rx.how</t>
  </si>
  <si>
    <r>
      <rPr>
        <sz val="10"/>
        <rFont val="Noto Sans CJK SC"/>
        <family val="2"/>
      </rPr>
      <t xml:space="preserve">하루가 끝나면 남은 힘이 다섯 칸 중 몇 칸인지 노트에 적고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두 칸 이하이면 남을 챙기는 일 하나를 내일로 미뤄요</t>
    </r>
    <r>
      <rPr>
        <sz val="10"/>
        <rFont val="Malgun Gothic"/>
        <family val="0"/>
        <charset val="1"/>
      </rPr>
      <t xml:space="preserve">.</t>
    </r>
  </si>
  <si>
    <t xml:space="preserve">cards.3.direct.slow_rx.why</t>
  </si>
  <si>
    <r>
      <rPr>
        <sz val="10"/>
        <rFont val="Noto Sans CJK SC"/>
        <family val="2"/>
      </rPr>
      <t xml:space="preserve">남을 챙기느라 줄어드는 내 힘을 넘기면 다정함이 서운함이나 피로로 바뀌니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남은 힘을 먼저 확인합니다</t>
    </r>
    <r>
      <rPr>
        <sz val="10"/>
        <rFont val="Malgun Gothic"/>
        <family val="0"/>
        <charset val="1"/>
      </rPr>
      <t xml:space="preserve">.</t>
    </r>
  </si>
  <si>
    <t xml:space="preserve">cards.3.direct.three.title</t>
  </si>
  <si>
    <t xml:space="preserve">남은 힘 기록하고 일 덜기</t>
  </si>
  <si>
    <t xml:space="preserve">cards.3.direct.three.how</t>
  </si>
  <si>
    <r>
      <rPr>
        <sz val="10"/>
        <rFont val="Noto Sans CJK SC"/>
        <family val="2"/>
      </rPr>
      <t xml:space="preserve">사흘 동안 매일 남은 힘을 적고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힘이 부족한 날에는 남을 챙기는 일 하나를 일정표에서 다른 날로 옮깁니다</t>
    </r>
    <r>
      <rPr>
        <sz val="10"/>
        <rFont val="Malgun Gothic"/>
        <family val="0"/>
        <charset val="1"/>
      </rPr>
      <t xml:space="preserve">.</t>
    </r>
  </si>
  <si>
    <t xml:space="preserve">cards.3.direct.three.time</t>
  </si>
  <si>
    <t xml:space="preserve">cards.3.direct.three.why</t>
  </si>
  <si>
    <r>
      <rPr>
        <sz val="10"/>
        <rFont val="Noto Sans CJK SC"/>
        <family val="2"/>
      </rPr>
      <t xml:space="preserve">내 힘이 줄어드는 걸 숫자로 보면 넘기기 어려워져서 다정한 마음이 피로로 바뀌기 전에 멈출 수 있어요</t>
    </r>
    <r>
      <rPr>
        <sz val="10"/>
        <rFont val="Malgun Gothic"/>
        <family val="0"/>
        <charset val="1"/>
      </rPr>
      <t xml:space="preserve">.</t>
    </r>
  </si>
  <si>
    <t xml:space="preserve">cards.3.reversed.direct.slow_short</t>
  </si>
  <si>
    <t xml:space="preserve">풀리지 않는 피로를 넘기는 것</t>
  </si>
  <si>
    <t xml:space="preserve">cards.3.reversed.direct.key_rx.title</t>
  </si>
  <si>
    <t xml:space="preserve">받은 호의 기록하기</t>
  </si>
  <si>
    <t xml:space="preserve">cards.3.reversed.direct.key_rx.how</t>
  </si>
  <si>
    <r>
      <rPr>
        <sz val="10"/>
        <rFont val="Noto Sans CJK SC"/>
        <family val="2"/>
      </rPr>
      <t xml:space="preserve">오늘 누군가에게 받은 호의나 도움을 노트에 적습니다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적은 뒤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그냥 받아도 괜찮아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라고 한 줄 덧붙여요</t>
    </r>
    <r>
      <rPr>
        <sz val="10"/>
        <rFont val="Malgun Gothic"/>
        <family val="0"/>
        <charset val="1"/>
      </rPr>
      <t xml:space="preserve">.</t>
    </r>
  </si>
  <si>
    <t xml:space="preserve">cards.3.reversed.direct.key_rx.why</t>
  </si>
  <si>
    <r>
      <rPr>
        <sz val="10"/>
        <rFont val="Noto Sans CJK SC"/>
        <family val="2"/>
      </rPr>
      <t xml:space="preserve">주는 것만큼 받는 것도 괜찮다고 여기는 데 마음을 두면 호의를 편하게 받아 줄어든 여유가 채워져요</t>
    </r>
    <r>
      <rPr>
        <sz val="10"/>
        <rFont val="Malgun Gothic"/>
        <family val="0"/>
        <charset val="1"/>
      </rPr>
      <t xml:space="preserve">.</t>
    </r>
  </si>
  <si>
    <t xml:space="preserve">cards.3.reversed.direct.today.title</t>
  </si>
  <si>
    <t xml:space="preserve">받은 호의 하나 적기</t>
  </si>
  <si>
    <t xml:space="preserve">cards.3.reversed.direct.today.how</t>
  </si>
  <si>
    <r>
      <rPr>
        <sz val="10"/>
        <rFont val="Noto Sans CJK SC"/>
        <family val="2"/>
      </rPr>
      <t xml:space="preserve">오늘 받은 작은 호의 하나를 떠올려 메모장에 적고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미안함 없이 고마움만 한 줄 덧붙여요</t>
    </r>
    <r>
      <rPr>
        <sz val="10"/>
        <rFont val="Malgun Gothic"/>
        <family val="0"/>
        <charset val="1"/>
      </rPr>
      <t xml:space="preserve">.</t>
    </r>
  </si>
  <si>
    <t xml:space="preserve">cards.3.reversed.direct.today.time</t>
  </si>
  <si>
    <t xml:space="preserve">cards.3.reversed.direct.today.why</t>
  </si>
  <si>
    <r>
      <rPr>
        <sz val="10"/>
        <rFont val="Noto Sans CJK SC"/>
        <family val="2"/>
      </rPr>
      <t xml:space="preserve">받는 것도 괜찮다고 여기는 데 마음을 두는 첫걸음으로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오늘 받은 것을 편하게 인정합니다</t>
    </r>
    <r>
      <rPr>
        <sz val="10"/>
        <rFont val="Malgun Gothic"/>
        <family val="0"/>
        <charset val="1"/>
      </rPr>
      <t xml:space="preserve">.</t>
    </r>
  </si>
  <si>
    <t xml:space="preserve">cards.3.reversed.direct.week.title</t>
  </si>
  <si>
    <t xml:space="preserve">매일 받은 것 세 가지</t>
  </si>
  <si>
    <t xml:space="preserve">cards.3.reversed.direct.week.how</t>
  </si>
  <si>
    <r>
      <rPr>
        <sz val="10"/>
        <rFont val="Noto Sans CJK SC"/>
        <family val="2"/>
      </rPr>
      <t xml:space="preserve">이번 주 매일 잠들기 전 그날 받은 호의나 도움을 세 가지 적습니다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없다면 아주 작은 것도 괜찮아요</t>
    </r>
    <r>
      <rPr>
        <sz val="10"/>
        <rFont val="Malgun Gothic"/>
        <family val="0"/>
        <charset val="1"/>
      </rPr>
      <t xml:space="preserve">.</t>
    </r>
  </si>
  <si>
    <t xml:space="preserve">cards.3.reversed.direct.week.time</t>
  </si>
  <si>
    <t xml:space="preserve">cards.3.reversed.direct.week.why</t>
  </si>
  <si>
    <r>
      <rPr>
        <sz val="10"/>
        <rFont val="Noto Sans CJK SC"/>
        <family val="2"/>
      </rPr>
      <t xml:space="preserve">받은 것을 날마다 적으면 호의를 편하게 받는 일이 익숙해져서 줄어든 여유가 채워지기 시작해요</t>
    </r>
    <r>
      <rPr>
        <sz val="10"/>
        <rFont val="Malgun Gothic"/>
        <family val="0"/>
        <charset val="1"/>
      </rPr>
      <t xml:space="preserve">.</t>
    </r>
  </si>
  <si>
    <t xml:space="preserve">cards.3.reversed.direct.slow_rx.title</t>
  </si>
  <si>
    <t xml:space="preserve">피로 신호 점수 적기</t>
  </si>
  <si>
    <t xml:space="preserve">cards.3.reversed.direct.slow_rx.how</t>
  </si>
  <si>
    <r>
      <rPr>
        <sz val="10"/>
        <rFont val="Noto Sans CJK SC"/>
        <family val="2"/>
      </rPr>
      <t xml:space="preserve">하루 두 번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낮과 저녁에 피로를 </t>
    </r>
    <r>
      <rPr>
        <sz val="10"/>
        <rFont val="Malgun Gothic"/>
        <family val="0"/>
        <charset val="1"/>
      </rPr>
      <t xml:space="preserve">1~5</t>
    </r>
    <r>
      <rPr>
        <sz val="10"/>
        <rFont val="Noto Sans CJK SC"/>
        <family val="2"/>
      </rPr>
      <t xml:space="preserve">점으로 노트에 적어요</t>
    </r>
    <r>
      <rPr>
        <sz val="10"/>
        <rFont val="Malgun Gothic"/>
        <family val="0"/>
        <charset val="1"/>
      </rPr>
      <t xml:space="preserve">. 4</t>
    </r>
    <r>
      <rPr>
        <sz val="10"/>
        <rFont val="Noto Sans CJK SC"/>
        <family val="2"/>
      </rPr>
      <t xml:space="preserve">점 이상이면 하던 일을 멈추고 </t>
    </r>
    <r>
      <rPr>
        <sz val="10"/>
        <rFont val="Malgun Gothic"/>
        <family val="0"/>
        <charset val="1"/>
      </rPr>
      <t xml:space="preserve">10</t>
    </r>
    <r>
      <rPr>
        <sz val="10"/>
        <rFont val="Noto Sans CJK SC"/>
        <family val="2"/>
      </rPr>
      <t xml:space="preserve">분 쉬어요</t>
    </r>
    <r>
      <rPr>
        <sz val="10"/>
        <rFont val="Malgun Gothic"/>
        <family val="0"/>
        <charset val="1"/>
      </rPr>
      <t xml:space="preserve">.</t>
    </r>
  </si>
  <si>
    <t xml:space="preserve">cards.3.reversed.direct.slow_rx.why</t>
  </si>
  <si>
    <r>
      <rPr>
        <sz val="10"/>
        <rFont val="Noto Sans CJK SC"/>
        <family val="2"/>
      </rPr>
      <t xml:space="preserve">쉬어도 풀리지 않는 피로를 넘기면 혼자 버티는 시간이 길어지니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점수로 적어 눈에 보이게 합니다</t>
    </r>
    <r>
      <rPr>
        <sz val="10"/>
        <rFont val="Malgun Gothic"/>
        <family val="0"/>
        <charset val="1"/>
      </rPr>
      <t xml:space="preserve">.</t>
    </r>
  </si>
  <si>
    <t xml:space="preserve">cards.3.reversed.direct.three.title</t>
  </si>
  <si>
    <t xml:space="preserve">피로 점수 보고 쉬기</t>
  </si>
  <si>
    <t xml:space="preserve">cards.3.reversed.direct.three.how</t>
  </si>
  <si>
    <r>
      <rPr>
        <sz val="10"/>
        <rFont val="Noto Sans CJK SC"/>
        <family val="2"/>
      </rPr>
      <t xml:space="preserve">적어 둔 피로 점수가 높았던 시간을 찾아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 시간 뒤에 </t>
    </r>
    <r>
      <rPr>
        <sz val="10"/>
        <rFont val="Malgun Gothic"/>
        <family val="0"/>
        <charset val="1"/>
      </rPr>
      <t xml:space="preserve">10</t>
    </r>
    <r>
      <rPr>
        <sz val="10"/>
        <rFont val="Noto Sans CJK SC"/>
        <family val="2"/>
      </rPr>
      <t xml:space="preserve">분 쉬는 칸을 일정에 넣고 실제로 쉬어요</t>
    </r>
    <r>
      <rPr>
        <sz val="10"/>
        <rFont val="Malgun Gothic"/>
        <family val="0"/>
        <charset val="1"/>
      </rPr>
      <t xml:space="preserve">.</t>
    </r>
  </si>
  <si>
    <t xml:space="preserve">cards.3.reversed.direct.three.time</t>
  </si>
  <si>
    <t xml:space="preserve">cards.3.reversed.direct.three.why</t>
  </si>
  <si>
    <r>
      <rPr>
        <sz val="10"/>
        <rFont val="Noto Sans CJK SC"/>
        <family val="2"/>
      </rPr>
      <t xml:space="preserve">풀리지 않는 피로를 점수로 확인하면 넘기기 어려워져서 지친 채 버티는 시간이 줄어요</t>
    </r>
    <r>
      <rPr>
        <sz val="10"/>
        <rFont val="Malgun Gothic"/>
        <family val="0"/>
        <charset val="1"/>
      </rPr>
      <t xml:space="preserve">.</t>
    </r>
  </si>
  <si>
    <t xml:space="preserve">cards.4.direct.slow_short</t>
  </si>
  <si>
    <t xml:space="preserve">어쩔 수 없는 일까지 붙잡는 습관</t>
  </si>
  <si>
    <t xml:space="preserve">cards.4.direct.key_rx.title</t>
  </si>
  <si>
    <t xml:space="preserve">바꿀 수 있는 일 나누기</t>
  </si>
  <si>
    <t xml:space="preserve">cards.4.direct.key_rx.how</t>
  </si>
  <si>
    <r>
      <rPr>
        <sz val="10"/>
        <rFont val="Noto Sans CJK SC"/>
        <family val="2"/>
      </rPr>
      <t xml:space="preserve">걱정되는 일을 노트에 적고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내가 바꿀 수 있는 일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과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바꿀 수 없는 일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두 칸으로 나눠요</t>
    </r>
    <r>
      <rPr>
        <sz val="10"/>
        <rFont val="Malgun Gothic"/>
        <family val="0"/>
        <charset val="1"/>
      </rPr>
      <t xml:space="preserve">.</t>
    </r>
  </si>
  <si>
    <t xml:space="preserve">cards.4.direct.key_rx.why</t>
  </si>
  <si>
    <r>
      <rPr>
        <sz val="10"/>
        <rFont val="Noto Sans CJK SC"/>
        <family val="2"/>
      </rPr>
      <t xml:space="preserve">바꿀 수 있는 일과 그렇지 않은 일을 나누는 데 마음을 두면 힘을 쓸 곳이 뚜렷해져 같은 책임도 가벼워집니다</t>
    </r>
    <r>
      <rPr>
        <sz val="10"/>
        <rFont val="Malgun Gothic"/>
        <family val="0"/>
        <charset val="1"/>
      </rPr>
      <t xml:space="preserve">.</t>
    </r>
  </si>
  <si>
    <t xml:space="preserve">cards.4.direct.today.title</t>
  </si>
  <si>
    <t xml:space="preserve">두 칸으로 나누기</t>
  </si>
  <si>
    <t xml:space="preserve">cards.4.direct.today.how</t>
  </si>
  <si>
    <r>
      <rPr>
        <sz val="10"/>
        <rFont val="Noto Sans CJK SC"/>
        <family val="2"/>
      </rPr>
      <t xml:space="preserve">지금 붙잡고 있는 걱정 세 가지를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바꿀 수 있음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과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바꿀 수 없음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두 칸으로 나눠 적습니다</t>
    </r>
    <r>
      <rPr>
        <sz val="10"/>
        <rFont val="Malgun Gothic"/>
        <family val="0"/>
        <charset val="1"/>
      </rPr>
      <t xml:space="preserve">.</t>
    </r>
  </si>
  <si>
    <t xml:space="preserve">cards.4.direct.today.time</t>
  </si>
  <si>
    <t xml:space="preserve">cards.4.direct.today.why</t>
  </si>
  <si>
    <r>
      <rPr>
        <sz val="10"/>
        <rFont val="Noto Sans CJK SC"/>
        <family val="2"/>
      </rPr>
      <t xml:space="preserve">일을 나누는 데 마음을 두면 오늘 힘을 쓸 곳이 세 가지 안에서 먼저 정해져요</t>
    </r>
    <r>
      <rPr>
        <sz val="10"/>
        <rFont val="Malgun Gothic"/>
        <family val="0"/>
        <charset val="1"/>
      </rPr>
      <t xml:space="preserve">.</t>
    </r>
  </si>
  <si>
    <t xml:space="preserve">cards.4.direct.week.title</t>
  </si>
  <si>
    <t xml:space="preserve">매일 저녁 두 칸 정리</t>
  </si>
  <si>
    <t xml:space="preserve">cards.4.direct.week.how</t>
  </si>
  <si>
    <r>
      <rPr>
        <sz val="10"/>
        <rFont val="Noto Sans CJK SC"/>
        <family val="2"/>
      </rPr>
      <t xml:space="preserve">이번 주 매일 저녁 그날의 걱정을 두 칸으로 나눠 적고</t>
    </r>
    <r>
      <rPr>
        <sz val="10"/>
        <rFont val="Malgun Gothic"/>
        <family val="0"/>
        <charset val="1"/>
      </rPr>
      <t xml:space="preserve">, '</t>
    </r>
    <r>
      <rPr>
        <sz val="10"/>
        <rFont val="Noto Sans CJK SC"/>
        <family val="2"/>
      </rPr>
      <t xml:space="preserve">바꿀 수 있음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칸에서 내일 할 일 하나만 골라요</t>
    </r>
    <r>
      <rPr>
        <sz val="10"/>
        <rFont val="Malgun Gothic"/>
        <family val="0"/>
        <charset val="1"/>
      </rPr>
      <t xml:space="preserve">.</t>
    </r>
  </si>
  <si>
    <t xml:space="preserve">cards.4.direct.week.time</t>
  </si>
  <si>
    <t xml:space="preserve">cards.4.direct.week.why</t>
  </si>
  <si>
    <r>
      <rPr>
        <sz val="10"/>
        <rFont val="Noto Sans CJK SC"/>
        <family val="2"/>
      </rPr>
      <t xml:space="preserve">두 칸으로 나누는 일을 되풀이하면 힘을 쓸 곳이 날마다 뚜렷해져서 책임이 가벼워집니다</t>
    </r>
    <r>
      <rPr>
        <sz val="10"/>
        <rFont val="Malgun Gothic"/>
        <family val="0"/>
        <charset val="1"/>
      </rPr>
      <t xml:space="preserve">.</t>
    </r>
  </si>
  <si>
    <t xml:space="preserve">cards.4.direct.slow_rx.title</t>
  </si>
  <si>
    <t xml:space="preserve">바꿀 수 없는 일 내려놓기</t>
  </si>
  <si>
    <t xml:space="preserve">cards.4.direct.slow_rx.how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</si>
  <si>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바꿀 수 없음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칸에 적은 일 옆에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쉬는 시간에는 여기까지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라고 쓰고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쉬는 중에는 그 일을 다시 꺼내지 않기로 합니다</t>
    </r>
    <r>
      <rPr>
        <sz val="10"/>
        <rFont val="Malgun Gothic"/>
        <family val="0"/>
        <charset val="1"/>
      </rPr>
      <t xml:space="preserve">.</t>
    </r>
  </si>
  <si>
    <t xml:space="preserve">cards.4.direct.slow_rx.why</t>
  </si>
  <si>
    <r>
      <rPr>
        <sz val="10"/>
        <rFont val="Noto Sans CJK SC"/>
        <family val="2"/>
      </rPr>
      <t xml:space="preserve">어쩔 수 없는 일까지 붙잡으면 쉬는 중에도 긴장이 풀리지 않으니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쉬는 시간에는 생각하지 않는다는 선을 그어요</t>
    </r>
    <r>
      <rPr>
        <sz val="10"/>
        <rFont val="Malgun Gothic"/>
        <family val="0"/>
        <charset val="1"/>
      </rPr>
      <t xml:space="preserve">.</t>
    </r>
  </si>
  <si>
    <t xml:space="preserve">cards.4.direct.three.title</t>
  </si>
  <si>
    <t xml:space="preserve">쉬는 시간에 생각 멈추기</t>
  </si>
  <si>
    <t xml:space="preserve">cards.4.direct.three.how</t>
  </si>
  <si>
    <r>
      <rPr>
        <sz val="10"/>
        <rFont val="Noto Sans CJK SC"/>
        <family val="2"/>
      </rPr>
      <t xml:space="preserve">바꿀 수 없는 일 하나를 정해 </t>
    </r>
    <r>
      <rPr>
        <sz val="10"/>
        <rFont val="Malgun Gothic"/>
        <family val="0"/>
        <charset val="1"/>
      </rPr>
      <t xml:space="preserve">15</t>
    </r>
    <r>
      <rPr>
        <sz val="10"/>
        <rFont val="Noto Sans CJK SC"/>
        <family val="2"/>
      </rPr>
      <t xml:space="preserve">분 동안 산책이나 스트레칭을 합니다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일이 떠오르면 노트에 한 줄만 적고 돌아와요</t>
    </r>
    <r>
      <rPr>
        <sz val="10"/>
        <rFont val="Malgun Gothic"/>
        <family val="0"/>
        <charset val="1"/>
      </rPr>
      <t xml:space="preserve">.</t>
    </r>
  </si>
  <si>
    <t xml:space="preserve">cards.4.direct.three.time</t>
  </si>
  <si>
    <t xml:space="preserve">cards.4.direct.three.why</t>
  </si>
  <si>
    <r>
      <rPr>
        <sz val="10"/>
        <rFont val="Noto Sans CJK SC"/>
        <family val="2"/>
      </rPr>
      <t xml:space="preserve">어쩔 수 없는 일을 붙잡는 습관은 생각을 적어 두고 몸을 움직일 때 느슨해져서 쉬는 중에 긴장이 풀려요</t>
    </r>
    <r>
      <rPr>
        <sz val="10"/>
        <rFont val="Malgun Gothic"/>
        <family val="0"/>
        <charset val="1"/>
      </rPr>
      <t xml:space="preserve">.</t>
    </r>
  </si>
  <si>
    <t xml:space="preserve">cards.4.reversed.direct.slow_short</t>
  </si>
  <si>
    <t xml:space="preserve">작은 변화도 내 뜻대로 맞추려는 마음</t>
  </si>
  <si>
    <t xml:space="preserve">cards.4.reversed.direct.key_rx.title</t>
  </si>
  <si>
    <t xml:space="preserve">꼭 지킬 한 가지 정하기</t>
  </si>
  <si>
    <t xml:space="preserve">cards.4.reversed.direct.key_rx.how</t>
  </si>
  <si>
    <r>
      <rPr>
        <sz val="10"/>
        <rFont val="Noto Sans CJK SC"/>
        <family val="2"/>
      </rPr>
      <t xml:space="preserve">하루 중 꼭 지키고 싶은 일을 한 가지만 정해 적고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나머지는 순서가 바뀌거나 빠져도 괜찮다고 써 둬요</t>
    </r>
    <r>
      <rPr>
        <sz val="10"/>
        <rFont val="Malgun Gothic"/>
        <family val="0"/>
        <charset val="1"/>
      </rPr>
      <t xml:space="preserve">.</t>
    </r>
  </si>
  <si>
    <t xml:space="preserve">cards.4.reversed.direct.key_rx.why</t>
  </si>
  <si>
    <r>
      <rPr>
        <sz val="10"/>
        <rFont val="Noto Sans CJK SC"/>
        <family val="2"/>
      </rPr>
      <t xml:space="preserve">꼭 지키고 싶은 한 가지에 마음을 두면 지킬 것이 줄어서 나머지는 느슨해져도 괜찮다는 여유가 생깁니다</t>
    </r>
    <r>
      <rPr>
        <sz val="10"/>
        <rFont val="Malgun Gothic"/>
        <family val="0"/>
        <charset val="1"/>
      </rPr>
      <t xml:space="preserve">.</t>
    </r>
  </si>
  <si>
    <t xml:space="preserve">cards.4.reversed.direct.today.title</t>
  </si>
  <si>
    <t xml:space="preserve">오늘 지킬 한 가지 쓰기</t>
  </si>
  <si>
    <t xml:space="preserve">cards.4.reversed.direct.today.how</t>
  </si>
  <si>
    <r>
      <rPr>
        <sz val="10"/>
        <rFont val="Noto Sans CJK SC"/>
        <family val="2"/>
      </rPr>
      <t xml:space="preserve">오늘 일정 중 꼭 지킬 것 하나에만 밑줄을 긋고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나머지는 바뀌어도 괜찮다고 옆에 적어요</t>
    </r>
    <r>
      <rPr>
        <sz val="10"/>
        <rFont val="Malgun Gothic"/>
        <family val="0"/>
        <charset val="1"/>
      </rPr>
      <t xml:space="preserve">.</t>
    </r>
  </si>
  <si>
    <t xml:space="preserve">cards.4.reversed.direct.today.time</t>
  </si>
  <si>
    <t xml:space="preserve">cards.4.reversed.direct.today.why</t>
  </si>
  <si>
    <r>
      <rPr>
        <sz val="10"/>
        <rFont val="Noto Sans CJK SC"/>
        <family val="2"/>
      </rPr>
      <t xml:space="preserve">꼭 지킬 한 가지에 마음을 두면 오늘 나머지 일정이 어긋나도 덜 신경 쓰게 됩니다</t>
    </r>
    <r>
      <rPr>
        <sz val="10"/>
        <rFont val="Malgun Gothic"/>
        <family val="0"/>
        <charset val="1"/>
      </rPr>
      <t xml:space="preserve">.</t>
    </r>
  </si>
  <si>
    <t xml:space="preserve">cards.4.reversed.direct.week.title</t>
  </si>
  <si>
    <t xml:space="preserve">매일 지킬 한 가지</t>
  </si>
  <si>
    <t xml:space="preserve">cards.4.reversed.direct.week.how</t>
  </si>
  <si>
    <r>
      <rPr>
        <sz val="10"/>
        <rFont val="Noto Sans CJK SC"/>
        <family val="2"/>
      </rPr>
      <t xml:space="preserve">이번 주 매일 아침 지킬 한 가지만 적고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저녁에는 지켰는지만 확인합니다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나머지가 어긋난 것은 따지지 않아요</t>
    </r>
    <r>
      <rPr>
        <sz val="10"/>
        <rFont val="Malgun Gothic"/>
        <family val="0"/>
        <charset val="1"/>
      </rPr>
      <t xml:space="preserve">.</t>
    </r>
  </si>
  <si>
    <t xml:space="preserve">cards.4.reversed.direct.week.time</t>
  </si>
  <si>
    <t xml:space="preserve">cards.4.reversed.direct.week.why</t>
  </si>
  <si>
    <r>
      <rPr>
        <sz val="10"/>
        <rFont val="Noto Sans CJK SC"/>
        <family val="2"/>
      </rPr>
      <t xml:space="preserve">지킬 한 가지만 확인하는 날이 쌓이면 나머지를 느슨하게 두는 여유가 점점 자리 잡아요</t>
    </r>
    <r>
      <rPr>
        <sz val="10"/>
        <rFont val="Malgun Gothic"/>
        <family val="0"/>
        <charset val="1"/>
      </rPr>
      <t xml:space="preserve">.</t>
    </r>
  </si>
  <si>
    <t xml:space="preserve">cards.4.reversed.direct.slow_rx.title</t>
  </si>
  <si>
    <t xml:space="preserve">일정 한 칸 비워 두기</t>
  </si>
  <si>
    <t xml:space="preserve">cards.4.reversed.direct.slow_rx.how</t>
  </si>
  <si>
    <r>
      <rPr>
        <sz val="10"/>
        <rFont val="Noto Sans CJK SC"/>
        <family val="2"/>
      </rPr>
      <t xml:space="preserve">오늘 일정 중 한 칸은 일부러 정하지 않고 비워 두고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 칸이 어떻게 흘러가는지 지켜봅니다</t>
    </r>
    <r>
      <rPr>
        <sz val="10"/>
        <rFont val="Malgun Gothic"/>
        <family val="0"/>
        <charset val="1"/>
      </rPr>
      <t xml:space="preserve">.</t>
    </r>
  </si>
  <si>
    <t xml:space="preserve">cards.4.reversed.direct.slow_rx.why</t>
  </si>
  <si>
    <r>
      <rPr>
        <sz val="10"/>
        <rFont val="Noto Sans CJK SC"/>
        <family val="2"/>
      </rPr>
      <t xml:space="preserve">작은 변화도 내 뜻대로 맞추려는 마음은 긴장을 쌓으니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비워 둔 칸이 흘러가는 대로 두는 경험을 해 봐요</t>
    </r>
    <r>
      <rPr>
        <sz val="10"/>
        <rFont val="Malgun Gothic"/>
        <family val="0"/>
        <charset val="1"/>
      </rPr>
      <t xml:space="preserve">.</t>
    </r>
  </si>
  <si>
    <t xml:space="preserve">cards.4.reversed.direct.three.title</t>
  </si>
  <si>
    <t xml:space="preserve">비워 둔 시간 지켜보기</t>
  </si>
  <si>
    <t xml:space="preserve">cards.4.reversed.direct.three.how</t>
  </si>
  <si>
    <r>
      <rPr>
        <sz val="10"/>
        <rFont val="Noto Sans CJK SC"/>
        <family val="2"/>
      </rPr>
      <t xml:space="preserve">정하지 않고 비워 둔 시간 </t>
    </r>
    <r>
      <rPr>
        <sz val="10"/>
        <rFont val="Malgun Gothic"/>
        <family val="0"/>
        <charset val="1"/>
      </rPr>
      <t xml:space="preserve">15</t>
    </r>
    <r>
      <rPr>
        <sz val="10"/>
        <rFont val="Noto Sans CJK SC"/>
        <family val="2"/>
      </rPr>
      <t xml:space="preserve">분 동안 계획 없이 그때 하고 싶은 일을 하고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끝난 뒤 어땠는지 한 줄 적어요</t>
    </r>
    <r>
      <rPr>
        <sz val="10"/>
        <rFont val="Malgun Gothic"/>
        <family val="0"/>
        <charset val="1"/>
      </rPr>
      <t xml:space="preserve">.</t>
    </r>
  </si>
  <si>
    <t xml:space="preserve">cards.4.reversed.direct.three.time</t>
  </si>
  <si>
    <t xml:space="preserve">cards.4.reversed.direct.three.why</t>
  </si>
  <si>
    <r>
      <rPr>
        <sz val="10"/>
        <rFont val="Noto Sans CJK SC"/>
        <family val="2"/>
      </rPr>
      <t xml:space="preserve">내 뜻대로 맞추려는 마음은 비워 둔 시간이 괜찮게 흘러가는 걸 볼 때 느슨해져서 긴장이 덜 쌓여요</t>
    </r>
    <r>
      <rPr>
        <sz val="10"/>
        <rFont val="Malgun Gothic"/>
        <family val="0"/>
        <charset val="1"/>
      </rPr>
      <t xml:space="preserve">.</t>
    </r>
  </si>
  <si>
    <t xml:space="preserve">cards.5.direct.slow_short</t>
  </si>
  <si>
    <t xml:space="preserve">고민을 혼자 끌어안고 곱씹는 습관</t>
  </si>
  <si>
    <t xml:space="preserve">cards.5.direct.key_rx.title</t>
  </si>
  <si>
    <t xml:space="preserve">믿을 만한 경험담 읽기</t>
  </si>
  <si>
    <t xml:space="preserve">cards.5.direct.key_rx.how</t>
  </si>
  <si>
    <r>
      <rPr>
        <sz val="10"/>
        <rFont val="Noto Sans CJK SC"/>
        <family val="2"/>
      </rPr>
      <t xml:space="preserve">내 고민과 비슷한 일을 겪은 사람의 책이나 글을 하나 찾아 읽고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도움이 된 문장을 노트에 옮겨 적어요</t>
    </r>
    <r>
      <rPr>
        <sz val="10"/>
        <rFont val="Malgun Gothic"/>
        <family val="0"/>
        <charset val="1"/>
      </rPr>
      <t xml:space="preserve">.</t>
    </r>
  </si>
  <si>
    <t xml:space="preserve">cards.5.direct.key_rx.why</t>
  </si>
  <si>
    <r>
      <rPr>
        <sz val="10"/>
        <rFont val="Noto Sans CJK SC"/>
        <family val="2"/>
      </rPr>
      <t xml:space="preserve">믿을 만한 사람의 경험이나 오래 검증된 배움에 기대는 데 마음을 두면 고민이 덜 무겁고 답도 빨리 보입니다</t>
    </r>
    <r>
      <rPr>
        <sz val="10"/>
        <rFont val="Malgun Gothic"/>
        <family val="0"/>
        <charset val="1"/>
      </rPr>
      <t xml:space="preserve">.</t>
    </r>
  </si>
  <si>
    <t xml:space="preserve">cards.5.direct.today.title</t>
  </si>
  <si>
    <t xml:space="preserve">도움 되는 글 한 부분 읽기</t>
  </si>
  <si>
    <t xml:space="preserve">cards.5.direct.today.how</t>
  </si>
  <si>
    <r>
      <rPr>
        <sz val="10"/>
        <rFont val="Noto Sans CJK SC"/>
        <family val="2"/>
      </rPr>
      <t xml:space="preserve">고민과 관련된 믿을 만한 글이나 책의 한 부분을 읽고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마음에 남은 문장을 메모장에 적어요</t>
    </r>
    <r>
      <rPr>
        <sz val="10"/>
        <rFont val="Malgun Gothic"/>
        <family val="0"/>
        <charset val="1"/>
      </rPr>
      <t xml:space="preserve">.</t>
    </r>
  </si>
  <si>
    <t xml:space="preserve">cards.5.direct.today.time</t>
  </si>
  <si>
    <t xml:space="preserve">cards.5.direct.today.why</t>
  </si>
  <si>
    <r>
      <rPr>
        <sz val="10"/>
        <rFont val="Noto Sans CJK SC"/>
        <family val="2"/>
      </rPr>
      <t xml:space="preserve">믿을 만한 경험에 기대는 데 마음을 두는 첫걸음으로</t>
    </r>
    <r>
      <rPr>
        <sz val="10"/>
        <rFont val="Malgun Gothic"/>
        <family val="0"/>
        <charset val="1"/>
      </rPr>
      <t xml:space="preserve">, 5</t>
    </r>
    <r>
      <rPr>
        <sz val="10"/>
        <rFont val="Noto Sans CJK SC"/>
        <family val="2"/>
      </rPr>
      <t xml:space="preserve">분만 읽어도 고민이 덜 무겁게 느껴집니다</t>
    </r>
    <r>
      <rPr>
        <sz val="10"/>
        <rFont val="Malgun Gothic"/>
        <family val="0"/>
        <charset val="1"/>
      </rPr>
      <t xml:space="preserve">.</t>
    </r>
  </si>
  <si>
    <t xml:space="preserve">cards.5.direct.week.title</t>
  </si>
  <si>
    <t xml:space="preserve">경험담 세 번 읽고 문장 모으기</t>
  </si>
  <si>
    <t xml:space="preserve">cards.5.direct.week.how</t>
  </si>
  <si>
    <r>
      <rPr>
        <sz val="10"/>
        <rFont val="Noto Sans CJK SC"/>
        <family val="2"/>
      </rPr>
      <t xml:space="preserve">이번 주 고민에 도움이 될 글이나 책의 한 부분을 세 번 읽고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마음에 남은 문장을 한곳에 모아 둬요</t>
    </r>
    <r>
      <rPr>
        <sz val="10"/>
        <rFont val="Malgun Gothic"/>
        <family val="0"/>
        <charset val="1"/>
      </rPr>
      <t xml:space="preserve">.</t>
    </r>
  </si>
  <si>
    <t xml:space="preserve">cards.5.direct.week.time</t>
  </si>
  <si>
    <t xml:space="preserve">cards.5.direct.week.why</t>
  </si>
  <si>
    <r>
      <rPr>
        <sz val="10"/>
        <rFont val="Noto Sans CJK SC"/>
        <family val="2"/>
      </rPr>
      <t xml:space="preserve">검증된 배움에 기대는 시간을 되풀이하면 기댈 곳이 늘어 고민이 가벼워지고 답이 빨리 보여요</t>
    </r>
    <r>
      <rPr>
        <sz val="10"/>
        <rFont val="Malgun Gothic"/>
        <family val="0"/>
        <charset val="1"/>
      </rPr>
      <t xml:space="preserve">.</t>
    </r>
  </si>
  <si>
    <t xml:space="preserve">cards.5.direct.slow_rx.title</t>
  </si>
  <si>
    <t xml:space="preserve">고민을 글로 꺼내 놓기</t>
  </si>
  <si>
    <t xml:space="preserve">cards.5.direct.slow_rx.how</t>
  </si>
  <si>
    <r>
      <rPr>
        <sz val="10"/>
        <rFont val="Noto Sans CJK SC"/>
        <family val="2"/>
      </rPr>
      <t xml:space="preserve">머릿속에서 맴도는 고민을 노트 한 장에 쓰고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마지막에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지금 필요한 것 한 가지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를 적습니다</t>
    </r>
    <r>
      <rPr>
        <sz val="10"/>
        <rFont val="Malgun Gothic"/>
        <family val="0"/>
        <charset val="1"/>
      </rPr>
      <t xml:space="preserve">.</t>
    </r>
  </si>
  <si>
    <t xml:space="preserve">cards.5.direct.slow_rx.why</t>
  </si>
  <si>
    <r>
      <rPr>
        <sz val="10"/>
        <rFont val="Noto Sans CJK SC"/>
        <family val="2"/>
      </rPr>
      <t xml:space="preserve">고민을 혼자 끌어안고 곱씹으면 무게만 커 보이니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글로 꺼내 놓으면 크기가 보여서 답을 찾기 쉬워져요</t>
    </r>
    <r>
      <rPr>
        <sz val="10"/>
        <rFont val="Malgun Gothic"/>
        <family val="0"/>
        <charset val="1"/>
      </rPr>
      <t xml:space="preserve">.</t>
    </r>
  </si>
  <si>
    <t xml:space="preserve">cards.5.direct.three.title</t>
  </si>
  <si>
    <t xml:space="preserve">고민 쓰고 밑줄 치기</t>
  </si>
  <si>
    <t xml:space="preserve">cards.5.direct.three.how</t>
  </si>
  <si>
    <r>
      <rPr>
        <sz val="10"/>
        <rFont val="Noto Sans CJK SC"/>
        <family val="2"/>
      </rPr>
      <t xml:space="preserve">고민을 </t>
    </r>
    <r>
      <rPr>
        <sz val="10"/>
        <rFont val="Malgun Gothic"/>
        <family val="0"/>
        <charset val="1"/>
      </rPr>
      <t xml:space="preserve">15</t>
    </r>
    <r>
      <rPr>
        <sz val="10"/>
        <rFont val="Noto Sans CJK SC"/>
        <family val="2"/>
      </rPr>
      <t xml:space="preserve">분 동안 멈추지 않고 적은 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다시 읽으며 가장 무겁게 느껴지는 문장 하나에 밑줄을 쳐요</t>
    </r>
    <r>
      <rPr>
        <sz val="10"/>
        <rFont val="Malgun Gothic"/>
        <family val="0"/>
        <charset val="1"/>
      </rPr>
      <t xml:space="preserve">.</t>
    </r>
  </si>
  <si>
    <t xml:space="preserve">cards.5.direct.three.time</t>
  </si>
  <si>
    <t xml:space="preserve">cards.5.direct.three.why</t>
  </si>
  <si>
    <r>
      <rPr>
        <sz val="10"/>
        <rFont val="Noto Sans CJK SC"/>
        <family val="2"/>
      </rPr>
      <t xml:space="preserve">혼자 곱씹는 습관은 글로 꺼내 읽을 때 멈추고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무거운 문장 하나가 정해지면 답을 찾을 곳이 보입니다</t>
    </r>
    <r>
      <rPr>
        <sz val="10"/>
        <rFont val="Malgun Gothic"/>
        <family val="0"/>
        <charset val="1"/>
      </rPr>
      <t xml:space="preserve">.</t>
    </r>
  </si>
  <si>
    <t xml:space="preserve">cards.5.reversed.direct.slow_short</t>
  </si>
  <si>
    <t xml:space="preserve">혼자 풀어야 한다는 생각</t>
  </si>
  <si>
    <t xml:space="preserve">cards.5.reversed.direct.key_rx.title</t>
  </si>
  <si>
    <t xml:space="preserve">털어놓고 싶은 말 써 보기</t>
  </si>
  <si>
    <t xml:space="preserve">cards.5.reversed.direct.key_rx.how</t>
  </si>
  <si>
    <r>
      <rPr>
        <sz val="10"/>
        <rFont val="Noto Sans CJK SC"/>
        <family val="2"/>
      </rPr>
      <t xml:space="preserve">누군가에게 있는 그대로 말한다고 생각하고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내 상황과 속마음을 꾸미지 않고 노트에 씁니다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보여 주지 않아도 돼요</t>
    </r>
    <r>
      <rPr>
        <sz val="10"/>
        <rFont val="Malgun Gothic"/>
        <family val="0"/>
        <charset val="1"/>
      </rPr>
      <t xml:space="preserve">.</t>
    </r>
  </si>
  <si>
    <t xml:space="preserve">cards.5.reversed.direct.key_rx.why</t>
  </si>
  <si>
    <r>
      <rPr>
        <sz val="10"/>
        <rFont val="Noto Sans CJK SC"/>
        <family val="2"/>
      </rPr>
      <t xml:space="preserve">내 상황을 솔직하게 말할 수 있는 관계에 마음을 두려면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있는 그대로 털어놓을 말을 먼저 적어 둘 수 있어요</t>
    </r>
    <r>
      <rPr>
        <sz val="10"/>
        <rFont val="Malgun Gothic"/>
        <family val="0"/>
        <charset val="1"/>
      </rPr>
      <t xml:space="preserve">.</t>
    </r>
  </si>
  <si>
    <t xml:space="preserve">cards.5.reversed.direct.today.title</t>
  </si>
  <si>
    <t xml:space="preserve">속마음 다섯 줄 쓰기</t>
  </si>
  <si>
    <t xml:space="preserve">cards.5.reversed.direct.today.how</t>
  </si>
  <si>
    <r>
      <rPr>
        <sz val="10"/>
        <rFont val="Noto Sans CJK SC"/>
        <family val="2"/>
      </rPr>
      <t xml:space="preserve">지금 내 상황을 꾸미지 않고 다섯 줄로 메모장에 적습니다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잘 쓰려 하지 말고 떠오르는 대로 적어요</t>
    </r>
    <r>
      <rPr>
        <sz val="10"/>
        <rFont val="Malgun Gothic"/>
        <family val="0"/>
        <charset val="1"/>
      </rPr>
      <t xml:space="preserve">.</t>
    </r>
  </si>
  <si>
    <t xml:space="preserve">cards.5.reversed.direct.today.time</t>
  </si>
  <si>
    <t xml:space="preserve">cards.5.reversed.direct.today.why</t>
  </si>
  <si>
    <r>
      <rPr>
        <sz val="10"/>
        <rFont val="Noto Sans CJK SC"/>
        <family val="2"/>
      </rPr>
      <t xml:space="preserve">솔직하게 말할 수 있는 관계에 마음을 두는 첫걸음으로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있는 그대로의 상황을 글로 옮겨요</t>
    </r>
    <r>
      <rPr>
        <sz val="10"/>
        <rFont val="Malgun Gothic"/>
        <family val="0"/>
        <charset val="1"/>
      </rPr>
      <t xml:space="preserve">.</t>
    </r>
  </si>
  <si>
    <t xml:space="preserve">cards.5.reversed.direct.week.title</t>
  </si>
  <si>
    <t xml:space="preserve">매일 솔직한 한 장 쓰기</t>
  </si>
  <si>
    <t xml:space="preserve">cards.5.reversed.direct.week.how</t>
  </si>
  <si>
    <r>
      <rPr>
        <sz val="10"/>
        <rFont val="Noto Sans CJK SC"/>
        <family val="2"/>
      </rPr>
      <t xml:space="preserve">이번 주 매일 오늘 상황과 속마음을 꾸미지 않고 한 장씩 써요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주말에 읽으며 반복되는 말을 찾아봅니다</t>
    </r>
    <r>
      <rPr>
        <sz val="10"/>
        <rFont val="Malgun Gothic"/>
        <family val="0"/>
        <charset val="1"/>
      </rPr>
      <t xml:space="preserve">.</t>
    </r>
  </si>
  <si>
    <t xml:space="preserve">cards.5.reversed.direct.week.time</t>
  </si>
  <si>
    <t xml:space="preserve">cards.5.reversed.direct.week.why</t>
  </si>
  <si>
    <r>
      <rPr>
        <sz val="10"/>
        <rFont val="Noto Sans CJK SC"/>
        <family val="2"/>
      </rPr>
      <t xml:space="preserve">있는 그대로 털어놓을 말을 날마다 적으면 혼자일 때 안 보이던 길이 하나씩 보입니다</t>
    </r>
    <r>
      <rPr>
        <sz val="10"/>
        <rFont val="Malgun Gothic"/>
        <family val="0"/>
        <charset val="1"/>
      </rPr>
      <t xml:space="preserve">.</t>
    </r>
  </si>
  <si>
    <t xml:space="preserve">cards.5.reversed.direct.slow_rx.title</t>
  </si>
  <si>
    <t xml:space="preserve">묻고 싶은 질문 적기</t>
  </si>
  <si>
    <t xml:space="preserve">cards.5.reversed.direct.slow_rx.how</t>
  </si>
  <si>
    <r>
      <rPr>
        <sz val="10"/>
        <rFont val="Noto Sans CJK SC"/>
        <family val="2"/>
      </rPr>
      <t xml:space="preserve">혼자 풀기 어려운 부분을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누구에게 묻는다면 무엇을 물을까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라는 질문 형태로 노트에 세 개 적습니다</t>
    </r>
    <r>
      <rPr>
        <sz val="10"/>
        <rFont val="Malgun Gothic"/>
        <family val="0"/>
        <charset val="1"/>
      </rPr>
      <t xml:space="preserve">.</t>
    </r>
  </si>
  <si>
    <t xml:space="preserve">cards.5.reversed.direct.slow_rx.why</t>
  </si>
  <si>
    <r>
      <rPr>
        <sz val="10"/>
        <rFont val="Noto Sans CJK SC"/>
        <family val="2"/>
      </rPr>
      <t xml:space="preserve">혼자 풀어야 한다는 생각에 묻지 않으면 고민이 나만의 것으로 남아 막막해지니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질문으로 적으면 길이 보여요</t>
    </r>
    <r>
      <rPr>
        <sz val="10"/>
        <rFont val="Malgun Gothic"/>
        <family val="0"/>
        <charset val="1"/>
      </rPr>
      <t xml:space="preserve">.</t>
    </r>
  </si>
  <si>
    <t xml:space="preserve">cards.5.reversed.direct.three.title</t>
  </si>
  <si>
    <t xml:space="preserve">질문 세 개 다듬기</t>
  </si>
  <si>
    <t xml:space="preserve">cards.5.reversed.direct.three.how</t>
  </si>
  <si>
    <r>
      <rPr>
        <sz val="10"/>
        <rFont val="Noto Sans CJK SC"/>
        <family val="2"/>
      </rPr>
      <t xml:space="preserve">적어 둔 질문을 소리 내어 읽고 더 구체적으로 고쳐 씁니다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무엇이 막막한지 드러나게 다듬어요</t>
    </r>
    <r>
      <rPr>
        <sz val="10"/>
        <rFont val="Malgun Gothic"/>
        <family val="0"/>
        <charset val="1"/>
      </rPr>
      <t xml:space="preserve">.</t>
    </r>
  </si>
  <si>
    <t xml:space="preserve">cards.5.reversed.direct.three.time</t>
  </si>
  <si>
    <t xml:space="preserve">cards.5.reversed.direct.three.why</t>
  </si>
  <si>
    <r>
      <rPr>
        <sz val="10"/>
        <rFont val="Noto Sans CJK SC"/>
        <family val="2"/>
      </rPr>
      <t xml:space="preserve">묻지 않는 습관은 질문을 구체적으로 다듬을 때 풀려서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혼자 풀어야 한다는 생각이 가벼워져요</t>
    </r>
    <r>
      <rPr>
        <sz val="10"/>
        <rFont val="Malgun Gothic"/>
        <family val="0"/>
        <charset val="1"/>
      </rPr>
      <t xml:space="preserve">.</t>
    </r>
  </si>
  <si>
    <t xml:space="preserve">cards.6.direct.slow_short</t>
  </si>
  <si>
    <t xml:space="preserve">마음과 선택을 계속 저울질하는 습관</t>
  </si>
  <si>
    <t xml:space="preserve">cards.6.direct.key_rx.title</t>
  </si>
  <si>
    <t xml:space="preserve">소중한 가치 세 가지 고르기</t>
  </si>
  <si>
    <t xml:space="preserve">cards.6.direct.key_rx.how</t>
  </si>
  <si>
    <r>
      <rPr>
        <sz val="10"/>
        <rFont val="Noto Sans CJK SC"/>
        <family val="2"/>
      </rPr>
      <t xml:space="preserve">관계와 삶에서 소중한 것을 떠올려 노트에 적고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그중 가장 중요한 세 가지에 동그라미를 쳐요</t>
    </r>
    <r>
      <rPr>
        <sz val="10"/>
        <rFont val="Malgun Gothic"/>
        <family val="0"/>
        <charset val="1"/>
      </rPr>
      <t xml:space="preserve">.</t>
    </r>
  </si>
  <si>
    <t xml:space="preserve">cards.6.direct.key_rx.why</t>
  </si>
  <si>
    <r>
      <rPr>
        <sz val="10"/>
        <rFont val="Noto Sans CJK SC"/>
        <family val="2"/>
      </rPr>
      <t xml:space="preserve">내가 무엇을 소중히 여기는지 확인하는 데 마음을 두면 가치가 또렷해져 관계에서도 선택에서도 같은 방향을 보기 쉬워요</t>
    </r>
    <r>
      <rPr>
        <sz val="10"/>
        <rFont val="Malgun Gothic"/>
        <family val="0"/>
        <charset val="1"/>
      </rPr>
      <t xml:space="preserve">.</t>
    </r>
  </si>
  <si>
    <t xml:space="preserve">cards.6.direct.today.title</t>
  </si>
  <si>
    <t xml:space="preserve">소중한 것 한 문장 쓰기</t>
  </si>
  <si>
    <t xml:space="preserve">cards.6.direct.today.how</t>
  </si>
  <si>
    <r>
      <rPr>
        <sz val="10"/>
        <rFont val="Noto Sans CJK SC"/>
        <family val="2"/>
      </rPr>
      <t xml:space="preserve">지금 내게 가장 소중한 것을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나는 </t>
    </r>
    <r>
      <rPr>
        <sz val="10"/>
        <rFont val="Malgun Gothic"/>
        <family val="0"/>
        <charset val="1"/>
      </rPr>
      <t xml:space="preserve">~</t>
    </r>
    <r>
      <rPr>
        <sz val="10"/>
        <rFont val="Noto Sans CJK SC"/>
        <family val="2"/>
      </rPr>
      <t xml:space="preserve">이 소중하다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한 문장으로 메모장에 적어요</t>
    </r>
    <r>
      <rPr>
        <sz val="10"/>
        <rFont val="Malgun Gothic"/>
        <family val="0"/>
        <charset val="1"/>
      </rPr>
      <t xml:space="preserve">.</t>
    </r>
  </si>
  <si>
    <t xml:space="preserve">cards.6.direct.today.time</t>
  </si>
  <si>
    <t xml:space="preserve">cards.6.direct.today.why</t>
  </si>
  <si>
    <r>
      <rPr>
        <sz val="10"/>
        <rFont val="Noto Sans CJK SC"/>
        <family val="2"/>
      </rPr>
      <t xml:space="preserve">소중히 여기는 것을 확인하는 데 마음을 두는 첫걸음으로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한 문장으로 또렷하게 만들어요</t>
    </r>
    <r>
      <rPr>
        <sz val="10"/>
        <rFont val="Malgun Gothic"/>
        <family val="0"/>
        <charset val="1"/>
      </rPr>
      <t xml:space="preserve">.</t>
    </r>
  </si>
  <si>
    <t xml:space="preserve">cards.6.direct.week.title</t>
  </si>
  <si>
    <t xml:space="preserve">매일 가치 하나 돌아보기</t>
  </si>
  <si>
    <t xml:space="preserve">cards.6.direct.week.how</t>
  </si>
  <si>
    <r>
      <rPr>
        <sz val="10"/>
        <rFont val="Noto Sans CJK SC"/>
        <family val="2"/>
      </rPr>
      <t xml:space="preserve">이번 주 매일 고른 가치 세 가지 중 하나를 정해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오늘 그 가치대로 한 일이 있었는지 저녁에 한 줄 적습니다</t>
    </r>
    <r>
      <rPr>
        <sz val="10"/>
        <rFont val="Malgun Gothic"/>
        <family val="0"/>
        <charset val="1"/>
      </rPr>
      <t xml:space="preserve">.</t>
    </r>
  </si>
  <si>
    <t xml:space="preserve">cards.6.direct.week.time</t>
  </si>
  <si>
    <t xml:space="preserve">cards.6.direct.week.why</t>
  </si>
  <si>
    <r>
      <rPr>
        <sz val="10"/>
        <rFont val="Noto Sans CJK SC"/>
        <family val="2"/>
      </rPr>
      <t xml:space="preserve">소중한 가치를 날마다 확인하면 내 가치가 또렷해져서 선택할 때 같은 방향을 보기 쉬워요</t>
    </r>
    <r>
      <rPr>
        <sz val="10"/>
        <rFont val="Malgun Gothic"/>
        <family val="0"/>
        <charset val="1"/>
      </rPr>
      <t xml:space="preserve">.</t>
    </r>
  </si>
  <si>
    <t xml:space="preserve">cards.6.direct.slow_rx.title</t>
  </si>
  <si>
    <t xml:space="preserve">두 마음 나란히 적기</t>
  </si>
  <si>
    <t xml:space="preserve">cards.6.direct.slow_rx.how</t>
  </si>
  <si>
    <r>
      <rPr>
        <sz val="10"/>
        <rFont val="Noto Sans CJK SC"/>
        <family val="2"/>
      </rPr>
      <t xml:space="preserve">가까워지고 싶은 마음과 내가 원하는 선택을 노트 양쪽에 적고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각각 얻는 것과 잃는 것을 한 줄씩 씁니다</t>
    </r>
    <r>
      <rPr>
        <sz val="10"/>
        <rFont val="Malgun Gothic"/>
        <family val="0"/>
        <charset val="1"/>
      </rPr>
      <t xml:space="preserve">.</t>
    </r>
  </si>
  <si>
    <t xml:space="preserve">cards.6.direct.slow_rx.why</t>
  </si>
  <si>
    <r>
      <rPr>
        <sz val="10"/>
        <rFont val="Noto Sans CJK SC"/>
        <family val="2"/>
      </rPr>
      <t xml:space="preserve">두 마음 사이에서 계속 저울질하면 정하는 일이 미뤄지니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양쪽을 나란히 적으면 어느 쪽이 더 큰지 보여요</t>
    </r>
    <r>
      <rPr>
        <sz val="10"/>
        <rFont val="Malgun Gothic"/>
        <family val="0"/>
        <charset val="1"/>
      </rPr>
      <t xml:space="preserve">.</t>
    </r>
  </si>
  <si>
    <t xml:space="preserve">cards.6.direct.three.title</t>
  </si>
  <si>
    <t xml:space="preserve">저울 기울기 표시하기</t>
  </si>
  <si>
    <t xml:space="preserve">cards.6.direct.three.how</t>
  </si>
  <si>
    <r>
      <rPr>
        <sz val="10"/>
        <rFont val="Noto Sans CJK SC"/>
        <family val="2"/>
      </rPr>
      <t xml:space="preserve">적어 둔 두 마음을 읽고 어느 쪽이 더 무거운지 표시한 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오늘 정할 수 있는 작은 선택 하나를 노트에 적어요</t>
    </r>
    <r>
      <rPr>
        <sz val="10"/>
        <rFont val="Malgun Gothic"/>
        <family val="0"/>
        <charset val="1"/>
      </rPr>
      <t xml:space="preserve">.</t>
    </r>
  </si>
  <si>
    <t xml:space="preserve">cards.6.direct.three.time</t>
  </si>
  <si>
    <t xml:space="preserve">cards.6.direct.three.why</t>
  </si>
  <si>
    <r>
      <rPr>
        <sz val="10"/>
        <rFont val="Noto Sans CJK SC"/>
        <family val="2"/>
      </rPr>
      <t xml:space="preserve">저울질하는 습관은 어느 쪽이 무거운지 표시할 때 멈추고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미루던 관계와 선택이 흐릿해지지 않습니다</t>
    </r>
    <r>
      <rPr>
        <sz val="10"/>
        <rFont val="Malgun Gothic"/>
        <family val="0"/>
        <charset val="1"/>
      </rPr>
      <t xml:space="preserve">.</t>
    </r>
  </si>
  <si>
    <t xml:space="preserve">cards.6.reversed.direct.slow_short</t>
  </si>
  <si>
    <t xml:space="preserve">상대 마음을 짐작만 하는 습관</t>
  </si>
  <si>
    <t xml:space="preserve">cards.6.reversed.direct.key_rx.title</t>
  </si>
  <si>
    <t xml:space="preserve">내가 바라는 것 적기</t>
  </si>
  <si>
    <t xml:space="preserve">cards.6.reversed.direct.key_rx.how</t>
  </si>
  <si>
    <r>
      <rPr>
        <sz val="10"/>
        <rFont val="Noto Sans CJK SC"/>
        <family val="2"/>
      </rPr>
      <t xml:space="preserve">상대 반응은 빼고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이 관계에서 내가 바라는 것을 노트에 세 가지 적어요</t>
    </r>
    <r>
      <rPr>
        <sz val="10"/>
        <rFont val="Malgun Gothic"/>
        <family val="0"/>
        <charset val="1"/>
      </rPr>
      <t xml:space="preserve">. '</t>
    </r>
    <r>
      <rPr>
        <sz val="10"/>
        <rFont val="Noto Sans CJK SC"/>
        <family val="2"/>
      </rPr>
      <t xml:space="preserve">나는 </t>
    </r>
    <r>
      <rPr>
        <sz val="10"/>
        <rFont val="Malgun Gothic"/>
        <family val="0"/>
        <charset val="1"/>
      </rPr>
      <t xml:space="preserve">~</t>
    </r>
    <r>
      <rPr>
        <sz val="10"/>
        <rFont val="Noto Sans CJK SC"/>
        <family val="2"/>
      </rPr>
      <t xml:space="preserve">했으면 좋겠다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로 시작합니다</t>
    </r>
    <r>
      <rPr>
        <sz val="10"/>
        <rFont val="Malgun Gothic"/>
        <family val="0"/>
        <charset val="1"/>
      </rPr>
      <t xml:space="preserve">.</t>
    </r>
  </si>
  <si>
    <t xml:space="preserve">cards.6.reversed.direct.key_rx.why</t>
  </si>
  <si>
    <r>
      <rPr>
        <sz val="10"/>
        <rFont val="Noto Sans CJK SC"/>
        <family val="2"/>
      </rPr>
      <t xml:space="preserve">상대의 반응보다 내가 진짜 바라는 것에 마음을 두면 내 마음이 또렷해져 반응 하나에 크게 흔들리지 않습니다</t>
    </r>
    <r>
      <rPr>
        <sz val="10"/>
        <rFont val="Malgun Gothic"/>
        <family val="0"/>
        <charset val="1"/>
      </rPr>
      <t xml:space="preserve">.</t>
    </r>
  </si>
  <si>
    <t xml:space="preserve">cards.6.reversed.direct.today.title</t>
  </si>
  <si>
    <t xml:space="preserve">바라는 것 한 문장 쓰기</t>
  </si>
  <si>
    <t xml:space="preserve">cards.6.reversed.direct.today.how</t>
  </si>
  <si>
    <r>
      <rPr>
        <sz val="10"/>
        <rFont val="Noto Sans CJK SC"/>
        <family val="2"/>
      </rPr>
      <t xml:space="preserve">이 관계에서 내가 진짜 바라는 것을 상대 반응은 빼고 한 문장으로 메모장에 적어요</t>
    </r>
    <r>
      <rPr>
        <sz val="10"/>
        <rFont val="Malgun Gothic"/>
        <family val="0"/>
        <charset val="1"/>
      </rPr>
      <t xml:space="preserve">.</t>
    </r>
  </si>
  <si>
    <t xml:space="preserve">cards.6.reversed.direct.today.time</t>
  </si>
  <si>
    <t xml:space="preserve">cards.6.reversed.direct.today.why</t>
  </si>
  <si>
    <r>
      <rPr>
        <sz val="10"/>
        <rFont val="Noto Sans CJK SC"/>
        <family val="2"/>
      </rPr>
      <t xml:space="preserve">내가 바라는 것에 마음을 두는 첫걸음으로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상대 반응과 상관없이 내 마음을 한 문장으로 만들어요</t>
    </r>
    <r>
      <rPr>
        <sz val="10"/>
        <rFont val="Malgun Gothic"/>
        <family val="0"/>
        <charset val="1"/>
      </rPr>
      <t xml:space="preserve">.</t>
    </r>
  </si>
  <si>
    <t xml:space="preserve">cards.6.reversed.direct.week.title</t>
  </si>
  <si>
    <t xml:space="preserve">매일 바람 다시 읽기</t>
  </si>
  <si>
    <t xml:space="preserve">cards.6.reversed.direct.week.how</t>
  </si>
  <si>
    <r>
      <rPr>
        <sz val="10"/>
        <rFont val="Noto Sans CJK SC"/>
        <family val="2"/>
      </rPr>
      <t xml:space="preserve">이번 주 매일 적어 둔 바람을 읽고 오늘도 같은지 확인해요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달라졌다면 고쳐 적습니다</t>
    </r>
    <r>
      <rPr>
        <sz val="10"/>
        <rFont val="Malgun Gothic"/>
        <family val="0"/>
        <charset val="1"/>
      </rPr>
      <t xml:space="preserve">.</t>
    </r>
  </si>
  <si>
    <t xml:space="preserve">cards.6.reversed.direct.week.time</t>
  </si>
  <si>
    <t xml:space="preserve">cards.6.reversed.direct.week.why</t>
  </si>
  <si>
    <r>
      <rPr>
        <sz val="10"/>
        <rFont val="Noto Sans CJK SC"/>
        <family val="2"/>
      </rPr>
      <t xml:space="preserve">내가 바라는 것을 날마다 확인하면 마음이 또렷해져서 반응 하나에 덜 흔들리고 진심을 지키기 쉽습니다</t>
    </r>
    <r>
      <rPr>
        <sz val="10"/>
        <rFont val="Malgun Gothic"/>
        <family val="0"/>
        <charset val="1"/>
      </rPr>
      <t xml:space="preserve">.</t>
    </r>
  </si>
  <si>
    <t xml:space="preserve">cards.6.reversed.direct.slow_rx.title</t>
  </si>
  <si>
    <t xml:space="preserve">짐작과 사실 나누기</t>
  </si>
  <si>
    <t xml:space="preserve">cards.6.reversed.direct.slow_rx.how</t>
  </si>
  <si>
    <r>
      <rPr>
        <sz val="10"/>
        <rFont val="Noto Sans CJK SC"/>
        <family val="2"/>
      </rPr>
      <t xml:space="preserve">상대에 대해 짐작한 것과 실제로 있었던 일을 노트 두 칸으로 나눠 적습니다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짐작 칸에는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확인 안 됨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이라고 써요</t>
    </r>
    <r>
      <rPr>
        <sz val="10"/>
        <rFont val="Malgun Gothic"/>
        <family val="0"/>
        <charset val="1"/>
      </rPr>
      <t xml:space="preserve">.</t>
    </r>
  </si>
  <si>
    <t xml:space="preserve">cards.6.reversed.direct.slow_rx.why</t>
  </si>
  <si>
    <r>
      <rPr>
        <sz val="10"/>
        <rFont val="Noto Sans CJK SC"/>
        <family val="2"/>
      </rPr>
      <t xml:space="preserve">상대 마음을 짐작만 하고 확인을 미루면 엇갈린 채 시간이 흐르니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짐작과 사실을 나누면 빠진 것이 보여요</t>
    </r>
    <r>
      <rPr>
        <sz val="10"/>
        <rFont val="Malgun Gothic"/>
        <family val="0"/>
        <charset val="1"/>
      </rPr>
      <t xml:space="preserve">.</t>
    </r>
  </si>
  <si>
    <t xml:space="preserve">cards.6.reversed.direct.three.title</t>
  </si>
  <si>
    <t xml:space="preserve">짐작 칸 줄이기</t>
  </si>
  <si>
    <t xml:space="preserve">cards.6.reversed.direct.three.how</t>
  </si>
  <si>
    <r>
      <rPr>
        <sz val="10"/>
        <rFont val="Noto Sans CJK SC"/>
        <family val="2"/>
      </rPr>
      <t xml:space="preserve">짐작 칸의 내용을 하나씩 읽고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정말 그런가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를 물으며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근거가 없는 것에 줄을 그어요</t>
    </r>
    <r>
      <rPr>
        <sz val="10"/>
        <rFont val="Malgun Gothic"/>
        <family val="0"/>
        <charset val="1"/>
      </rPr>
      <t xml:space="preserve">.</t>
    </r>
  </si>
  <si>
    <t xml:space="preserve">cards.6.reversed.direct.three.time</t>
  </si>
  <si>
    <t xml:space="preserve">cards.6.reversed.direct.three.why</t>
  </si>
  <si>
    <r>
      <rPr>
        <sz val="10"/>
        <rFont val="Noto Sans CJK SC"/>
        <family val="2"/>
      </rPr>
      <t xml:space="preserve">상대 마음을 짐작만 하는 습관은 근거 없는 짐작을 지울 때 줄고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엇갈리는 일이 적어집니다</t>
    </r>
    <r>
      <rPr>
        <sz val="10"/>
        <rFont val="Malgun Gothic"/>
        <family val="0"/>
        <charset val="1"/>
      </rPr>
      <t xml:space="preserve">.</t>
    </r>
  </si>
  <si>
    <t xml:space="preserve">cards.7.direct.slow_short</t>
  </si>
  <si>
    <t xml:space="preserve">방향이 나뉜 채 계속 애쓰는 것</t>
  </si>
  <si>
    <t xml:space="preserve">cards.7.direct.key_rx.title</t>
  </si>
  <si>
    <t xml:space="preserve">가고 싶은 방향 한 줄 쓰기</t>
  </si>
  <si>
    <t xml:space="preserve">cards.7.direct.key_rx.how</t>
  </si>
  <si>
    <r>
      <rPr>
        <sz val="10"/>
        <rFont val="Noto Sans CJK SC"/>
        <family val="2"/>
      </rPr>
      <t xml:space="preserve">가고 싶은 방향을 한 줄로 노트에 쓰고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 옆에 요즘 잘 풀리고 있는 일 하나를 함께 적습니다</t>
    </r>
    <r>
      <rPr>
        <sz val="10"/>
        <rFont val="Malgun Gothic"/>
        <family val="0"/>
        <charset val="1"/>
      </rPr>
      <t xml:space="preserve">.</t>
    </r>
  </si>
  <si>
    <t xml:space="preserve">cards.7.direct.key_rx.why</t>
  </si>
  <si>
    <r>
      <rPr>
        <sz val="10"/>
        <rFont val="Noto Sans CJK SC"/>
        <family val="2"/>
      </rPr>
      <t xml:space="preserve">가고 싶은 방향 하나와 이미 잘 풀리는 흐름에 마음을 두면 덜 애쓰고도 멀리 갈 수 있어요</t>
    </r>
    <r>
      <rPr>
        <sz val="10"/>
        <rFont val="Malgun Gothic"/>
        <family val="0"/>
        <charset val="1"/>
      </rPr>
      <t xml:space="preserve">.</t>
    </r>
  </si>
  <si>
    <t xml:space="preserve">cards.7.direct.today.title</t>
  </si>
  <si>
    <t xml:space="preserve">방향 한 줄과 잘 풀린 일</t>
  </si>
  <si>
    <t xml:space="preserve">cards.7.direct.today.how</t>
  </si>
  <si>
    <r>
      <rPr>
        <sz val="10"/>
        <rFont val="Noto Sans CJK SC"/>
        <family val="2"/>
      </rPr>
      <t xml:space="preserve">메모장에 가고 싶은 방향을 한 줄 쓰고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요즘 잘 풀리고 있는 일 하나를 그 아래에 적습니다</t>
    </r>
    <r>
      <rPr>
        <sz val="10"/>
        <rFont val="Malgun Gothic"/>
        <family val="0"/>
        <charset val="1"/>
      </rPr>
      <t xml:space="preserve">.</t>
    </r>
  </si>
  <si>
    <t xml:space="preserve">cards.7.direct.today.time</t>
  </si>
  <si>
    <t xml:space="preserve">cards.7.direct.today.why</t>
  </si>
  <si>
    <r>
      <rPr>
        <sz val="10"/>
        <rFont val="Noto Sans CJK SC"/>
        <family val="2"/>
      </rPr>
      <t xml:space="preserve">방향 하나와 잘 풀리는 흐름에 마음을 두는 첫걸음으로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둘을 한 화면에 나란히 놓아요</t>
    </r>
    <r>
      <rPr>
        <sz val="10"/>
        <rFont val="Malgun Gothic"/>
        <family val="0"/>
        <charset val="1"/>
      </rPr>
      <t xml:space="preserve">.</t>
    </r>
  </si>
  <si>
    <t xml:space="preserve">cards.7.direct.week.title</t>
  </si>
  <si>
    <t xml:space="preserve">매일 아침 방향 확인</t>
  </si>
  <si>
    <t xml:space="preserve">cards.7.direct.week.how</t>
  </si>
  <si>
    <r>
      <rPr>
        <sz val="10"/>
        <rFont val="Noto Sans CJK SC"/>
        <family val="2"/>
      </rPr>
      <t xml:space="preserve">이번 주 매일 아침 적어 둔 방향을 읽고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오늘 할 일 중 그 방향과 이어진 일 하나와 잘 풀리는 일 하나를 골라요</t>
    </r>
    <r>
      <rPr>
        <sz val="10"/>
        <rFont val="Malgun Gothic"/>
        <family val="0"/>
        <charset val="1"/>
      </rPr>
      <t xml:space="preserve">.</t>
    </r>
  </si>
  <si>
    <t xml:space="preserve">cards.7.direct.week.time</t>
  </si>
  <si>
    <t xml:space="preserve">cards.7.direct.week.why</t>
  </si>
  <si>
    <r>
      <rPr>
        <sz val="10"/>
        <rFont val="Noto Sans CJK SC"/>
        <family val="2"/>
      </rPr>
      <t xml:space="preserve">방향과 잘 풀리는 흐름을 날마다 확인하면 힘을 실을 곳이 정해져 덜 애쓰고도 멀리 갑니다</t>
    </r>
    <r>
      <rPr>
        <sz val="10"/>
        <rFont val="Malgun Gothic"/>
        <family val="0"/>
        <charset val="1"/>
      </rPr>
      <t xml:space="preserve">.</t>
    </r>
  </si>
  <si>
    <t xml:space="preserve">cards.7.direct.slow_rx.title</t>
  </si>
  <si>
    <t xml:space="preserve">방향 하나만 남기기</t>
  </si>
  <si>
    <t xml:space="preserve">cards.7.direct.slow_rx.how</t>
  </si>
  <si>
    <r>
      <rPr>
        <sz val="10"/>
        <rFont val="Noto Sans CJK SC"/>
        <family val="2"/>
      </rPr>
      <t xml:space="preserve">가고 싶은 방향 후보를 모두 노트에 적고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이번 달에 힘을 실을 하나만 남긴 뒤 나머지는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나중에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칸으로 옮깁니다</t>
    </r>
    <r>
      <rPr>
        <sz val="10"/>
        <rFont val="Malgun Gothic"/>
        <family val="0"/>
        <charset val="1"/>
      </rPr>
      <t xml:space="preserve">.</t>
    </r>
  </si>
  <si>
    <t xml:space="preserve">cards.7.direct.slow_rx.why</t>
  </si>
  <si>
    <r>
      <rPr>
        <sz val="10"/>
        <rFont val="Noto Sans CJK SC"/>
        <family val="2"/>
      </rPr>
      <t xml:space="preserve">방향이 여러 곳으로 나뉘면 힘이 모이지 않아 앞으로 가는 만큼이 줄어드니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하나만 남기면 힘이 모여요</t>
    </r>
    <r>
      <rPr>
        <sz val="10"/>
        <rFont val="Malgun Gothic"/>
        <family val="0"/>
        <charset val="1"/>
      </rPr>
      <t xml:space="preserve">.</t>
    </r>
  </si>
  <si>
    <t xml:space="preserve">cards.7.direct.three.title</t>
  </si>
  <si>
    <t xml:space="preserve">후보 중 하나 고르기</t>
  </si>
  <si>
    <t xml:space="preserve">cards.7.direct.three.how</t>
  </si>
  <si>
    <r>
      <rPr>
        <sz val="10"/>
        <rFont val="Noto Sans CJK SC"/>
        <family val="2"/>
      </rPr>
      <t xml:space="preserve">적어 둔 방향 후보를 보며 </t>
    </r>
    <r>
      <rPr>
        <sz val="10"/>
        <rFont val="Malgun Gothic"/>
        <family val="0"/>
        <charset val="1"/>
      </rPr>
      <t xml:space="preserve">'1</t>
    </r>
    <r>
      <rPr>
        <sz val="10"/>
        <rFont val="Noto Sans CJK SC"/>
        <family val="2"/>
      </rPr>
      <t xml:space="preserve">년 뒤에도 하고 싶을까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를 묻고 하나를 고른 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이번 주 첫 행동을 한 줄 씁니다</t>
    </r>
    <r>
      <rPr>
        <sz val="10"/>
        <rFont val="Malgun Gothic"/>
        <family val="0"/>
        <charset val="1"/>
      </rPr>
      <t xml:space="preserve">.</t>
    </r>
  </si>
  <si>
    <t xml:space="preserve">cards.7.direct.three.time</t>
  </si>
  <si>
    <t xml:space="preserve">cards.7.direct.three.why</t>
  </si>
  <si>
    <r>
      <rPr>
        <sz val="10"/>
        <rFont val="Noto Sans CJK SC"/>
        <family val="2"/>
      </rPr>
      <t xml:space="preserve">방향이 나뉜 채 애쓰는 일은 후보를 하나로 줄일 때 멈추고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힘이 한 곳으로 모여 가는 만큼이 늘어요</t>
    </r>
    <r>
      <rPr>
        <sz val="10"/>
        <rFont val="Malgun Gothic"/>
        <family val="0"/>
        <charset val="1"/>
      </rPr>
      <t xml:space="preserve">.</t>
    </r>
  </si>
  <si>
    <t xml:space="preserve">cards.7.reversed.direct.slow_short</t>
  </si>
  <si>
    <t xml:space="preserve">속도부터 올리려는 조급함</t>
  </si>
  <si>
    <t xml:space="preserve">cards.7.reversed.direct.key_rx.title</t>
  </si>
  <si>
    <t xml:space="preserve">가고 싶은 곳 다시 쓰기</t>
  </si>
  <si>
    <t xml:space="preserve">cards.7.reversed.direct.key_rx.how</t>
  </si>
  <si>
    <r>
      <rPr>
        <sz val="10"/>
        <rFont val="Noto Sans CJK SC"/>
        <family val="2"/>
      </rPr>
      <t xml:space="preserve">속도를 올리기 전에 잠시 멈추고 지금 가고 싶은 곳을 노트에 한 문장으로 새로 씁니다</t>
    </r>
    <r>
      <rPr>
        <sz val="10"/>
        <rFont val="Malgun Gothic"/>
        <family val="0"/>
        <charset val="1"/>
      </rPr>
      <t xml:space="preserve">.</t>
    </r>
  </si>
  <si>
    <t xml:space="preserve">cards.7.reversed.direct.key_rx.why</t>
  </si>
  <si>
    <r>
      <rPr>
        <sz val="10"/>
        <rFont val="Noto Sans CJK SC"/>
        <family val="2"/>
      </rPr>
      <t xml:space="preserve">속도보다 지금 어디로 가고 싶은지 다시 짚는 데 마음을 두면 방향이 하나로 정해져 앞으로 가는 느낌을 되찾아요</t>
    </r>
    <r>
      <rPr>
        <sz val="10"/>
        <rFont val="Malgun Gothic"/>
        <family val="0"/>
        <charset val="1"/>
      </rPr>
      <t xml:space="preserve">.</t>
    </r>
  </si>
  <si>
    <t xml:space="preserve">cards.7.reversed.direct.today.title</t>
  </si>
  <si>
    <t xml:space="preserve">멈추고 한 문장 쓰기</t>
  </si>
  <si>
    <t xml:space="preserve">cards.7.reversed.direct.today.how</t>
  </si>
  <si>
    <r>
      <rPr>
        <sz val="10"/>
        <rFont val="Noto Sans CJK SC"/>
        <family val="2"/>
      </rPr>
      <t xml:space="preserve">하던 일을 잠시 멈추고 지금 가고 싶은 곳을 한 문장으로 메모장에 적습니다</t>
    </r>
    <r>
      <rPr>
        <sz val="10"/>
        <rFont val="Malgun Gothic"/>
        <family val="0"/>
        <charset val="1"/>
      </rPr>
      <t xml:space="preserve">.</t>
    </r>
  </si>
  <si>
    <t xml:space="preserve">cards.7.reversed.direct.today.time</t>
  </si>
  <si>
    <t xml:space="preserve">cards.7.reversed.direct.today.why</t>
  </si>
  <si>
    <r>
      <rPr>
        <sz val="10"/>
        <rFont val="Noto Sans CJK SC"/>
        <family val="2"/>
      </rPr>
      <t xml:space="preserve">어디로 가고 싶은지 다시 짚는 데 마음을 두면 </t>
    </r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분의 멈춤으로도 방향이 하나로 모여요</t>
    </r>
    <r>
      <rPr>
        <sz val="10"/>
        <rFont val="Malgun Gothic"/>
        <family val="0"/>
        <charset val="1"/>
      </rPr>
      <t xml:space="preserve">.</t>
    </r>
  </si>
  <si>
    <t xml:space="preserve">cards.7.reversed.direct.week.title</t>
  </si>
  <si>
    <t xml:space="preserve">매일 아침 방향 점검</t>
  </si>
  <si>
    <t xml:space="preserve">cards.7.reversed.direct.week.how</t>
  </si>
  <si>
    <r>
      <rPr>
        <sz val="10"/>
        <rFont val="Noto Sans CJK SC"/>
        <family val="2"/>
      </rPr>
      <t xml:space="preserve">이번 주 매일 아침 일을 시작하기 전에 적은 문장을 읽고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오늘 할 일이 그 방향과 맞는지 확인합니다</t>
    </r>
    <r>
      <rPr>
        <sz val="10"/>
        <rFont val="Malgun Gothic"/>
        <family val="0"/>
        <charset val="1"/>
      </rPr>
      <t xml:space="preserve">.</t>
    </r>
  </si>
  <si>
    <t xml:space="preserve">cards.7.reversed.direct.week.time</t>
  </si>
  <si>
    <t xml:space="preserve">cards.7.reversed.direct.week.why</t>
  </si>
  <si>
    <r>
      <rPr>
        <sz val="10"/>
        <rFont val="Noto Sans CJK SC"/>
        <family val="2"/>
      </rPr>
      <t xml:space="preserve">가고 싶은 곳을 날마다 다시 짚으면 방향이 하나로 유지되어 같은 힘으로도 앞으로 가는 느낌이 커져요</t>
    </r>
    <r>
      <rPr>
        <sz val="10"/>
        <rFont val="Malgun Gothic"/>
        <family val="0"/>
        <charset val="1"/>
      </rPr>
      <t xml:space="preserve">.</t>
    </r>
  </si>
  <si>
    <t xml:space="preserve">cards.7.reversed.direct.slow_rx.title</t>
  </si>
  <si>
    <t xml:space="preserve">속도 올리기 전 방향 확인</t>
  </si>
  <si>
    <t xml:space="preserve">cards.7.reversed.direct.slow_rx.how</t>
  </si>
  <si>
    <r>
      <rPr>
        <sz val="10"/>
        <rFont val="Noto Sans CJK SC"/>
        <family val="2"/>
      </rPr>
      <t xml:space="preserve">조급해지면 일을 멈추고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이 일이 내가 가려는 곳에 닿는가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를 노트에 답합니다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아니라면 그 일은 잠시 미뤄요</t>
    </r>
    <r>
      <rPr>
        <sz val="10"/>
        <rFont val="Malgun Gothic"/>
        <family val="0"/>
        <charset val="1"/>
      </rPr>
      <t xml:space="preserve">.</t>
    </r>
  </si>
  <si>
    <t xml:space="preserve">cards.7.reversed.direct.slow_rx.why</t>
  </si>
  <si>
    <r>
      <rPr>
        <sz val="10"/>
        <rFont val="Noto Sans CJK SC"/>
        <family val="2"/>
      </rPr>
      <t xml:space="preserve">방향을 살피지 않고 애쓰면 힘만 빠지고 제자리에 머무니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속도를 올리기 전에 방향부터 점검해요</t>
    </r>
    <r>
      <rPr>
        <sz val="10"/>
        <rFont val="Malgun Gothic"/>
        <family val="0"/>
        <charset val="1"/>
      </rPr>
      <t xml:space="preserve">.</t>
    </r>
  </si>
  <si>
    <t xml:space="preserve">cards.7.reversed.direct.three.title</t>
  </si>
  <si>
    <t xml:space="preserve">방향 확인표 만들기</t>
  </si>
  <si>
    <t xml:space="preserve">cards.7.reversed.direct.three.how</t>
  </si>
  <si>
    <r>
      <rPr>
        <sz val="10"/>
        <rFont val="Noto Sans CJK SC"/>
        <family val="2"/>
      </rPr>
      <t xml:space="preserve">이번 주에 쓴 시간을 적고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가고 싶은 곳으로 이어진 일에는 동그라미를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아닌 일에는 세모를 쳐요</t>
    </r>
    <r>
      <rPr>
        <sz val="10"/>
        <rFont val="Malgun Gothic"/>
        <family val="0"/>
        <charset val="1"/>
      </rPr>
      <t xml:space="preserve">.</t>
    </r>
  </si>
  <si>
    <t xml:space="preserve">cards.7.reversed.direct.three.time</t>
  </si>
  <si>
    <t xml:space="preserve">cards.7.reversed.direct.three.why</t>
  </si>
  <si>
    <r>
      <rPr>
        <sz val="10"/>
        <rFont val="Noto Sans CJK SC"/>
        <family val="2"/>
      </rPr>
      <t xml:space="preserve">속도부터 올리려는 조급함은 애쓴 일을 방향별로 나눠 볼 때 가라앉고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힘이 실릴 곳이 보여요</t>
    </r>
    <r>
      <rPr>
        <sz val="10"/>
        <rFont val="Malgun Gothic"/>
        <family val="0"/>
        <charset val="1"/>
      </rPr>
      <t xml:space="preserve">.</t>
    </r>
  </si>
  <si>
    <t xml:space="preserve">cards.8.direct.slow_short</t>
  </si>
  <si>
    <t xml:space="preserve">불편한 감정을 밀어내는 습관</t>
  </si>
  <si>
    <t xml:space="preserve">cards.8.direct.key_rx.title</t>
  </si>
  <si>
    <t xml:space="preserve">불편한 감정 그대로 적기</t>
  </si>
  <si>
    <t xml:space="preserve">cards.8.direct.key_rx.how</t>
  </si>
  <si>
    <r>
      <rPr>
        <sz val="10"/>
        <rFont val="Noto Sans CJK SC"/>
        <family val="2"/>
      </rPr>
      <t xml:space="preserve">지금 불편한 감정을 고치려 하지 말고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지금 나는 </t>
    </r>
    <r>
      <rPr>
        <sz val="10"/>
        <rFont val="Malgun Gothic"/>
        <family val="0"/>
        <charset val="1"/>
      </rPr>
      <t xml:space="preserve">~</t>
    </r>
    <r>
      <rPr>
        <sz val="10"/>
        <rFont val="Noto Sans CJK SC"/>
        <family val="2"/>
      </rPr>
      <t xml:space="preserve">을 느낀다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라는 문장으로 노트에 그대로 적습니다</t>
    </r>
    <r>
      <rPr>
        <sz val="10"/>
        <rFont val="Malgun Gothic"/>
        <family val="0"/>
        <charset val="1"/>
      </rPr>
      <t xml:space="preserve">.</t>
    </r>
  </si>
  <si>
    <t xml:space="preserve">cards.8.direct.key_rx.why</t>
  </si>
  <si>
    <r>
      <rPr>
        <sz val="10"/>
        <rFont val="Noto Sans CJK SC"/>
        <family val="2"/>
      </rPr>
      <t xml:space="preserve">불편한 감정을 없애기보다 그대로 인정해 주는 데 마음을 두면 감정을 곁에 둘 수 있어 마음이 단단해져요</t>
    </r>
    <r>
      <rPr>
        <sz val="10"/>
        <rFont val="Malgun Gothic"/>
        <family val="0"/>
        <charset val="1"/>
      </rPr>
      <t xml:space="preserve">.</t>
    </r>
  </si>
  <si>
    <t xml:space="preserve">cards.8.direct.today.title</t>
  </si>
  <si>
    <t xml:space="preserve">감정 인정하는 한 줄</t>
  </si>
  <si>
    <t xml:space="preserve">cards.8.direct.today.how</t>
  </si>
  <si>
    <r>
      <rPr>
        <sz val="10"/>
        <rFont val="Noto Sans CJK SC"/>
        <family val="2"/>
      </rPr>
      <t xml:space="preserve">지금 느끼는 불편한 감정에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그럴 수 있어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라고 한 줄 덧붙여 메모장에 적습니다</t>
    </r>
    <r>
      <rPr>
        <sz val="10"/>
        <rFont val="Malgun Gothic"/>
        <family val="0"/>
        <charset val="1"/>
      </rPr>
      <t xml:space="preserve">.</t>
    </r>
  </si>
  <si>
    <t xml:space="preserve">cards.8.direct.today.time</t>
  </si>
  <si>
    <t xml:space="preserve">cards.8.direct.today.why</t>
  </si>
  <si>
    <r>
      <rPr>
        <sz val="10"/>
        <rFont val="Noto Sans CJK SC"/>
        <family val="2"/>
      </rPr>
      <t xml:space="preserve">불편한 감정을 인정하는 데 마음을 두는 첫걸음으로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없애려 하지 않고 한 줄로 받아 줘요</t>
    </r>
    <r>
      <rPr>
        <sz val="10"/>
        <rFont val="Malgun Gothic"/>
        <family val="0"/>
        <charset val="1"/>
      </rPr>
      <t xml:space="preserve">.</t>
    </r>
  </si>
  <si>
    <t xml:space="preserve">cards.8.direct.week.title</t>
  </si>
  <si>
    <t xml:space="preserve">하루 한 번 감정 인정하기</t>
  </si>
  <si>
    <t xml:space="preserve">cards.8.direct.week.how</t>
  </si>
  <si>
    <r>
      <rPr>
        <sz val="10"/>
        <rFont val="Noto Sans CJK SC"/>
        <family val="2"/>
      </rPr>
      <t xml:space="preserve">이번 주 매일 불편한 감정이 올라올 때마다 그 감정을 문장으로 적고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그럴 수 있어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라고 덧붙여요</t>
    </r>
    <r>
      <rPr>
        <sz val="10"/>
        <rFont val="Malgun Gothic"/>
        <family val="0"/>
        <charset val="1"/>
      </rPr>
      <t xml:space="preserve">.</t>
    </r>
  </si>
  <si>
    <t xml:space="preserve">cards.8.direct.week.time</t>
  </si>
  <si>
    <t xml:space="preserve">cards.8.direct.week.why</t>
  </si>
  <si>
    <r>
      <rPr>
        <sz val="10"/>
        <rFont val="Noto Sans CJK SC"/>
        <family val="2"/>
      </rPr>
      <t xml:space="preserve">불편한 감정을 인정하는 일을 되풀이하면 감정을 곁에 두는 힘이 길러져 마음이 단단해져요</t>
    </r>
    <r>
      <rPr>
        <sz val="10"/>
        <rFont val="Malgun Gothic"/>
        <family val="0"/>
        <charset val="1"/>
      </rPr>
      <t xml:space="preserve">.</t>
    </r>
  </si>
  <si>
    <t xml:space="preserve">cards.8.direct.slow_rx.title</t>
  </si>
  <si>
    <r>
      <rPr>
        <sz val="10"/>
        <rFont val="Noto Sans CJK SC"/>
        <family val="2"/>
      </rPr>
      <t xml:space="preserve">밀어내지 않고 </t>
    </r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분 앉기</t>
    </r>
  </si>
  <si>
    <t xml:space="preserve">cards.8.direct.slow_rx.how</t>
  </si>
  <si>
    <r>
      <rPr>
        <sz val="10"/>
        <rFont val="Noto Sans CJK SC"/>
        <family val="2"/>
      </rPr>
      <t xml:space="preserve">불편한 감정이 올라오면 지우려 하지 말고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타이머 </t>
    </r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분 동안 그 감정이 몸 어디에 있는지만 살펴봐요</t>
    </r>
    <r>
      <rPr>
        <sz val="10"/>
        <rFont val="Malgun Gothic"/>
        <family val="0"/>
        <charset val="1"/>
      </rPr>
      <t xml:space="preserve">.</t>
    </r>
  </si>
  <si>
    <t xml:space="preserve">cards.8.direct.slow_rx.why</t>
  </si>
  <si>
    <r>
      <rPr>
        <sz val="10"/>
        <rFont val="Noto Sans CJK SC"/>
        <family val="2"/>
      </rPr>
      <t xml:space="preserve">불편한 감정을 밀어낼수록 더 자주 떠올라 힘을 쓰게 되니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밀어내지 않고 지켜보면 싸우는 힘이 줄어요</t>
    </r>
    <r>
      <rPr>
        <sz val="10"/>
        <rFont val="Malgun Gothic"/>
        <family val="0"/>
        <charset val="1"/>
      </rPr>
      <t xml:space="preserve">.</t>
    </r>
  </si>
  <si>
    <t xml:space="preserve">cards.8.direct.three.title</t>
  </si>
  <si>
    <r>
      <rPr>
        <sz val="10"/>
        <rFont val="Noto Sans CJK SC"/>
        <family val="2"/>
      </rPr>
      <t xml:space="preserve">감정 </t>
    </r>
    <r>
      <rPr>
        <sz val="10"/>
        <rFont val="Malgun Gothic"/>
        <family val="0"/>
        <charset val="1"/>
      </rPr>
      <t xml:space="preserve">10</t>
    </r>
    <r>
      <rPr>
        <sz val="10"/>
        <rFont val="Noto Sans CJK SC"/>
        <family val="2"/>
      </rPr>
      <t xml:space="preserve">분 지켜보기</t>
    </r>
  </si>
  <si>
    <t xml:space="preserve">cards.8.direct.three.how</t>
  </si>
  <si>
    <r>
      <rPr>
        <sz val="10"/>
        <rFont val="Noto Sans CJK SC"/>
        <family val="2"/>
      </rPr>
      <t xml:space="preserve">불편한 감정 하나를 정해 </t>
    </r>
    <r>
      <rPr>
        <sz val="10"/>
        <rFont val="Malgun Gothic"/>
        <family val="0"/>
        <charset val="1"/>
      </rPr>
      <t xml:space="preserve">10</t>
    </r>
    <r>
      <rPr>
        <sz val="10"/>
        <rFont val="Noto Sans CJK SC"/>
        <family val="2"/>
      </rPr>
      <t xml:space="preserve">분 동안 밀어내지 않고 지켜보며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커졌다 작아지는 변화를 노트에 적습니다</t>
    </r>
    <r>
      <rPr>
        <sz val="10"/>
        <rFont val="Malgun Gothic"/>
        <family val="0"/>
        <charset val="1"/>
      </rPr>
      <t xml:space="preserve">.</t>
    </r>
  </si>
  <si>
    <t xml:space="preserve">cards.8.direct.three.time</t>
  </si>
  <si>
    <t xml:space="preserve">cards.8.direct.three.why</t>
  </si>
  <si>
    <r>
      <rPr>
        <sz val="10"/>
        <rFont val="Noto Sans CJK SC"/>
        <family val="2"/>
      </rPr>
      <t xml:space="preserve">불편한 감정을 밀어내는 습관은 지켜볼 때 풀리고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감정과 싸우는 데 쓰던 하루의 힘이 남아요</t>
    </r>
    <r>
      <rPr>
        <sz val="10"/>
        <rFont val="Malgun Gothic"/>
        <family val="0"/>
        <charset val="1"/>
      </rPr>
      <t xml:space="preserve">.</t>
    </r>
  </si>
  <si>
    <t xml:space="preserve">cards.8.reversed.direct.slow_short</t>
  </si>
  <si>
    <t xml:space="preserve">버거운 것을 그냥 참는 습관</t>
  </si>
  <si>
    <t xml:space="preserve">cards.8.reversed.direct.key_rx.title</t>
  </si>
  <si>
    <t xml:space="preserve">내 무게 꺼내 적기</t>
  </si>
  <si>
    <t xml:space="preserve">cards.8.reversed.direct.key_rx.how</t>
  </si>
  <si>
    <r>
      <rPr>
        <sz val="10"/>
        <rFont val="Noto Sans CJK SC"/>
        <family val="2"/>
      </rPr>
      <t xml:space="preserve">요즘 혼자 지고 있는 일을 노트에 모두 꺼내 적고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그중 가장 무거운 것에 동그라미를 쳐요</t>
    </r>
    <r>
      <rPr>
        <sz val="10"/>
        <rFont val="Malgun Gothic"/>
        <family val="0"/>
        <charset val="1"/>
      </rPr>
      <t xml:space="preserve">.</t>
    </r>
  </si>
  <si>
    <t xml:space="preserve">cards.8.reversed.direct.key_rx.why</t>
  </si>
  <si>
    <r>
      <rPr>
        <sz val="10"/>
        <rFont val="Noto Sans CJK SC"/>
        <family val="2"/>
      </rPr>
      <t xml:space="preserve">내 무게를 나눠 지는 데 마음을 두면 불편한 마음을 밖으로 꺼낼 수 있어 같은 일도 훨씬 덜 무겁게 느껴집니다</t>
    </r>
    <r>
      <rPr>
        <sz val="10"/>
        <rFont val="Malgun Gothic"/>
        <family val="0"/>
        <charset val="1"/>
      </rPr>
      <t xml:space="preserve">.</t>
    </r>
  </si>
  <si>
    <t xml:space="preserve">cards.8.reversed.direct.today.title</t>
  </si>
  <si>
    <t xml:space="preserve">버거운 일 한 가지 적기</t>
  </si>
  <si>
    <t xml:space="preserve">cards.8.reversed.direct.today.how</t>
  </si>
  <si>
    <r>
      <rPr>
        <sz val="10"/>
        <rFont val="Noto Sans CJK SC"/>
        <family val="2"/>
      </rPr>
      <t xml:space="preserve">지금 가장 버거운 일 한 가지를 메모장에 적고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어떤 점이 버거운지 한 줄 덧붙여요</t>
    </r>
    <r>
      <rPr>
        <sz val="10"/>
        <rFont val="Malgun Gothic"/>
        <family val="0"/>
        <charset val="1"/>
      </rPr>
      <t xml:space="preserve">.</t>
    </r>
  </si>
  <si>
    <t xml:space="preserve">cards.8.reversed.direct.today.time</t>
  </si>
  <si>
    <t xml:space="preserve">cards.8.reversed.direct.today.why</t>
  </si>
  <si>
    <r>
      <rPr>
        <sz val="10"/>
        <rFont val="Noto Sans CJK SC"/>
        <family val="2"/>
      </rPr>
      <t xml:space="preserve">내 무게를 밖으로 꺼내는 데 마음을 두는 첫걸음으로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가장 버거운 일 하나를 글로 옮겨요</t>
    </r>
    <r>
      <rPr>
        <sz val="10"/>
        <rFont val="Malgun Gothic"/>
        <family val="0"/>
        <charset val="1"/>
      </rPr>
      <t xml:space="preserve">.</t>
    </r>
  </si>
  <si>
    <t xml:space="preserve">cards.8.reversed.direct.week.title</t>
  </si>
  <si>
    <t xml:space="preserve">저녁마다 무게 꺼내기</t>
  </si>
  <si>
    <t xml:space="preserve">cards.8.reversed.direct.week.how</t>
  </si>
  <si>
    <r>
      <rPr>
        <sz val="10"/>
        <rFont val="Noto Sans CJK SC"/>
        <family val="2"/>
      </rPr>
      <t xml:space="preserve">이번 주 매일 저녁 오늘 혼자 진 무게를 한 줄씩 꺼내 적습니다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주말에 읽으며 반복되는 일을 찾아봐요</t>
    </r>
    <r>
      <rPr>
        <sz val="10"/>
        <rFont val="Malgun Gothic"/>
        <family val="0"/>
        <charset val="1"/>
      </rPr>
      <t xml:space="preserve">.</t>
    </r>
  </si>
  <si>
    <t xml:space="preserve">cards.8.reversed.direct.week.time</t>
  </si>
  <si>
    <t xml:space="preserve">cards.8.reversed.direct.week.why</t>
  </si>
  <si>
    <r>
      <rPr>
        <sz val="10"/>
        <rFont val="Noto Sans CJK SC"/>
        <family val="2"/>
      </rPr>
      <t xml:space="preserve">내 무게를 날마다 꺼내 놓으면 불편한 마음이 쌓이지 않아 같은 일도 덜 무겁게 느껴져요</t>
    </r>
    <r>
      <rPr>
        <sz val="10"/>
        <rFont val="Malgun Gothic"/>
        <family val="0"/>
        <charset val="1"/>
      </rPr>
      <t xml:space="preserve">.</t>
    </r>
  </si>
  <si>
    <t xml:space="preserve">cards.8.reversed.direct.slow_rx.title</t>
  </si>
  <si>
    <t xml:space="preserve">버거움 점수 매기기</t>
  </si>
  <si>
    <t xml:space="preserve">cards.8.reversed.direct.slow_rx.how</t>
  </si>
  <si>
    <r>
      <rPr>
        <sz val="10"/>
        <rFont val="Noto Sans CJK SC"/>
        <family val="2"/>
      </rPr>
      <t xml:space="preserve">하루에 두 번 지금 얼마나 버거운지 </t>
    </r>
    <r>
      <rPr>
        <sz val="10"/>
        <rFont val="Malgun Gothic"/>
        <family val="0"/>
        <charset val="1"/>
      </rPr>
      <t xml:space="preserve">1~10</t>
    </r>
    <r>
      <rPr>
        <sz val="10"/>
        <rFont val="Noto Sans CJK SC"/>
        <family val="2"/>
      </rPr>
      <t xml:space="preserve">점으로 노트에 적고</t>
    </r>
    <r>
      <rPr>
        <sz val="10"/>
        <rFont val="Malgun Gothic"/>
        <family val="0"/>
        <charset val="1"/>
      </rPr>
      <t xml:space="preserve">, 7</t>
    </r>
    <r>
      <rPr>
        <sz val="10"/>
        <rFont val="Noto Sans CJK SC"/>
        <family val="2"/>
      </rPr>
      <t xml:space="preserve">점이 넘으면 하던 일을 멈추고 </t>
    </r>
    <r>
      <rPr>
        <sz val="10"/>
        <rFont val="Malgun Gothic"/>
        <family val="0"/>
        <charset val="1"/>
      </rPr>
      <t xml:space="preserve">10</t>
    </r>
    <r>
      <rPr>
        <sz val="10"/>
        <rFont val="Noto Sans CJK SC"/>
        <family val="2"/>
      </rPr>
      <t xml:space="preserve">분 쉬어요</t>
    </r>
    <r>
      <rPr>
        <sz val="10"/>
        <rFont val="Malgun Gothic"/>
        <family val="0"/>
        <charset val="1"/>
      </rPr>
      <t xml:space="preserve">.</t>
    </r>
  </si>
  <si>
    <t xml:space="preserve">cards.8.reversed.direct.slow_rx.why</t>
  </si>
  <si>
    <r>
      <rPr>
        <sz val="10"/>
        <rFont val="Noto Sans CJK SC"/>
        <family val="2"/>
      </rPr>
      <t xml:space="preserve">버거운 것을 참고 넘기면 지친 걸 뒤늦게 알아차려 힘이 바닥나니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점수로 적어 일찍 알아차려요</t>
    </r>
    <r>
      <rPr>
        <sz val="10"/>
        <rFont val="Malgun Gothic"/>
        <family val="0"/>
        <charset val="1"/>
      </rPr>
      <t xml:space="preserve">.</t>
    </r>
  </si>
  <si>
    <t xml:space="preserve">cards.8.reversed.direct.three.title</t>
  </si>
  <si>
    <t xml:space="preserve">버거운 일 덜어 내기</t>
  </si>
  <si>
    <t xml:space="preserve">cards.8.reversed.direct.three.how</t>
  </si>
  <si>
    <r>
      <rPr>
        <sz val="10"/>
        <rFont val="Noto Sans CJK SC"/>
        <family val="2"/>
      </rPr>
      <t xml:space="preserve">버거운 일을 모두 적고 하나씩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이번 주에 안 해도 되는 일인가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를 확인한 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해당하는 일을 일정에서 빼요</t>
    </r>
    <r>
      <rPr>
        <sz val="10"/>
        <rFont val="Malgun Gothic"/>
        <family val="0"/>
        <charset val="1"/>
      </rPr>
      <t xml:space="preserve">.</t>
    </r>
  </si>
  <si>
    <t xml:space="preserve">cards.8.reversed.direct.three.time</t>
  </si>
  <si>
    <t xml:space="preserve">cards.8.reversed.direct.three.why</t>
  </si>
  <si>
    <r>
      <rPr>
        <sz val="10"/>
        <rFont val="Noto Sans CJK SC"/>
        <family val="2"/>
      </rPr>
      <t xml:space="preserve">버거운 것을 그냥 참는 습관은 덜어 낼 일을 가려낼 때 풀려서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힘이 바닥나기 전에 쉴 여유가 생겨요</t>
    </r>
    <r>
      <rPr>
        <sz val="10"/>
        <rFont val="Malgun Gothic"/>
        <family val="0"/>
        <charset val="1"/>
      </rPr>
      <t xml:space="preserve">.</t>
    </r>
  </si>
  <si>
    <t xml:space="preserve">cards.9.direct.slow_short</t>
  </si>
  <si>
    <t xml:space="preserve">쉬고 싶은지 외로운지 모르는 상태</t>
  </si>
  <si>
    <t xml:space="preserve">cards.9.direct.key_rx.title</t>
  </si>
  <si>
    <t xml:space="preserve">혼자 시간과 믿는 사람 적기</t>
  </si>
  <si>
    <t xml:space="preserve">cards.9.direct.key_rx.how</t>
  </si>
  <si>
    <r>
      <rPr>
        <sz val="10"/>
        <rFont val="Noto Sans CJK SC"/>
        <family val="2"/>
      </rPr>
      <t xml:space="preserve">혼자 돌아보는 시간을 하루 한 번 정해 두고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마음 놓고 믿는 사람 한 명의 이름을 노트에 적어 둬요</t>
    </r>
    <r>
      <rPr>
        <sz val="10"/>
        <rFont val="Malgun Gothic"/>
        <family val="0"/>
        <charset val="1"/>
      </rPr>
      <t xml:space="preserve">.</t>
    </r>
  </si>
  <si>
    <t xml:space="preserve">cards.9.direct.key_rx.why</t>
  </si>
  <si>
    <r>
      <rPr>
        <sz val="10"/>
        <rFont val="Noto Sans CJK SC"/>
        <family val="2"/>
      </rPr>
      <t xml:space="preserve">혼자 돌아보는 시간을 지키면서 믿는 사람 한 명과의 끈을 이어 두는 데 마음을 두면 내 길이 더 또렷해져요</t>
    </r>
    <r>
      <rPr>
        <sz val="10"/>
        <rFont val="Malgun Gothic"/>
        <family val="0"/>
        <charset val="1"/>
      </rPr>
      <t xml:space="preserve">.</t>
    </r>
  </si>
  <si>
    <t xml:space="preserve">cards.9.direct.today.title</t>
  </si>
  <si>
    <t xml:space="preserve">혼자 시간 한 칸 정하기</t>
  </si>
  <si>
    <t xml:space="preserve">cards.9.direct.today.how</t>
  </si>
  <si>
    <r>
      <rPr>
        <sz val="10"/>
        <rFont val="Noto Sans CJK SC"/>
        <family val="2"/>
      </rPr>
      <t xml:space="preserve">오늘 혼자 돌아볼 시간을 일정에 한 칸 넣고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믿는 사람 한 명의 이름을 메모장에 적어요</t>
    </r>
    <r>
      <rPr>
        <sz val="10"/>
        <rFont val="Malgun Gothic"/>
        <family val="0"/>
        <charset val="1"/>
      </rPr>
      <t xml:space="preserve">.</t>
    </r>
  </si>
  <si>
    <t xml:space="preserve">cards.9.direct.today.time</t>
  </si>
  <si>
    <t xml:space="preserve">cards.9.direct.today.why</t>
  </si>
  <si>
    <r>
      <rPr>
        <sz val="10"/>
        <rFont val="Noto Sans CJK SC"/>
        <family val="2"/>
      </rPr>
      <t xml:space="preserve">혼자 돌아보는 시간과 믿는 사람 한 명에 마음을 두는 첫걸음으로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둘을 오늘 일정에 올려요</t>
    </r>
    <r>
      <rPr>
        <sz val="10"/>
        <rFont val="Malgun Gothic"/>
        <family val="0"/>
        <charset val="1"/>
      </rPr>
      <t xml:space="preserve">.</t>
    </r>
  </si>
  <si>
    <t xml:space="preserve">cards.9.direct.week.title</t>
  </si>
  <si>
    <r>
      <rPr>
        <sz val="10"/>
        <rFont val="Noto Sans CJK SC"/>
        <family val="2"/>
      </rPr>
      <t xml:space="preserve">매일 혼자 돌아보기 </t>
    </r>
    <r>
      <rPr>
        <sz val="10"/>
        <rFont val="Malgun Gothic"/>
        <family val="0"/>
        <charset val="1"/>
      </rPr>
      <t xml:space="preserve">15</t>
    </r>
    <r>
      <rPr>
        <sz val="10"/>
        <rFont val="Noto Sans CJK SC"/>
        <family val="2"/>
      </rPr>
      <t xml:space="preserve">분</t>
    </r>
  </si>
  <si>
    <t xml:space="preserve">cards.9.direct.week.how</t>
  </si>
  <si>
    <r>
      <rPr>
        <sz val="10"/>
        <rFont val="Noto Sans CJK SC"/>
        <family val="2"/>
      </rPr>
      <t xml:space="preserve">이번 주 같은 시간에 혼자 돌아보는 시간을 지키고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끝나면 떠오른 것을 적어요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믿는 사람 이름은 노트 맨 위에 둬요</t>
    </r>
    <r>
      <rPr>
        <sz val="10"/>
        <rFont val="Malgun Gothic"/>
        <family val="0"/>
        <charset val="1"/>
      </rPr>
      <t xml:space="preserve">.</t>
    </r>
  </si>
  <si>
    <t xml:space="preserve">cards.9.direct.week.time</t>
  </si>
  <si>
    <t xml:space="preserve">cards.9.direct.week.why</t>
  </si>
  <si>
    <r>
      <rPr>
        <sz val="10"/>
        <rFont val="Noto Sans CJK SC"/>
        <family val="2"/>
      </rPr>
      <t xml:space="preserve">고요한 시간과 믿는 사람을 함께 두는 날이 쌓이면 내 길이 더 또렷하게 보입니다</t>
    </r>
    <r>
      <rPr>
        <sz val="10"/>
        <rFont val="Malgun Gothic"/>
        <family val="0"/>
        <charset val="1"/>
      </rPr>
      <t xml:space="preserve">.</t>
    </r>
  </si>
  <si>
    <t xml:space="preserve">cards.9.direct.slow_rx.title</t>
  </si>
  <si>
    <t xml:space="preserve">쉼과 외로움 점수 적기</t>
  </si>
  <si>
    <t xml:space="preserve">cards.9.direct.slow_rx.how</t>
  </si>
  <si>
    <r>
      <rPr>
        <sz val="10"/>
        <rFont val="Noto Sans CJK SC"/>
        <family val="2"/>
      </rPr>
      <t xml:space="preserve">지금 마음에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쉬고 싶다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와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외롭다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가 각각 몇 점인지 노트에 </t>
    </r>
    <r>
      <rPr>
        <sz val="10"/>
        <rFont val="Malgun Gothic"/>
        <family val="0"/>
        <charset val="1"/>
      </rPr>
      <t xml:space="preserve">1~10</t>
    </r>
    <r>
      <rPr>
        <sz val="10"/>
        <rFont val="Noto Sans CJK SC"/>
        <family val="2"/>
      </rPr>
      <t xml:space="preserve">점으로 적고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높은 쪽이 오늘 필요한 것이라고 정해요</t>
    </r>
    <r>
      <rPr>
        <sz val="10"/>
        <rFont val="Malgun Gothic"/>
        <family val="0"/>
        <charset val="1"/>
      </rPr>
      <t xml:space="preserve">.</t>
    </r>
  </si>
  <si>
    <t xml:space="preserve">cards.9.direct.slow_rx.why</t>
  </si>
  <si>
    <r>
      <rPr>
        <sz val="10"/>
        <rFont val="Noto Sans CJK SC"/>
        <family val="2"/>
      </rPr>
      <t xml:space="preserve">쉬고 싶은 건지 외로운 건지 가려내지 못하면 생각만 길어지니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점수로 가려내면 필요한 것이 보입니다</t>
    </r>
    <r>
      <rPr>
        <sz val="10"/>
        <rFont val="Malgun Gothic"/>
        <family val="0"/>
        <charset val="1"/>
      </rPr>
      <t xml:space="preserve">.</t>
    </r>
  </si>
  <si>
    <t xml:space="preserve">cards.9.direct.three.title</t>
  </si>
  <si>
    <t xml:space="preserve">두 점수 비교하기</t>
  </si>
  <si>
    <t xml:space="preserve">cards.9.direct.three.how</t>
  </si>
  <si>
    <r>
      <rPr>
        <sz val="10"/>
        <rFont val="Noto Sans CJK SC"/>
        <family val="2"/>
      </rPr>
      <t xml:space="preserve">최근 사흘 동안 쉬고 싶은 마음과 외로운 마음이 각각 몇 점이었는지 떠올려 적고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어느 쪽이 더 높았는지 비교해요</t>
    </r>
    <r>
      <rPr>
        <sz val="10"/>
        <rFont val="Malgun Gothic"/>
        <family val="0"/>
        <charset val="1"/>
      </rPr>
      <t xml:space="preserve">.</t>
    </r>
  </si>
  <si>
    <t xml:space="preserve">cards.9.direct.three.time</t>
  </si>
  <si>
    <t xml:space="preserve">cards.9.direct.three.why</t>
  </si>
  <si>
    <r>
      <rPr>
        <sz val="10"/>
        <rFont val="Noto Sans CJK SC"/>
        <family val="2"/>
      </rPr>
      <t xml:space="preserve">쉬고 싶은지 외로운지 모르는 상태는 두 점수를 비교할 때 풀려서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내게 필요한 것을 알고 움직일 수 있습니다</t>
    </r>
    <r>
      <rPr>
        <sz val="10"/>
        <rFont val="Malgun Gothic"/>
        <family val="0"/>
        <charset val="1"/>
      </rPr>
      <t xml:space="preserve">.</t>
    </r>
  </si>
  <si>
    <t xml:space="preserve">cards.9.reversed.direct.slow_short</t>
  </si>
  <si>
    <t xml:space="preserve">아무도 이해 못 한다는 생각</t>
  </si>
  <si>
    <t xml:space="preserve">cards.9.reversed.direct.key_rx.title</t>
  </si>
  <si>
    <t xml:space="preserve">마음 열 사람에게 쓰는 말</t>
  </si>
  <si>
    <t xml:space="preserve">cards.9.reversed.direct.key_rx.how</t>
  </si>
  <si>
    <r>
      <rPr>
        <sz val="10"/>
        <rFont val="Noto Sans CJK SC"/>
        <family val="2"/>
      </rPr>
      <t xml:space="preserve">마음을 열 수 있는 한 사람을 떠올려 이름을 적고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 사람에게 하고 싶은 말을 노트에 씁니다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보내지 않아도 돼요</t>
    </r>
    <r>
      <rPr>
        <sz val="10"/>
        <rFont val="Malgun Gothic"/>
        <family val="0"/>
        <charset val="1"/>
      </rPr>
      <t xml:space="preserve">.</t>
    </r>
  </si>
  <si>
    <t xml:space="preserve">cards.9.reversed.direct.key_rx.why</t>
  </si>
  <si>
    <r>
      <rPr>
        <sz val="10"/>
        <rFont val="Noto Sans CJK SC"/>
        <family val="2"/>
      </rPr>
      <t xml:space="preserve">혼자 견디기보다 마음을 열 수 있는 한 사람에게 마음을 두면 무거운 생각이 덜어지고 혼자만의 시간도 쉼이 돼요</t>
    </r>
    <r>
      <rPr>
        <sz val="10"/>
        <rFont val="Malgun Gothic"/>
        <family val="0"/>
        <charset val="1"/>
      </rPr>
      <t xml:space="preserve">.</t>
    </r>
  </si>
  <si>
    <t xml:space="preserve">cards.9.reversed.direct.today.title</t>
  </si>
  <si>
    <t xml:space="preserve">하고 싶은 말 다섯 줄 쓰기</t>
  </si>
  <si>
    <t xml:space="preserve">cards.9.reversed.direct.today.how</t>
  </si>
  <si>
    <r>
      <rPr>
        <sz val="10"/>
        <rFont val="Noto Sans CJK SC"/>
        <family val="2"/>
      </rPr>
      <t xml:space="preserve">마음을 열 수 있는 한 사람을 떠올리고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 사람에게 하고 싶은 말을 메모장에 다섯 줄 적어요</t>
    </r>
    <r>
      <rPr>
        <sz val="10"/>
        <rFont val="Malgun Gothic"/>
        <family val="0"/>
        <charset val="1"/>
      </rPr>
      <t xml:space="preserve">.</t>
    </r>
  </si>
  <si>
    <t xml:space="preserve">cards.9.reversed.direct.today.time</t>
  </si>
  <si>
    <t xml:space="preserve">cards.9.reversed.direct.today.why</t>
  </si>
  <si>
    <r>
      <rPr>
        <sz val="10"/>
        <rFont val="Noto Sans CJK SC"/>
        <family val="2"/>
      </rPr>
      <t xml:space="preserve">마음을 열 수 있는 사람에게 마음을 두는 첫걸음으로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하고 싶은 말을 글로 꺼내 무거운 생각을 덜어요</t>
    </r>
    <r>
      <rPr>
        <sz val="10"/>
        <rFont val="Malgun Gothic"/>
        <family val="0"/>
        <charset val="1"/>
      </rPr>
      <t xml:space="preserve">.</t>
    </r>
  </si>
  <si>
    <t xml:space="preserve">cards.9.reversed.direct.week.title</t>
  </si>
  <si>
    <t xml:space="preserve">매일 한 줄씩 이어 쓰기</t>
  </si>
  <si>
    <t xml:space="preserve">cards.9.reversed.direct.week.how</t>
  </si>
  <si>
    <r>
      <rPr>
        <sz val="10"/>
        <rFont val="Noto Sans CJK SC"/>
        <family val="2"/>
      </rPr>
      <t xml:space="preserve">이번 주 매일 그 사람에게 하고 싶은 말을 한 줄씩 이어 써요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주말에 읽어 보며 가장 하고 싶던 말을 골라요</t>
    </r>
    <r>
      <rPr>
        <sz val="10"/>
        <rFont val="Malgun Gothic"/>
        <family val="0"/>
        <charset val="1"/>
      </rPr>
      <t xml:space="preserve">.</t>
    </r>
  </si>
  <si>
    <t xml:space="preserve">cards.9.reversed.direct.week.time</t>
  </si>
  <si>
    <t xml:space="preserve">cards.9.reversed.direct.week.why</t>
  </si>
  <si>
    <r>
      <rPr>
        <sz val="10"/>
        <rFont val="Noto Sans CJK SC"/>
        <family val="2"/>
      </rPr>
      <t xml:space="preserve">하고 싶은 말을 날마다 꺼내 쓰면 무거운 생각이 덜어져서 혼자만의 시간도 쉼이 됩니다</t>
    </r>
    <r>
      <rPr>
        <sz val="10"/>
        <rFont val="Malgun Gothic"/>
        <family val="0"/>
        <charset val="1"/>
      </rPr>
      <t xml:space="preserve">.</t>
    </r>
  </si>
  <si>
    <t xml:space="preserve">cards.9.reversed.direct.slow_rx.title</t>
  </si>
  <si>
    <t xml:space="preserve">그 생각의 반대 경험 찾기</t>
  </si>
  <si>
    <t xml:space="preserve">cards.9.reversed.direct.slow_rx.how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</si>
  <si>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아무도 이해 못 할 거야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라고 적고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 생각과 맞지 않는 경험을 노트에 세 가지 찾아 써요</t>
    </r>
    <r>
      <rPr>
        <sz val="10"/>
        <rFont val="Malgun Gothic"/>
        <family val="0"/>
        <charset val="1"/>
      </rPr>
      <t xml:space="preserve">.</t>
    </r>
  </si>
  <si>
    <t xml:space="preserve">cards.9.reversed.direct.slow_rx.why</t>
  </si>
  <si>
    <r>
      <rPr>
        <sz val="10"/>
        <rFont val="Noto Sans CJK SC"/>
        <family val="2"/>
      </rPr>
      <t xml:space="preserve">그 생각을 그대로 믿으면 사람들과의 거리가 넓어지니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맞지 않는 경험을 찾으면 정말 그런지 다시 볼 수 있습니다</t>
    </r>
    <r>
      <rPr>
        <sz val="10"/>
        <rFont val="Malgun Gothic"/>
        <family val="0"/>
        <charset val="1"/>
      </rPr>
      <t xml:space="preserve">.</t>
    </r>
  </si>
  <si>
    <t xml:space="preserve">cards.9.reversed.direct.three.title</t>
  </si>
  <si>
    <t xml:space="preserve">반대 경험 더 찾기</t>
  </si>
  <si>
    <t xml:space="preserve">cards.9.reversed.direct.three.how</t>
  </si>
  <si>
    <r>
      <rPr>
        <sz val="10"/>
        <rFont val="Noto Sans CJK SC"/>
        <family val="2"/>
      </rPr>
      <t xml:space="preserve">적어 둔 반대 경험 세 가지에 두 가지를 더 보태고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그때 누가 어떻게 이해해 줬는지 한 줄씩 적어요</t>
    </r>
    <r>
      <rPr>
        <sz val="10"/>
        <rFont val="Malgun Gothic"/>
        <family val="0"/>
        <charset val="1"/>
      </rPr>
      <t xml:space="preserve">.</t>
    </r>
  </si>
  <si>
    <t xml:space="preserve">cards.9.reversed.direct.three.time</t>
  </si>
  <si>
    <t xml:space="preserve">cards.9.reversed.direct.three.why</t>
  </si>
  <si>
    <r>
      <rPr>
        <sz val="10"/>
        <rFont val="Noto Sans CJK SC"/>
        <family val="2"/>
      </rPr>
      <t xml:space="preserve">아무도 이해 못 한다는 생각은 맞지 않는 경험이 쌓일수록 약해져서 사람들과의 거리가 넓어지지 않습니다</t>
    </r>
    <r>
      <rPr>
        <sz val="10"/>
        <rFont val="Malgun Gothic"/>
        <family val="0"/>
        <charset val="1"/>
      </rPr>
      <t xml:space="preserve">.</t>
    </r>
  </si>
  <si>
    <t xml:space="preserve">cards.10.direct.slow_short</t>
  </si>
  <si>
    <t xml:space="preserve">지금 상태가 계속된다는 단정</t>
  </si>
  <si>
    <t xml:space="preserve">cards.10.direct.key_rx.title</t>
  </si>
  <si>
    <t xml:space="preserve">내가 정할 몫 찾기</t>
  </si>
  <si>
    <t xml:space="preserve">cards.10.direct.key_rx.how</t>
  </si>
  <si>
    <r>
      <rPr>
        <sz val="10"/>
        <rFont val="Noto Sans CJK SC"/>
        <family val="2"/>
      </rPr>
      <t xml:space="preserve">요즘 상황에서 바뀌지 않는 것과 내가 정할 수 있는 것을 노트에 나눠 적고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정할 수 있는 몫에 동그라미를 쳐요</t>
    </r>
    <r>
      <rPr>
        <sz val="10"/>
        <rFont val="Malgun Gothic"/>
        <family val="0"/>
        <charset val="1"/>
      </rPr>
      <t xml:space="preserve">.</t>
    </r>
  </si>
  <si>
    <t xml:space="preserve">cards.10.direct.key_rx.why</t>
  </si>
  <si>
    <r>
      <rPr>
        <sz val="10"/>
        <rFont val="Noto Sans CJK SC"/>
        <family val="2"/>
      </rPr>
      <t xml:space="preserve">바꿀 수 없는 흐름 속에서도 내가 직접 정할 수 있는 몫에 마음을 두면 변화도 덜 두려워집니다</t>
    </r>
    <r>
      <rPr>
        <sz val="10"/>
        <rFont val="Malgun Gothic"/>
        <family val="0"/>
        <charset val="1"/>
      </rPr>
      <t xml:space="preserve">.</t>
    </r>
  </si>
  <si>
    <t xml:space="preserve">cards.10.direct.today.title</t>
  </si>
  <si>
    <t xml:space="preserve">오늘 정할 수 있는 것 세 가지</t>
  </si>
  <si>
    <t xml:space="preserve">cards.10.direct.today.how</t>
  </si>
  <si>
    <r>
      <rPr>
        <sz val="10"/>
        <rFont val="Noto Sans CJK SC"/>
        <family val="2"/>
      </rPr>
      <t xml:space="preserve">오늘 하루 안에서 내가 직접 정할 수 있는 것 세 가지를 메모장에 적습니다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점심 메뉴처럼 작은 것도 좋아요</t>
    </r>
    <r>
      <rPr>
        <sz val="10"/>
        <rFont val="Malgun Gothic"/>
        <family val="0"/>
        <charset val="1"/>
      </rPr>
      <t xml:space="preserve">.</t>
    </r>
  </si>
  <si>
    <t xml:space="preserve">cards.10.direct.today.time</t>
  </si>
  <si>
    <t xml:space="preserve">cards.10.direct.today.why</t>
  </si>
  <si>
    <r>
      <rPr>
        <sz val="10"/>
        <rFont val="Noto Sans CJK SC"/>
        <family val="2"/>
      </rPr>
      <t xml:space="preserve">내가 정할 수 있는 몫에 마음을 두는 첫걸음으로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오늘 내 손에 있는 선택을 눈에 보이게 해요</t>
    </r>
    <r>
      <rPr>
        <sz val="10"/>
        <rFont val="Malgun Gothic"/>
        <family val="0"/>
        <charset val="1"/>
      </rPr>
      <t xml:space="preserve">.</t>
    </r>
  </si>
  <si>
    <t xml:space="preserve">cards.10.direct.week.title</t>
  </si>
  <si>
    <t xml:space="preserve">하루 하나 내가 정하기</t>
  </si>
  <si>
    <t xml:space="preserve">cards.10.direct.week.how</t>
  </si>
  <si>
    <r>
      <rPr>
        <sz val="10"/>
        <rFont val="Noto Sans CJK SC"/>
        <family val="2"/>
      </rPr>
      <t xml:space="preserve">이번 주 매일 정할 수 있는 몫 중 하나를 골라 내 뜻대로 정하고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저녁에 무엇을 정했는지 한 줄 적습니다</t>
    </r>
    <r>
      <rPr>
        <sz val="10"/>
        <rFont val="Malgun Gothic"/>
        <family val="0"/>
        <charset val="1"/>
      </rPr>
      <t xml:space="preserve">.</t>
    </r>
  </si>
  <si>
    <t xml:space="preserve">cards.10.direct.week.time</t>
  </si>
  <si>
    <t xml:space="preserve">cards.10.direct.week.why</t>
  </si>
  <si>
    <r>
      <rPr>
        <sz val="10"/>
        <rFont val="Noto Sans CJK SC"/>
        <family val="2"/>
      </rPr>
      <t xml:space="preserve">내가 직접 정하는 경험이 쌓이면 바꿀 수 없는 흐름 속에서도 변화가 덜 두려워져요</t>
    </r>
    <r>
      <rPr>
        <sz val="10"/>
        <rFont val="Malgun Gothic"/>
        <family val="0"/>
        <charset val="1"/>
      </rPr>
      <t xml:space="preserve">.</t>
    </r>
  </si>
  <si>
    <t xml:space="preserve">cards.10.direct.slow_rx.title</t>
  </si>
  <si>
    <t xml:space="preserve">단정 문장 고쳐 쓰기</t>
  </si>
  <si>
    <t xml:space="preserve">cards.10.direct.slow_rx.how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</si>
  <si>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이 상태가 계속될 거야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라고 적은 뒤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지금은 이렇지만 바뀔 수도 있다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로 고쳐 쓰고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바뀔 수 있는 점을 두 가지 적어요</t>
    </r>
    <r>
      <rPr>
        <sz val="10"/>
        <rFont val="Malgun Gothic"/>
        <family val="0"/>
        <charset val="1"/>
      </rPr>
      <t xml:space="preserve">.</t>
    </r>
  </si>
  <si>
    <t xml:space="preserve">cards.10.direct.slow_rx.why</t>
  </si>
  <si>
    <r>
      <rPr>
        <sz val="10"/>
        <rFont val="Noto Sans CJK SC"/>
        <family val="2"/>
      </rPr>
      <t xml:space="preserve">지금 상태가 계속된다고 단정하면 걱정이 무거워지니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문장을 고쳐 쓰면 걱정의 무게가 줄어요</t>
    </r>
    <r>
      <rPr>
        <sz val="10"/>
        <rFont val="Malgun Gothic"/>
        <family val="0"/>
        <charset val="1"/>
      </rPr>
      <t xml:space="preserve">.</t>
    </r>
  </si>
  <si>
    <t xml:space="preserve">cards.10.direct.three.title</t>
  </si>
  <si>
    <t xml:space="preserve">걱정 문장 세 개 고치기</t>
  </si>
  <si>
    <t xml:space="preserve">cards.10.direct.three.how</t>
  </si>
  <si>
    <r>
      <rPr>
        <sz val="10"/>
        <rFont val="Noto Sans CJK SC"/>
        <family val="2"/>
      </rPr>
      <t xml:space="preserve">걱정을 단정하는 문장 세 개를 노트에 적고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각각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지금은 </t>
    </r>
    <r>
      <rPr>
        <sz val="10"/>
        <rFont val="Malgun Gothic"/>
        <family val="0"/>
        <charset val="1"/>
      </rPr>
      <t xml:space="preserve">~</t>
    </r>
    <r>
      <rPr>
        <sz val="10"/>
        <rFont val="Noto Sans CJK SC"/>
        <family val="2"/>
      </rPr>
      <t xml:space="preserve">지만 바뀔 수도 있다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꼴로 고쳐 씁니다</t>
    </r>
    <r>
      <rPr>
        <sz val="10"/>
        <rFont val="Malgun Gothic"/>
        <family val="0"/>
        <charset val="1"/>
      </rPr>
      <t xml:space="preserve">.</t>
    </r>
  </si>
  <si>
    <t xml:space="preserve">cards.10.direct.three.time</t>
  </si>
  <si>
    <t xml:space="preserve">cards.10.direct.three.why</t>
  </si>
  <si>
    <r>
      <rPr>
        <sz val="10"/>
        <rFont val="Noto Sans CJK SC"/>
        <family val="2"/>
      </rPr>
      <t xml:space="preserve">지금 상태가 계속된다는 단정은 문장을 고쳐 쓸 때 약해져서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상황이 바뀌는 속도에 마음이 따라가요</t>
    </r>
    <r>
      <rPr>
        <sz val="10"/>
        <rFont val="Malgun Gothic"/>
        <family val="0"/>
        <charset val="1"/>
      </rPr>
      <t xml:space="preserve">.</t>
    </r>
  </si>
  <si>
    <t xml:space="preserve">cards.10.reversed.direct.slow_short</t>
  </si>
  <si>
    <t xml:space="preserve">예전으로 돌아가야 한다는 생각</t>
  </si>
  <si>
    <t xml:space="preserve">cards.10.reversed.direct.key_rx.title</t>
  </si>
  <si>
    <t xml:space="preserve">바뀐 상황에서 고를 것 적기</t>
  </si>
  <si>
    <t xml:space="preserve">cards.10.reversed.direct.key_rx.how</t>
  </si>
  <si>
    <r>
      <rPr>
        <sz val="10"/>
        <rFont val="Noto Sans CJK SC"/>
        <family val="2"/>
      </rPr>
      <t xml:space="preserve">바뀐 지금 상황에서 내가 고를 수 있는 것을 노트에 세 가지 적고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하나를 골라 이번 주 할 일에 넣습니다</t>
    </r>
    <r>
      <rPr>
        <sz val="10"/>
        <rFont val="Malgun Gothic"/>
        <family val="0"/>
        <charset val="1"/>
      </rPr>
      <t xml:space="preserve">.</t>
    </r>
  </si>
  <si>
    <t xml:space="preserve">cards.10.reversed.direct.key_rx.why</t>
  </si>
  <si>
    <r>
      <rPr>
        <sz val="10"/>
        <rFont val="Noto Sans CJK SC"/>
        <family val="2"/>
      </rPr>
      <t xml:space="preserve">예전으로 돌아가는 길보다 바뀐 상황에서 내가 고를 수 있는 것에 마음을 두면 낯선 상황에서도 발 디딜 곳이 보여요</t>
    </r>
    <r>
      <rPr>
        <sz val="10"/>
        <rFont val="Malgun Gothic"/>
        <family val="0"/>
        <charset val="1"/>
      </rPr>
      <t xml:space="preserve">.</t>
    </r>
  </si>
  <si>
    <t xml:space="preserve">cards.10.reversed.direct.today.title</t>
  </si>
  <si>
    <t xml:space="preserve">지금 고를 수 있는 것 하나</t>
  </si>
  <si>
    <t xml:space="preserve">cards.10.reversed.direct.today.how</t>
  </si>
  <si>
    <r>
      <rPr>
        <sz val="10"/>
        <rFont val="Noto Sans CJK SC"/>
        <family val="2"/>
      </rPr>
      <t xml:space="preserve">바뀐 상황에서 오늘 내가 고를 수 있는 것 한 가지를 메모장에 적고 바로 골라 봐요</t>
    </r>
    <r>
      <rPr>
        <sz val="10"/>
        <rFont val="Malgun Gothic"/>
        <family val="0"/>
        <charset val="1"/>
      </rPr>
      <t xml:space="preserve">.</t>
    </r>
  </si>
  <si>
    <t xml:space="preserve">cards.10.reversed.direct.today.time</t>
  </si>
  <si>
    <t xml:space="preserve">cards.10.reversed.direct.today.why</t>
  </si>
  <si>
    <r>
      <rPr>
        <sz val="10"/>
        <rFont val="Noto Sans CJK SC"/>
        <family val="2"/>
      </rPr>
      <t xml:space="preserve">바뀐 상황에서 고를 수 있는 것에 마음을 두면 낯선 상황에서도 오늘 디딜 곳이 하나 생깁니다</t>
    </r>
    <r>
      <rPr>
        <sz val="10"/>
        <rFont val="Malgun Gothic"/>
        <family val="0"/>
        <charset val="1"/>
      </rPr>
      <t xml:space="preserve">.</t>
    </r>
  </si>
  <si>
    <t xml:space="preserve">cards.10.reversed.direct.week.title</t>
  </si>
  <si>
    <t xml:space="preserve">하루 하나 새로 고르기</t>
  </si>
  <si>
    <t xml:space="preserve">cards.10.reversed.direct.week.how</t>
  </si>
  <si>
    <r>
      <rPr>
        <sz val="10"/>
        <rFont val="Noto Sans CJK SC"/>
        <family val="2"/>
      </rPr>
      <t xml:space="preserve">이번 주 매일 바뀐 상황에서 고를 수 있는 것을 하나씩 골라 해 보고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저녁에 어땠는지 한 줄 적습니다</t>
    </r>
    <r>
      <rPr>
        <sz val="10"/>
        <rFont val="Malgun Gothic"/>
        <family val="0"/>
        <charset val="1"/>
      </rPr>
      <t xml:space="preserve">.</t>
    </r>
  </si>
  <si>
    <t xml:space="preserve">cards.10.reversed.direct.week.time</t>
  </si>
  <si>
    <t xml:space="preserve">cards.10.reversed.direct.week.why</t>
  </si>
  <si>
    <r>
      <rPr>
        <sz val="10"/>
        <rFont val="Noto Sans CJK SC"/>
        <family val="2"/>
      </rPr>
      <t xml:space="preserve">바뀐 상황에서 고르는 일을 되풀이하면 버티던 힘이 새 흐름에 쓰여 디딜 곳이 점점 늘어요</t>
    </r>
    <r>
      <rPr>
        <sz val="10"/>
        <rFont val="Malgun Gothic"/>
        <family val="0"/>
        <charset val="1"/>
      </rPr>
      <t xml:space="preserve">.</t>
    </r>
  </si>
  <si>
    <t xml:space="preserve">cards.10.reversed.direct.slow_rx.title</t>
  </si>
  <si>
    <t xml:space="preserve">예전과 지금 나눠 적기</t>
  </si>
  <si>
    <t xml:space="preserve">cards.10.reversed.direct.slow_rx.how</t>
  </si>
  <si>
    <r>
      <rPr>
        <sz val="10"/>
        <rFont val="Noto Sans CJK SC"/>
        <family val="2"/>
      </rPr>
      <t xml:space="preserve">예전 모습에서 그리운 것과 지금 달라진 점을 노트 두 칸에 나눠 적고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달라진 점마다 얻은 것이 있는지 찾아 씁니다</t>
    </r>
    <r>
      <rPr>
        <sz val="10"/>
        <rFont val="Malgun Gothic"/>
        <family val="0"/>
        <charset val="1"/>
      </rPr>
      <t xml:space="preserve">.</t>
    </r>
  </si>
  <si>
    <t xml:space="preserve">cards.10.reversed.direct.slow_rx.why</t>
  </si>
  <si>
    <r>
      <rPr>
        <sz val="10"/>
        <rFont val="Noto Sans CJK SC"/>
        <family val="2"/>
      </rPr>
      <t xml:space="preserve">예전으로 돌아가야 한다는 생각이 바뀐 상황을 받아들이기 어렵게 하니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예전과 지금을 나눠 보면 맞서는 힘을 아껴요</t>
    </r>
    <r>
      <rPr>
        <sz val="10"/>
        <rFont val="Malgun Gothic"/>
        <family val="0"/>
        <charset val="1"/>
      </rPr>
      <t xml:space="preserve">.</t>
    </r>
  </si>
  <si>
    <t xml:space="preserve">cards.10.reversed.direct.three.title</t>
  </si>
  <si>
    <t xml:space="preserve">그리움 내려놓는 글쓰기</t>
  </si>
  <si>
    <t xml:space="preserve">cards.10.reversed.direct.three.how</t>
  </si>
  <si>
    <r>
      <rPr>
        <sz val="10"/>
        <rFont val="Noto Sans CJK SC"/>
        <family val="2"/>
      </rPr>
      <t xml:space="preserve">예전 모습에 대한 그리움을 </t>
    </r>
    <r>
      <rPr>
        <sz val="10"/>
        <rFont val="Malgun Gothic"/>
        <family val="0"/>
        <charset val="1"/>
      </rPr>
      <t xml:space="preserve">15</t>
    </r>
    <r>
      <rPr>
        <sz val="10"/>
        <rFont val="Noto Sans CJK SC"/>
        <family val="2"/>
      </rPr>
      <t xml:space="preserve">분 동안 편지처럼 노트에 쓰고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마지막에 지금 상황에서 해 볼 일 하나를 적어요</t>
    </r>
    <r>
      <rPr>
        <sz val="10"/>
        <rFont val="Malgun Gothic"/>
        <family val="0"/>
        <charset val="1"/>
      </rPr>
      <t xml:space="preserve">.</t>
    </r>
  </si>
  <si>
    <t xml:space="preserve">cards.10.reversed.direct.three.time</t>
  </si>
  <si>
    <t xml:space="preserve">cards.10.reversed.direct.three.why</t>
  </si>
  <si>
    <r>
      <rPr>
        <sz val="10"/>
        <rFont val="Noto Sans CJK SC"/>
        <family val="2"/>
      </rPr>
      <t xml:space="preserve">예전으로 돌아가야 한다는 생각은 그리움을 글로 꺼내 놓을 때 느슨해져서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맞서느라 쓰던 힘이 아껴집니다</t>
    </r>
    <r>
      <rPr>
        <sz val="10"/>
        <rFont val="Malgun Gothic"/>
        <family val="0"/>
        <charset val="1"/>
      </rPr>
      <t xml:space="preserve">.</t>
    </r>
  </si>
  <si>
    <t xml:space="preserve">cards.11.direct.slow_short</t>
  </si>
  <si>
    <t xml:space="preserve">누가 옳았는지 되짚는 습관</t>
  </si>
  <si>
    <t xml:space="preserve">cards.11.direct.key_rx.title</t>
  </si>
  <si>
    <t xml:space="preserve">사실과 해석 나누어 적기</t>
  </si>
  <si>
    <t xml:space="preserve">cards.11.direct.key_rx.how</t>
  </si>
  <si>
    <r>
      <rPr>
        <sz val="10"/>
        <rFont val="Noto Sans CJK SC"/>
        <family val="2"/>
      </rPr>
      <t xml:space="preserve">최근 마음에 걸린 일을 노트에 적고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일어난 사실 한 줄과 내가 붙인 해석 한 줄을 나누어 적어 보세요</t>
    </r>
    <r>
      <rPr>
        <sz val="10"/>
        <rFont val="Malgun Gothic"/>
        <family val="0"/>
        <charset val="1"/>
      </rPr>
      <t xml:space="preserve">.</t>
    </r>
  </si>
  <si>
    <t xml:space="preserve">cards.11.direct.key_rx.why</t>
  </si>
  <si>
    <r>
      <rPr>
        <sz val="10"/>
        <rFont val="Noto Sans CJK SC"/>
        <family val="2"/>
      </rPr>
      <t xml:space="preserve">사실과 해석을 나누어 보는 데 마음을 두면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감정이 가라앉은 자리에서 공정한 답이 보입니다</t>
    </r>
    <r>
      <rPr>
        <sz val="10"/>
        <rFont val="Malgun Gothic"/>
        <family val="0"/>
        <charset val="1"/>
      </rPr>
      <t xml:space="preserve">.</t>
    </r>
  </si>
  <si>
    <t xml:space="preserve">cards.11.direct.today.title</t>
  </si>
  <si>
    <r>
      <rPr>
        <sz val="10"/>
        <rFont val="Noto Sans CJK SC"/>
        <family val="2"/>
      </rPr>
      <t xml:space="preserve">사실 한 줄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해석 한 줄</t>
    </r>
  </si>
  <si>
    <t xml:space="preserve">cards.11.direct.today.how</t>
  </si>
  <si>
    <r>
      <rPr>
        <sz val="10"/>
        <rFont val="Noto Sans CJK SC"/>
        <family val="2"/>
      </rPr>
      <t xml:space="preserve">오늘 마음에 걸린 일 하나를 골라 일어난 사실 한 줄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내 해석 한 줄로 나누어 적어 보세요</t>
    </r>
    <r>
      <rPr>
        <sz val="10"/>
        <rFont val="Malgun Gothic"/>
        <family val="0"/>
        <charset val="1"/>
      </rPr>
      <t xml:space="preserve">.</t>
    </r>
  </si>
  <si>
    <t xml:space="preserve">cards.11.direct.today.time</t>
  </si>
  <si>
    <t xml:space="preserve">cards.11.direct.today.why</t>
  </si>
  <si>
    <r>
      <rPr>
        <sz val="10"/>
        <rFont val="Noto Sans CJK SC"/>
        <family val="2"/>
      </rPr>
      <t xml:space="preserve">사실과 해석을 나누어 보는 연습을 작게 시작하면 공정한 눈이 조금씩 길러집니다</t>
    </r>
    <r>
      <rPr>
        <sz val="10"/>
        <rFont val="Malgun Gothic"/>
        <family val="0"/>
        <charset val="1"/>
      </rPr>
      <t xml:space="preserve">.</t>
    </r>
  </si>
  <si>
    <t xml:space="preserve">cards.11.direct.week.title</t>
  </si>
  <si>
    <t xml:space="preserve">마음에 걸릴 때마다 나누어 적기</t>
  </si>
  <si>
    <t xml:space="preserve">cards.11.direct.week.how</t>
  </si>
  <si>
    <r>
      <rPr>
        <sz val="10"/>
        <rFont val="Noto Sans CJK SC"/>
        <family val="2"/>
      </rPr>
      <t xml:space="preserve">이번 주 마음에 걸리는 일이 생길 때마다 사실과 해석을 나누어 적어 보세요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세 번쯤 쌓이면 내 해석의 버릇이 보여요</t>
    </r>
    <r>
      <rPr>
        <sz val="10"/>
        <rFont val="Malgun Gothic"/>
        <family val="0"/>
        <charset val="1"/>
      </rPr>
      <t xml:space="preserve">.</t>
    </r>
  </si>
  <si>
    <t xml:space="preserve">cards.11.direct.week.time</t>
  </si>
  <si>
    <t xml:space="preserve">cards.11.direct.week.why</t>
  </si>
  <si>
    <r>
      <rPr>
        <sz val="10"/>
        <rFont val="Noto Sans CJK SC"/>
        <family val="2"/>
      </rPr>
      <t xml:space="preserve">사실과 해석을 나누어 보는 일을 되풀이하면 감정이 앞서는 순간을 더 빨리 알아차릴 수 있습니다</t>
    </r>
    <r>
      <rPr>
        <sz val="10"/>
        <rFont val="Malgun Gothic"/>
        <family val="0"/>
        <charset val="1"/>
      </rPr>
      <t xml:space="preserve">.</t>
    </r>
  </si>
  <si>
    <t xml:space="preserve">cards.11.direct.slow_rx.title</t>
  </si>
  <si>
    <r>
      <rPr>
        <sz val="10"/>
        <rFont val="Noto Sans CJK SC"/>
        <family val="2"/>
      </rPr>
      <t xml:space="preserve">되짚기 시간 </t>
    </r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분으로 정하기</t>
    </r>
  </si>
  <si>
    <t xml:space="preserve">cards.11.direct.slow_rx.how</t>
  </si>
  <si>
    <r>
      <rPr>
        <sz val="10"/>
        <rFont val="Noto Sans CJK SC"/>
        <family val="2"/>
      </rPr>
      <t xml:space="preserve">누가 옳았는지 되짚고 싶어지면 타이머를 </t>
    </r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분에 맞추고 그 시간 동안만 생각한 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끝나면 사실 한 줄만 적고 덮어 보세요</t>
    </r>
    <r>
      <rPr>
        <sz val="10"/>
        <rFont val="Malgun Gothic"/>
        <family val="0"/>
        <charset val="1"/>
      </rPr>
      <t xml:space="preserve">.</t>
    </r>
  </si>
  <si>
    <t xml:space="preserve">cards.11.direct.slow_rx.why</t>
  </si>
  <si>
    <r>
      <rPr>
        <sz val="10"/>
        <rFont val="Noto Sans CJK SC"/>
        <family val="2"/>
      </rPr>
      <t xml:space="preserve">누가 옳았는지 계속 되짚으면 생각이 한쪽으로 기우니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시간을 정해 두면 서두르다 놓친 사실이 눈에 들어옵니다</t>
    </r>
    <r>
      <rPr>
        <sz val="10"/>
        <rFont val="Malgun Gothic"/>
        <family val="0"/>
        <charset val="1"/>
      </rPr>
      <t xml:space="preserve">.</t>
    </r>
  </si>
  <si>
    <t xml:space="preserve">cards.11.direct.three.title</t>
  </si>
  <si>
    <r>
      <rPr>
        <sz val="10"/>
        <rFont val="Noto Sans CJK SC"/>
        <family val="2"/>
      </rPr>
      <t xml:space="preserve">되짚기 </t>
    </r>
    <r>
      <rPr>
        <sz val="10"/>
        <rFont val="Malgun Gothic"/>
        <family val="0"/>
        <charset val="1"/>
      </rPr>
      <t xml:space="preserve">10</t>
    </r>
    <r>
      <rPr>
        <sz val="10"/>
        <rFont val="Noto Sans CJK SC"/>
        <family val="2"/>
      </rPr>
      <t xml:space="preserve">분 타이머 맞추기</t>
    </r>
  </si>
  <si>
    <t xml:space="preserve">cards.11.direct.three.how</t>
  </si>
  <si>
    <r>
      <rPr>
        <sz val="10"/>
        <rFont val="Noto Sans CJK SC"/>
        <family val="2"/>
      </rPr>
      <t xml:space="preserve">타이머를 </t>
    </r>
    <r>
      <rPr>
        <sz val="10"/>
        <rFont val="Malgun Gothic"/>
        <family val="0"/>
        <charset val="1"/>
      </rPr>
      <t xml:space="preserve">10</t>
    </r>
    <r>
      <rPr>
        <sz val="10"/>
        <rFont val="Noto Sans CJK SC"/>
        <family val="2"/>
      </rPr>
      <t xml:space="preserve">분에 맞추고 누가 옳았는지 떠오르는 생각을 모두 적으세요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알람이 울리면 노트를 덮고 자리에서 일어나 보세요</t>
    </r>
    <r>
      <rPr>
        <sz val="10"/>
        <rFont val="Malgun Gothic"/>
        <family val="0"/>
        <charset val="1"/>
      </rPr>
      <t xml:space="preserve">.</t>
    </r>
  </si>
  <si>
    <t xml:space="preserve">cards.11.direct.three.time</t>
  </si>
  <si>
    <t xml:space="preserve">cards.11.direct.three.why</t>
  </si>
  <si>
    <r>
      <rPr>
        <sz val="10"/>
        <rFont val="Noto Sans CJK SC"/>
        <family val="2"/>
      </rPr>
      <t xml:space="preserve">누가 옳았는지 되짚는 생각을 시간 안에 쏟아 내면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한쪽으로 기운 채 서두르던 판단이 한 번 쉬어 갑니다</t>
    </r>
    <r>
      <rPr>
        <sz val="10"/>
        <rFont val="Malgun Gothic"/>
        <family val="0"/>
        <charset val="1"/>
      </rPr>
      <t xml:space="preserve">.</t>
    </r>
  </si>
  <si>
    <t xml:space="preserve">cards.11.reversed.direct.slow_short</t>
  </si>
  <si>
    <t xml:space="preserve">옳고 그름을 따지는 습관</t>
  </si>
  <si>
    <t xml:space="preserve">cards.11.reversed.direct.key_rx.title</t>
  </si>
  <si>
    <t xml:space="preserve">친구에게 건넬 말로 나를 대하기</t>
  </si>
  <si>
    <t xml:space="preserve">cards.11.reversed.direct.key_rx.how</t>
  </si>
  <si>
    <r>
      <rPr>
        <sz val="10"/>
        <rFont val="Noto Sans CJK SC"/>
        <family val="2"/>
      </rPr>
      <t xml:space="preserve">자책하는 생각이 들면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같은 일을 친구가 겪었다면 뭐라고 말해 줄지 노트에 적고 그 말을 나에게 읽어 주세요</t>
    </r>
    <r>
      <rPr>
        <sz val="10"/>
        <rFont val="Malgun Gothic"/>
        <family val="0"/>
        <charset val="1"/>
      </rPr>
      <t xml:space="preserve">.</t>
    </r>
  </si>
  <si>
    <t xml:space="preserve">cards.11.reversed.direct.key_rx.why</t>
  </si>
  <si>
    <r>
      <rPr>
        <sz val="10"/>
        <rFont val="Noto Sans CJK SC"/>
        <family val="2"/>
      </rPr>
      <t xml:space="preserve">친구를 대하듯 나에게도 같은 기준을 쓰는 데 마음을 두면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저울이 덜 기울어 판단도 차분해집니다</t>
    </r>
    <r>
      <rPr>
        <sz val="10"/>
        <rFont val="Malgun Gothic"/>
        <family val="0"/>
        <charset val="1"/>
      </rPr>
      <t xml:space="preserve">.</t>
    </r>
  </si>
  <si>
    <t xml:space="preserve">cards.11.reversed.direct.today.title</t>
  </si>
  <si>
    <t xml:space="preserve">친구에게 해 줄 말 한 줄</t>
  </si>
  <si>
    <t xml:space="preserve">cards.11.reversed.direct.today.how</t>
  </si>
  <si>
    <r>
      <rPr>
        <sz val="10"/>
        <rFont val="Noto Sans CJK SC"/>
        <family val="2"/>
      </rPr>
      <t xml:space="preserve">오늘 나를 탓한 일 하나를 떠올리고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친구가 겪었다면 해 주었을 말을 한 줄 적어 보세요</t>
    </r>
    <r>
      <rPr>
        <sz val="10"/>
        <rFont val="Malgun Gothic"/>
        <family val="0"/>
        <charset val="1"/>
      </rPr>
      <t xml:space="preserve">.</t>
    </r>
  </si>
  <si>
    <t xml:space="preserve">cards.11.reversed.direct.today.time</t>
  </si>
  <si>
    <t xml:space="preserve">cards.11.reversed.direct.today.why</t>
  </si>
  <si>
    <r>
      <rPr>
        <sz val="10"/>
        <rFont val="Noto Sans CJK SC"/>
        <family val="2"/>
      </rPr>
      <t xml:space="preserve">친구에게 쓰는 기준을 나에게도 써 보면 자책으로 기운 저울이 조금 돌아와요</t>
    </r>
    <r>
      <rPr>
        <sz val="10"/>
        <rFont val="Malgun Gothic"/>
        <family val="0"/>
        <charset val="1"/>
      </rPr>
      <t xml:space="preserve">.</t>
    </r>
  </si>
  <si>
    <t xml:space="preserve">cards.11.reversed.direct.week.title</t>
  </si>
  <si>
    <t xml:space="preserve">자책 문장을 친구의 말로 바꾸기</t>
  </si>
  <si>
    <t xml:space="preserve">cards.11.reversed.direct.week.how</t>
  </si>
  <si>
    <r>
      <rPr>
        <sz val="10"/>
        <rFont val="Noto Sans CJK SC"/>
        <family val="2"/>
      </rPr>
      <t xml:space="preserve">이번 주 나를 탓하는 문장이 떠오를 때마다 노트에 적고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 아래에 친구에게 해 줄 말로 바꿔 적어 보세요</t>
    </r>
    <r>
      <rPr>
        <sz val="10"/>
        <rFont val="Malgun Gothic"/>
        <family val="0"/>
        <charset val="1"/>
      </rPr>
      <t xml:space="preserve">.</t>
    </r>
  </si>
  <si>
    <t xml:space="preserve">cards.11.reversed.direct.week.time</t>
  </si>
  <si>
    <t xml:space="preserve">cards.11.reversed.direct.week.why</t>
  </si>
  <si>
    <r>
      <rPr>
        <sz val="10"/>
        <rFont val="Noto Sans CJK SC"/>
        <family val="2"/>
      </rPr>
      <t xml:space="preserve">나를 탓하는 문장을 친구의 말로 바꾸는 일을 되풀이하면 같은 기준으로 나를 대하는 습관이 자리 잡습니다</t>
    </r>
    <r>
      <rPr>
        <sz val="10"/>
        <rFont val="Malgun Gothic"/>
        <family val="0"/>
        <charset val="1"/>
      </rPr>
      <t xml:space="preserve">.</t>
    </r>
  </si>
  <si>
    <t xml:space="preserve">cards.11.reversed.direct.slow_rx.title</t>
  </si>
  <si>
    <t xml:space="preserve">나를 탓한 일의 크기 재 보기</t>
  </si>
  <si>
    <t xml:space="preserve">cards.11.reversed.direct.slow_rx.how</t>
  </si>
  <si>
    <r>
      <rPr>
        <sz val="10"/>
        <rFont val="Noto Sans CJK SC"/>
        <family val="2"/>
      </rPr>
      <t xml:space="preserve">작은 일에 자책하게 되면 그 일을 노트에 적고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얼마나 큰 일이었는지 </t>
    </r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점에서 </t>
    </r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점 사이로 매겨 보세요</t>
    </r>
    <r>
      <rPr>
        <sz val="10"/>
        <rFont val="Malgun Gothic"/>
        <family val="0"/>
        <charset val="1"/>
      </rPr>
      <t xml:space="preserve">.</t>
    </r>
  </si>
  <si>
    <t xml:space="preserve">cards.11.reversed.direct.slow_rx.why</t>
  </si>
  <si>
    <r>
      <rPr>
        <sz val="10"/>
        <rFont val="Noto Sans CJK SC"/>
        <family val="2"/>
      </rPr>
      <t xml:space="preserve">따지는 잣대가 나에게 향하면 작은 일도 크게 느껴지니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일의 크기를 점수로 재 보면 자책이 줄어요</t>
    </r>
    <r>
      <rPr>
        <sz val="10"/>
        <rFont val="Malgun Gothic"/>
        <family val="0"/>
        <charset val="1"/>
      </rPr>
      <t xml:space="preserve">.</t>
    </r>
  </si>
  <si>
    <t xml:space="preserve">cards.11.reversed.direct.three.title</t>
  </si>
  <si>
    <t xml:space="preserve">작은 일에 점수 매기기</t>
  </si>
  <si>
    <t xml:space="preserve">cards.11.reversed.direct.three.how</t>
  </si>
  <si>
    <r>
      <rPr>
        <sz val="10"/>
        <rFont val="Noto Sans CJK SC"/>
        <family val="2"/>
      </rPr>
      <t xml:space="preserve">최근 나를 탓한 일 세 가지를 적고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각각 얼마나 큰 일이었는지 </t>
    </r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점에서 </t>
    </r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점으로 매긴 뒤 점수가 낮은 일에는 줄을 그어 보세요</t>
    </r>
    <r>
      <rPr>
        <sz val="10"/>
        <rFont val="Malgun Gothic"/>
        <family val="0"/>
        <charset val="1"/>
      </rPr>
      <t xml:space="preserve">.</t>
    </r>
  </si>
  <si>
    <t xml:space="preserve">cards.11.reversed.direct.three.time</t>
  </si>
  <si>
    <t xml:space="preserve">cards.11.reversed.direct.three.why</t>
  </si>
  <si>
    <r>
      <rPr>
        <sz val="10"/>
        <rFont val="Noto Sans CJK SC"/>
        <family val="2"/>
      </rPr>
      <t xml:space="preserve">나를 탓하는 일의 크기를 눈으로 확인하면 따지는 데 쓰던 기운을 아낄 수 있어요</t>
    </r>
    <r>
      <rPr>
        <sz val="10"/>
        <rFont val="Malgun Gothic"/>
        <family val="0"/>
        <charset val="1"/>
      </rPr>
      <t xml:space="preserve">.</t>
    </r>
  </si>
  <si>
    <t xml:space="preserve">cards.12.direct.slow_short</t>
  </si>
  <si>
    <t xml:space="preserve">쉴 때 더 밀어붙이는 습관</t>
  </si>
  <si>
    <t xml:space="preserve">cards.12.direct.key_rx.title</t>
  </si>
  <si>
    <t xml:space="preserve">멈추는 시간 일정에 넣기</t>
  </si>
  <si>
    <t xml:space="preserve">cards.12.direct.key_rx.how</t>
  </si>
  <si>
    <r>
      <rPr>
        <sz val="10"/>
        <rFont val="Noto Sans CJK SC"/>
        <family val="2"/>
      </rPr>
      <t xml:space="preserve">오늘 일정 중 한 칸에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멈춤 </t>
    </r>
    <r>
      <rPr>
        <sz val="10"/>
        <rFont val="Malgun Gothic"/>
        <family val="0"/>
        <charset val="1"/>
      </rPr>
      <t xml:space="preserve">20</t>
    </r>
    <r>
      <rPr>
        <sz val="10"/>
        <rFont val="Noto Sans CJK SC"/>
        <family val="2"/>
      </rPr>
      <t xml:space="preserve">분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을 적어 넣고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다른 일정처럼 지켜 보세요</t>
    </r>
    <r>
      <rPr>
        <sz val="10"/>
        <rFont val="Malgun Gothic"/>
        <family val="0"/>
        <charset val="1"/>
      </rPr>
      <t xml:space="preserve">.</t>
    </r>
  </si>
  <si>
    <t xml:space="preserve">cards.12.direct.key_rx.why</t>
  </si>
  <si>
    <r>
      <rPr>
        <sz val="10"/>
        <rFont val="Noto Sans CJK SC"/>
        <family val="2"/>
      </rPr>
      <t xml:space="preserve">잠시 멈추는 시간도 나아가는 과정이라는 데 마음을 두면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쉬는 동안 미처 보지 못한 길이 눈에 들어와요</t>
    </r>
    <r>
      <rPr>
        <sz val="10"/>
        <rFont val="Malgun Gothic"/>
        <family val="0"/>
        <charset val="1"/>
      </rPr>
      <t xml:space="preserve">.</t>
    </r>
  </si>
  <si>
    <t xml:space="preserve">cards.12.direct.today.title</t>
  </si>
  <si>
    <r>
      <rPr>
        <sz val="10"/>
        <rFont val="Noto Sans CJK SC"/>
        <family val="2"/>
      </rPr>
      <t xml:space="preserve">일 사이 </t>
    </r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분 멈추기</t>
    </r>
  </si>
  <si>
    <t xml:space="preserve">cards.12.direct.today.how</t>
  </si>
  <si>
    <r>
      <rPr>
        <sz val="10"/>
        <rFont val="Noto Sans CJK SC"/>
        <family val="2"/>
      </rPr>
      <t xml:space="preserve">하던 일을 하나 마치면 바로 다음 일로 넘어가지 말고</t>
    </r>
    <r>
      <rPr>
        <sz val="10"/>
        <rFont val="Malgun Gothic"/>
        <family val="0"/>
        <charset val="1"/>
      </rPr>
      <t xml:space="preserve">, 5</t>
    </r>
    <r>
      <rPr>
        <sz val="10"/>
        <rFont val="Noto Sans CJK SC"/>
        <family val="2"/>
      </rPr>
      <t xml:space="preserve">분 동안 창밖을 보며 가만히 멈춰 보세요</t>
    </r>
    <r>
      <rPr>
        <sz val="10"/>
        <rFont val="Malgun Gothic"/>
        <family val="0"/>
        <charset val="1"/>
      </rPr>
      <t xml:space="preserve">.</t>
    </r>
  </si>
  <si>
    <t xml:space="preserve">cards.12.direct.today.time</t>
  </si>
  <si>
    <t xml:space="preserve">cards.12.direct.today.why</t>
  </si>
  <si>
    <r>
      <rPr>
        <sz val="10"/>
        <rFont val="Noto Sans CJK SC"/>
        <family val="2"/>
      </rPr>
      <t xml:space="preserve">일 사이에 잠깐 멈추는 연습을 하면 쉬어 가는 시간이 길을 넓힌다는 걸 몸으로 느낄 수 있습니다</t>
    </r>
    <r>
      <rPr>
        <sz val="10"/>
        <rFont val="Malgun Gothic"/>
        <family val="0"/>
        <charset val="1"/>
      </rPr>
      <t xml:space="preserve">.</t>
    </r>
  </si>
  <si>
    <t xml:space="preserve">cards.12.direct.week.title</t>
  </si>
  <si>
    <t xml:space="preserve">매일 멈춤 칸 하나 두기</t>
  </si>
  <si>
    <t xml:space="preserve">cards.12.direct.week.how</t>
  </si>
  <si>
    <r>
      <rPr>
        <sz val="10"/>
        <rFont val="Noto Sans CJK SC"/>
        <family val="2"/>
      </rPr>
      <t xml:space="preserve">이번 주 매일 일정에 </t>
    </r>
    <r>
      <rPr>
        <sz val="10"/>
        <rFont val="Malgun Gothic"/>
        <family val="0"/>
        <charset val="1"/>
      </rPr>
      <t xml:space="preserve">15</t>
    </r>
    <r>
      <rPr>
        <sz val="10"/>
        <rFont val="Noto Sans CJK SC"/>
        <family val="2"/>
      </rPr>
      <t xml:space="preserve">분짜리 멈춤 칸을 하나씩 넣고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칸이 끝나면 떠오른 생각을 한 줄 적어 보세요</t>
    </r>
    <r>
      <rPr>
        <sz val="10"/>
        <rFont val="Malgun Gothic"/>
        <family val="0"/>
        <charset val="1"/>
      </rPr>
      <t xml:space="preserve">.</t>
    </r>
  </si>
  <si>
    <t xml:space="preserve">cards.12.direct.week.time</t>
  </si>
  <si>
    <t xml:space="preserve">cards.12.direct.week.why</t>
  </si>
  <si>
    <r>
      <rPr>
        <sz val="10"/>
        <rFont val="Noto Sans CJK SC"/>
        <family val="2"/>
      </rPr>
      <t xml:space="preserve">멈추는 시간을 날마다 지키면 쉬어 가며 넓어지는 시야를 이번 주 안에 직접 확인할 수 있습니다</t>
    </r>
    <r>
      <rPr>
        <sz val="10"/>
        <rFont val="Malgun Gothic"/>
        <family val="0"/>
        <charset val="1"/>
      </rPr>
      <t xml:space="preserve">.</t>
    </r>
  </si>
  <si>
    <t xml:space="preserve">cards.12.direct.slow_rx.title</t>
  </si>
  <si>
    <t xml:space="preserve">할 일 목록에서 하나 덜어 내기</t>
  </si>
  <si>
    <t xml:space="preserve">cards.12.direct.slow_rx.how</t>
  </si>
  <si>
    <r>
      <rPr>
        <sz val="10"/>
        <rFont val="Noto Sans CJK SC"/>
        <family val="2"/>
      </rPr>
      <t xml:space="preserve">오늘 할 일 목록을 훑어보고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내일로 미뤄도 되는 일 하나에 줄을 그어 보세요</t>
    </r>
    <r>
      <rPr>
        <sz val="10"/>
        <rFont val="Malgun Gothic"/>
        <family val="0"/>
        <charset val="1"/>
      </rPr>
      <t xml:space="preserve">.</t>
    </r>
  </si>
  <si>
    <t xml:space="preserve">cards.12.direct.slow_rx.why</t>
  </si>
  <si>
    <r>
      <rPr>
        <sz val="10"/>
        <rFont val="Noto Sans CJK SC"/>
        <family val="2"/>
      </rPr>
      <t xml:space="preserve">쉬어야 할 때 더 밀어붙이면 힘이 빠지니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할 일을 하나 덜어 내면 멈춤을 바라는 몸과 마음에 자리가 생깁니다</t>
    </r>
    <r>
      <rPr>
        <sz val="10"/>
        <rFont val="Malgun Gothic"/>
        <family val="0"/>
        <charset val="1"/>
      </rPr>
      <t xml:space="preserve">.</t>
    </r>
  </si>
  <si>
    <t xml:space="preserve">cards.12.direct.three.title</t>
  </si>
  <si>
    <t xml:space="preserve">애쓸수록 힘 빠지는 일 미루기</t>
  </si>
  <si>
    <t xml:space="preserve">cards.12.direct.three.how</t>
  </si>
  <si>
    <r>
      <rPr>
        <sz val="10"/>
        <rFont val="Noto Sans CJK SC"/>
        <family val="2"/>
      </rPr>
      <t xml:space="preserve">이번 주 할 일 목록에서 애쓸수록 힘이 더 빠지는 일을 하나 골라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다음 주 칸으로 옮겨 적어 보세요</t>
    </r>
    <r>
      <rPr>
        <sz val="10"/>
        <rFont val="Malgun Gothic"/>
        <family val="0"/>
        <charset val="1"/>
      </rPr>
      <t xml:space="preserve">.</t>
    </r>
  </si>
  <si>
    <t xml:space="preserve">cards.12.direct.three.time</t>
  </si>
  <si>
    <t xml:space="preserve">cards.12.direct.three.why</t>
  </si>
  <si>
    <r>
      <rPr>
        <sz val="10"/>
        <rFont val="Noto Sans CJK SC"/>
        <family val="2"/>
      </rPr>
      <t xml:space="preserve">밀어붙이던 일을 하나 덜어 내면 쉬어야 할 때 쉬는 몸과 마음의 신호를 따를 수 있습니다</t>
    </r>
    <r>
      <rPr>
        <sz val="10"/>
        <rFont val="Malgun Gothic"/>
        <family val="0"/>
        <charset val="1"/>
      </rPr>
      <t xml:space="preserve">.</t>
    </r>
  </si>
  <si>
    <t xml:space="preserve">cards.12.reversed.direct.slow_short</t>
  </si>
  <si>
    <t xml:space="preserve">쉬면 안 된다는 죄책감</t>
  </si>
  <si>
    <t xml:space="preserve">cards.12.reversed.direct.key_rx.title</t>
  </si>
  <si>
    <t xml:space="preserve">쉬는 일도 할 일 목록에 적기</t>
  </si>
  <si>
    <t xml:space="preserve">cards.12.reversed.direct.key_rx.how</t>
  </si>
  <si>
    <r>
      <rPr>
        <sz val="10"/>
        <rFont val="Noto Sans CJK SC"/>
        <family val="2"/>
      </rPr>
      <t xml:space="preserve">오늘 할 일 목록 맨 위에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쉬기 </t>
    </r>
    <r>
      <rPr>
        <sz val="10"/>
        <rFont val="Malgun Gothic"/>
        <family val="0"/>
        <charset val="1"/>
      </rPr>
      <t xml:space="preserve">15</t>
    </r>
    <r>
      <rPr>
        <sz val="10"/>
        <rFont val="Noto Sans CJK SC"/>
        <family val="2"/>
      </rPr>
      <t xml:space="preserve">분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을 적고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해낸 뒤에는 다른 할 일처럼 체크 표시를 해 보세요</t>
    </r>
    <r>
      <rPr>
        <sz val="10"/>
        <rFont val="Malgun Gothic"/>
        <family val="0"/>
        <charset val="1"/>
      </rPr>
      <t xml:space="preserve">.</t>
    </r>
  </si>
  <si>
    <t xml:space="preserve">cards.12.reversed.direct.key_rx.why</t>
  </si>
  <si>
    <r>
      <rPr>
        <sz val="10"/>
        <rFont val="Noto Sans CJK SC"/>
        <family val="2"/>
      </rPr>
      <t xml:space="preserve">쉬는 것도 오늘 해야 할 일이라는 데 마음을 두면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죄책감 없이 짧게 쉬어도 몸과 마음이 개운해져요</t>
    </r>
    <r>
      <rPr>
        <sz val="10"/>
        <rFont val="Malgun Gothic"/>
        <family val="0"/>
        <charset val="1"/>
      </rPr>
      <t xml:space="preserve">.</t>
    </r>
  </si>
  <si>
    <t xml:space="preserve">cards.12.reversed.direct.today.title</t>
  </si>
  <si>
    <t xml:space="preserve">쉬기 체크 표시 하나</t>
  </si>
  <si>
    <t xml:space="preserve">cards.12.reversed.direct.today.how</t>
  </si>
  <si>
    <r>
      <rPr>
        <sz val="10"/>
        <rFont val="Noto Sans CJK SC"/>
        <family val="2"/>
      </rPr>
      <t xml:space="preserve">할 일 목록에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쉬기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를 적어 두고</t>
    </r>
    <r>
      <rPr>
        <sz val="10"/>
        <rFont val="Malgun Gothic"/>
        <family val="0"/>
        <charset val="1"/>
      </rPr>
      <t xml:space="preserve">, 3</t>
    </r>
    <r>
      <rPr>
        <sz val="10"/>
        <rFont val="Noto Sans CJK SC"/>
        <family val="2"/>
      </rPr>
      <t xml:space="preserve">분 동안 눈을 감고 앉아 쉰 뒤 체크 표시를 해 보세요</t>
    </r>
    <r>
      <rPr>
        <sz val="10"/>
        <rFont val="Malgun Gothic"/>
        <family val="0"/>
        <charset val="1"/>
      </rPr>
      <t xml:space="preserve">.</t>
    </r>
  </si>
  <si>
    <t xml:space="preserve">cards.12.reversed.direct.today.time</t>
  </si>
  <si>
    <t xml:space="preserve">cards.12.reversed.direct.today.why</t>
  </si>
  <si>
    <r>
      <rPr>
        <sz val="10"/>
        <rFont val="Noto Sans CJK SC"/>
        <family val="2"/>
      </rPr>
      <t xml:space="preserve">쉬는 일에 체크 표시를 하면 쉬는 시간도 해낸 일로 남아 마음이 훨씬 편해집니다</t>
    </r>
    <r>
      <rPr>
        <sz val="10"/>
        <rFont val="Malgun Gothic"/>
        <family val="0"/>
        <charset val="1"/>
      </rPr>
      <t xml:space="preserve">.</t>
    </r>
  </si>
  <si>
    <t xml:space="preserve">cards.12.reversed.direct.week.title</t>
  </si>
  <si>
    <t xml:space="preserve">하루 한 번 쉬기 체크하기</t>
  </si>
  <si>
    <t xml:space="preserve">cards.12.reversed.direct.week.how</t>
  </si>
  <si>
    <r>
      <rPr>
        <sz val="10"/>
        <rFont val="Noto Sans CJK SC"/>
        <family val="2"/>
      </rPr>
      <t xml:space="preserve">이번 주 매일 할 일 목록에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쉬기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를 넣고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쉬고 난 뒤 체크 표시와 함께 몸 상태를 한 줄 적어 보세요</t>
    </r>
    <r>
      <rPr>
        <sz val="10"/>
        <rFont val="Malgun Gothic"/>
        <family val="0"/>
        <charset val="1"/>
      </rPr>
      <t xml:space="preserve">.</t>
    </r>
  </si>
  <si>
    <t xml:space="preserve">cards.12.reversed.direct.week.time</t>
  </si>
  <si>
    <t xml:space="preserve">cards.12.reversed.direct.week.why</t>
  </si>
  <si>
    <r>
      <rPr>
        <sz val="10"/>
        <rFont val="Noto Sans CJK SC"/>
        <family val="2"/>
      </rPr>
      <t xml:space="preserve">쉬는 일을 날마다 해낸 일로 쌓으면 쉬어도 된다는 생각이 점점 익숙해집니다</t>
    </r>
    <r>
      <rPr>
        <sz val="10"/>
        <rFont val="Malgun Gothic"/>
        <family val="0"/>
        <charset val="1"/>
      </rPr>
      <t xml:space="preserve">.</t>
    </r>
  </si>
  <si>
    <t xml:space="preserve">cards.12.reversed.direct.slow_rx.title</t>
  </si>
  <si>
    <t xml:space="preserve">죄책감 문장 바꿔 쓰기</t>
  </si>
  <si>
    <t xml:space="preserve">cards.12.reversed.direct.slow_rx.how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</si>
  <si>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쉬면 안 된다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는 생각이 올라오면 그대로 노트에 적고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 아래에 쉬어도 되는 이유를 한 줄 덧붙여 보세요</t>
    </r>
    <r>
      <rPr>
        <sz val="10"/>
        <rFont val="Malgun Gothic"/>
        <family val="0"/>
        <charset val="1"/>
      </rPr>
      <t xml:space="preserve">.</t>
    </r>
  </si>
  <si>
    <t xml:space="preserve">cards.12.reversed.direct.slow_rx.why</t>
  </si>
  <si>
    <r>
      <rPr>
        <sz val="10"/>
        <rFont val="Noto Sans CJK SC"/>
        <family val="2"/>
      </rPr>
      <t xml:space="preserve">쉬면 안 된다는 죄책감은 쉬는 시간을 개운하지 않게 만들어요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쉬어도 되는 이유를 적어 두면 죄책감이 줄어요</t>
    </r>
    <r>
      <rPr>
        <sz val="10"/>
        <rFont val="Malgun Gothic"/>
        <family val="0"/>
        <charset val="1"/>
      </rPr>
      <t xml:space="preserve">.</t>
    </r>
  </si>
  <si>
    <t xml:space="preserve">cards.12.reversed.direct.three.title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</si>
  <si>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쉬면 안 된다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문장 다시 쓰기</t>
    </r>
  </si>
  <si>
    <t xml:space="preserve">cards.12.reversed.direct.three.how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</si>
  <si>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쉬면 안 된다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는 문장을 세 번 적고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그때마다 쉬어도 되는 이유를 한 줄씩 덧붙여 문장을 새로 써 보세요</t>
    </r>
    <r>
      <rPr>
        <sz val="10"/>
        <rFont val="Malgun Gothic"/>
        <family val="0"/>
        <charset val="1"/>
      </rPr>
      <t xml:space="preserve">.</t>
    </r>
  </si>
  <si>
    <t xml:space="preserve">cards.12.reversed.direct.three.time</t>
  </si>
  <si>
    <t xml:space="preserve">cards.12.reversed.direct.three.why</t>
  </si>
  <si>
    <r>
      <rPr>
        <sz val="10"/>
        <rFont val="Noto Sans CJK SC"/>
        <family val="2"/>
      </rPr>
      <t xml:space="preserve">죄책감 문장을 직접 고쳐 쓰면 쉬지도 나아가지도 못하던 시간이 쉬는 시간으로 바뀝니다</t>
    </r>
    <r>
      <rPr>
        <sz val="10"/>
        <rFont val="Malgun Gothic"/>
        <family val="0"/>
        <charset val="1"/>
      </rPr>
      <t xml:space="preserve">.</t>
    </r>
  </si>
  <si>
    <t xml:space="preserve">cards.13.direct.slow_short</t>
  </si>
  <si>
    <t xml:space="preserve">마무리를 미루는 습관</t>
  </si>
  <si>
    <t xml:space="preserve">cards.13.direct.key_rx.title</t>
  </si>
  <si>
    <t xml:space="preserve">고마운 것과 내려놓을 것 나눠 적기</t>
  </si>
  <si>
    <t xml:space="preserve">cards.13.direct.key_rx.how</t>
  </si>
  <si>
    <r>
      <rPr>
        <sz val="10"/>
        <rFont val="Noto Sans CJK SC"/>
        <family val="2"/>
      </rPr>
      <t xml:space="preserve">끝나 가는 일을 떠올리며 노트 왼쪽에는 고마웠던 것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오른쪽에는 이제 내려놓을 것을 적어 보세요</t>
    </r>
    <r>
      <rPr>
        <sz val="10"/>
        <rFont val="Malgun Gothic"/>
        <family val="0"/>
        <charset val="1"/>
      </rPr>
      <t xml:space="preserve">.</t>
    </r>
  </si>
  <si>
    <t xml:space="preserve">cards.13.direct.key_rx.why</t>
  </si>
  <si>
    <r>
      <rPr>
        <sz val="10"/>
        <rFont val="Noto Sans CJK SC"/>
        <family val="2"/>
      </rPr>
      <t xml:space="preserve">고마웠던 것과 이제 내려놓을 것을 구분하는 데 마음을 두면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잘 보내 준 자리에 지금의 나에게 맞는 새 집이 들어서요</t>
    </r>
    <r>
      <rPr>
        <sz val="10"/>
        <rFont val="Malgun Gothic"/>
        <family val="0"/>
        <charset val="1"/>
      </rPr>
      <t xml:space="preserve">.</t>
    </r>
  </si>
  <si>
    <t xml:space="preserve">cards.13.direct.today.title</t>
  </si>
  <si>
    <t xml:space="preserve">두 칸 목록 세 줄씩</t>
  </si>
  <si>
    <t xml:space="preserve">cards.13.direct.today.how</t>
  </si>
  <si>
    <r>
      <rPr>
        <sz val="10"/>
        <rFont val="Noto Sans CJK SC"/>
        <family val="2"/>
      </rPr>
      <t xml:space="preserve">노트에 두 칸을 그리고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끝나 가는 일에서 고마웠던 것 세 가지와 내려놓을 것 세 가지를 적어 보세요</t>
    </r>
    <r>
      <rPr>
        <sz val="10"/>
        <rFont val="Malgun Gothic"/>
        <family val="0"/>
        <charset val="1"/>
      </rPr>
      <t xml:space="preserve">.</t>
    </r>
  </si>
  <si>
    <t xml:space="preserve">cards.13.direct.today.time</t>
  </si>
  <si>
    <t xml:space="preserve">cards.13.direct.today.why</t>
  </si>
  <si>
    <r>
      <rPr>
        <sz val="10"/>
        <rFont val="Noto Sans CJK SC"/>
        <family val="2"/>
      </rPr>
      <t xml:space="preserve">고마운 것과 내려놓을 것을 나눠 적으면 뒤섞였던 아쉬움과 홀가분함이 따로 보여요</t>
    </r>
    <r>
      <rPr>
        <sz val="10"/>
        <rFont val="Malgun Gothic"/>
        <family val="0"/>
        <charset val="1"/>
      </rPr>
      <t xml:space="preserve">.</t>
    </r>
  </si>
  <si>
    <t xml:space="preserve">cards.13.direct.week.title</t>
  </si>
  <si>
    <t xml:space="preserve">하루 한 줄씩 나눠 적기</t>
  </si>
  <si>
    <t xml:space="preserve">cards.13.direct.week.how</t>
  </si>
  <si>
    <r>
      <rPr>
        <sz val="10"/>
        <rFont val="Noto Sans CJK SC"/>
        <family val="2"/>
      </rPr>
      <t xml:space="preserve">이번 주 매일 끝나 가는 일에서 고마웠던 것 한 줄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내려놓을 것 한 줄을 적어 목록을 채워 보세요</t>
    </r>
    <r>
      <rPr>
        <sz val="10"/>
        <rFont val="Malgun Gothic"/>
        <family val="0"/>
        <charset val="1"/>
      </rPr>
      <t xml:space="preserve">.</t>
    </r>
  </si>
  <si>
    <t xml:space="preserve">cards.13.direct.week.time</t>
  </si>
  <si>
    <t xml:space="preserve">cards.13.direct.week.why</t>
  </si>
  <si>
    <r>
      <rPr>
        <sz val="10"/>
        <rFont val="Noto Sans CJK SC"/>
        <family val="2"/>
      </rPr>
      <t xml:space="preserve">날마다 조금씩 나눠 적으면 보내 주는 마무리가 부담 없이 이어져요</t>
    </r>
    <r>
      <rPr>
        <sz val="10"/>
        <rFont val="Malgun Gothic"/>
        <family val="0"/>
        <charset val="1"/>
      </rPr>
      <t xml:space="preserve">.</t>
    </r>
  </si>
  <si>
    <t xml:space="preserve">cards.13.direct.slow_rx.title</t>
  </si>
  <si>
    <t xml:space="preserve">마무리 하나에 날짜 정하기</t>
  </si>
  <si>
    <t xml:space="preserve">cards.13.direct.slow_rx.how</t>
  </si>
  <si>
    <r>
      <rPr>
        <sz val="10"/>
        <rFont val="Noto Sans CJK SC"/>
        <family val="2"/>
      </rPr>
      <t xml:space="preserve">끝나 가는 일에서 마무리할 것 하나를 골라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달력에 날짜를 적어 두세요</t>
    </r>
    <r>
      <rPr>
        <sz val="10"/>
        <rFont val="Malgun Gothic"/>
        <family val="0"/>
        <charset val="1"/>
      </rPr>
      <t xml:space="preserve">.</t>
    </r>
  </si>
  <si>
    <t xml:space="preserve">cards.13.direct.slow_rx.why</t>
  </si>
  <si>
    <r>
      <rPr>
        <sz val="10"/>
        <rFont val="Noto Sans CJK SC"/>
        <family val="2"/>
      </rPr>
      <t xml:space="preserve">마무리를 미루면 아쉬움과 홀가분함이 뒤섞인 채 남으니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날짜를 정해 두면 새로 시작할 힘이 흩어지지 않습니다</t>
    </r>
    <r>
      <rPr>
        <sz val="10"/>
        <rFont val="Malgun Gothic"/>
        <family val="0"/>
        <charset val="1"/>
      </rPr>
      <t xml:space="preserve">.</t>
    </r>
  </si>
  <si>
    <t xml:space="preserve">cards.13.direct.three.title</t>
  </si>
  <si>
    <t xml:space="preserve">마무리 가장 작은 부분 해 보기</t>
  </si>
  <si>
    <t xml:space="preserve">cards.13.direct.three.how</t>
  </si>
  <si>
    <r>
      <rPr>
        <sz val="10"/>
        <rFont val="Noto Sans CJK SC"/>
        <family val="2"/>
      </rPr>
      <t xml:space="preserve">날짜를 정한 마무리에서 가장 작은 부분을 골라</t>
    </r>
    <r>
      <rPr>
        <sz val="10"/>
        <rFont val="Malgun Gothic"/>
        <family val="0"/>
        <charset val="1"/>
      </rPr>
      <t xml:space="preserve">, 15</t>
    </r>
    <r>
      <rPr>
        <sz val="10"/>
        <rFont val="Noto Sans CJK SC"/>
        <family val="2"/>
      </rPr>
      <t xml:space="preserve">분 동안 끝내 보세요</t>
    </r>
    <r>
      <rPr>
        <sz val="10"/>
        <rFont val="Malgun Gothic"/>
        <family val="0"/>
        <charset val="1"/>
      </rPr>
      <t xml:space="preserve">.</t>
    </r>
  </si>
  <si>
    <t xml:space="preserve">cards.13.direct.three.time</t>
  </si>
  <si>
    <t xml:space="preserve">cards.13.direct.three.why</t>
  </si>
  <si>
    <r>
      <rPr>
        <sz val="10"/>
        <rFont val="Noto Sans CJK SC"/>
        <family val="2"/>
      </rPr>
      <t xml:space="preserve">미루던 마무리의 작은 부분을 끝내 보면 새로 시작할 힘을 모아 둘 수 있어요</t>
    </r>
    <r>
      <rPr>
        <sz val="10"/>
        <rFont val="Malgun Gothic"/>
        <family val="0"/>
        <charset val="1"/>
      </rPr>
      <t xml:space="preserve">.</t>
    </r>
  </si>
  <si>
    <t xml:space="preserve">cards.13.reversed.direct.slow_short</t>
  </si>
  <si>
    <t xml:space="preserve">끝을 붙들고 있는 마음</t>
  </si>
  <si>
    <t xml:space="preserve">cards.13.reversed.direct.key_rx.title</t>
  </si>
  <si>
    <t xml:space="preserve">정리하고 싶은 것 세 가지 적기</t>
  </si>
  <si>
    <t xml:space="preserve">cards.13.reversed.direct.key_rx.how</t>
  </si>
  <si>
    <r>
      <rPr>
        <sz val="10"/>
        <rFont val="Noto Sans CJK SC"/>
        <family val="2"/>
      </rPr>
      <t xml:space="preserve">지금 머무는 자리에서 정리하고 싶은 것을 떠오르는 대로 세 가지 적어 보세요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크든 작든 괜찮아요</t>
    </r>
    <r>
      <rPr>
        <sz val="10"/>
        <rFont val="Malgun Gothic"/>
        <family val="0"/>
        <charset val="1"/>
      </rPr>
      <t xml:space="preserve">.</t>
    </r>
  </si>
  <si>
    <t xml:space="preserve">cards.13.reversed.direct.key_rx.why</t>
  </si>
  <si>
    <r>
      <rPr>
        <sz val="10"/>
        <rFont val="Noto Sans CJK SC"/>
        <family val="2"/>
      </rPr>
      <t xml:space="preserve">무엇을 정리하고 싶은지 알아차리는 데 마음을 두면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놓을 것이 또렷해져 변화도 감당할 만한 크기로 느껴집니다</t>
    </r>
    <r>
      <rPr>
        <sz val="10"/>
        <rFont val="Malgun Gothic"/>
        <family val="0"/>
        <charset val="1"/>
      </rPr>
      <t xml:space="preserve">.</t>
    </r>
  </si>
  <si>
    <t xml:space="preserve">cards.13.reversed.direct.today.title</t>
  </si>
  <si>
    <t xml:space="preserve">정리하고 싶은 것 한 줄</t>
  </si>
  <si>
    <t xml:space="preserve">cards.13.reversed.direct.today.how</t>
  </si>
  <si>
    <r>
      <rPr>
        <sz val="10"/>
        <rFont val="Noto Sans CJK SC"/>
        <family val="2"/>
      </rPr>
      <t xml:space="preserve">지금 가장 정리하고 싶은 것 하나를 노트에 한 줄로 적어 보세요</t>
    </r>
    <r>
      <rPr>
        <sz val="10"/>
        <rFont val="Malgun Gothic"/>
        <family val="0"/>
        <charset val="1"/>
      </rPr>
      <t xml:space="preserve">.</t>
    </r>
  </si>
  <si>
    <t xml:space="preserve">cards.13.reversed.direct.today.time</t>
  </si>
  <si>
    <t xml:space="preserve">cards.13.reversed.direct.today.why</t>
  </si>
  <si>
    <r>
      <rPr>
        <sz val="10"/>
        <rFont val="Noto Sans CJK SC"/>
        <family val="2"/>
      </rPr>
      <t xml:space="preserve">정리하고 싶은 것을 한 줄로 적어 보면 막연하던 변화가 감당할 만한 크기로 줄어들어요</t>
    </r>
    <r>
      <rPr>
        <sz val="10"/>
        <rFont val="Malgun Gothic"/>
        <family val="0"/>
        <charset val="1"/>
      </rPr>
      <t xml:space="preserve">.</t>
    </r>
  </si>
  <si>
    <t xml:space="preserve">cards.13.reversed.direct.week.title</t>
  </si>
  <si>
    <t xml:space="preserve">정리 후보 하루 하나씩 적기</t>
  </si>
  <si>
    <t xml:space="preserve">cards.13.reversed.direct.week.how</t>
  </si>
  <si>
    <r>
      <rPr>
        <sz val="10"/>
        <rFont val="Noto Sans CJK SC"/>
        <family val="2"/>
      </rPr>
      <t xml:space="preserve">이번 주 매일 정리하고 싶은 것 하나를 노트에 더해 보세요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일주일이 지나면 되풀이해서 나오는 것이 보입니다</t>
    </r>
    <r>
      <rPr>
        <sz val="10"/>
        <rFont val="Malgun Gothic"/>
        <family val="0"/>
        <charset val="1"/>
      </rPr>
      <t xml:space="preserve">.</t>
    </r>
  </si>
  <si>
    <t xml:space="preserve">cards.13.reversed.direct.week.time</t>
  </si>
  <si>
    <t xml:space="preserve">cards.13.reversed.direct.week.why</t>
  </si>
  <si>
    <r>
      <rPr>
        <sz val="10"/>
        <rFont val="Noto Sans CJK SC"/>
        <family val="2"/>
      </rPr>
      <t xml:space="preserve">정리하고 싶은 것을 날마다 적으면 정말 놓고 싶은 것이 또렷해져요</t>
    </r>
    <r>
      <rPr>
        <sz val="10"/>
        <rFont val="Malgun Gothic"/>
        <family val="0"/>
        <charset val="1"/>
      </rPr>
      <t xml:space="preserve">.</t>
    </r>
  </si>
  <si>
    <t xml:space="preserve">cards.13.reversed.direct.slow_rx.title</t>
  </si>
  <si>
    <t xml:space="preserve">끝나도 남는 것 다섯 줄 적기</t>
  </si>
  <si>
    <t xml:space="preserve">cards.13.reversed.direct.slow_rx.how</t>
  </si>
  <si>
    <r>
      <rPr>
        <sz val="10"/>
        <rFont val="Noto Sans CJK SC"/>
        <family val="2"/>
      </rPr>
      <t xml:space="preserve">끝을 떠올리면서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그래도 남아 있는 것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을 노트에 다섯 줄 적어 보세요</t>
    </r>
    <r>
      <rPr>
        <sz val="10"/>
        <rFont val="Malgun Gothic"/>
        <family val="0"/>
        <charset val="1"/>
      </rPr>
      <t xml:space="preserve">.</t>
    </r>
  </si>
  <si>
    <t xml:space="preserve">cards.13.reversed.direct.slow_rx.why</t>
  </si>
  <si>
    <r>
      <rPr>
        <sz val="10"/>
        <rFont val="Noto Sans CJK SC"/>
        <family val="2"/>
      </rPr>
      <t xml:space="preserve">끝을 인정하면 다 무너질 것 같아 붙들게 되니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끝나도 남는 것을 적어 보면 무너진다는 걱정이 줄어요</t>
    </r>
    <r>
      <rPr>
        <sz val="10"/>
        <rFont val="Malgun Gothic"/>
        <family val="0"/>
        <charset val="1"/>
      </rPr>
      <t xml:space="preserve">.</t>
    </r>
  </si>
  <si>
    <t xml:space="preserve">cards.13.reversed.direct.three.title</t>
  </si>
  <si>
    <t xml:space="preserve">끝나도 남는 것 열 줄 채우기</t>
  </si>
  <si>
    <t xml:space="preserve">cards.13.reversed.direct.three.how</t>
  </si>
  <si>
    <r>
      <rPr>
        <sz val="10"/>
        <rFont val="Noto Sans CJK SC"/>
        <family val="2"/>
      </rPr>
      <t xml:space="preserve">끝을 인정하면 무너질 것 같은 마음 옆에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그래도 남아 있는 것을 열 줄 채워 적어 보세요</t>
    </r>
    <r>
      <rPr>
        <sz val="10"/>
        <rFont val="Malgun Gothic"/>
        <family val="0"/>
        <charset val="1"/>
      </rPr>
      <t xml:space="preserve">.</t>
    </r>
  </si>
  <si>
    <t xml:space="preserve">cards.13.reversed.direct.three.time</t>
  </si>
  <si>
    <t xml:space="preserve">cards.13.reversed.direct.three.why</t>
  </si>
  <si>
    <r>
      <rPr>
        <sz val="10"/>
        <rFont val="Noto Sans CJK SC"/>
        <family val="2"/>
      </rPr>
      <t xml:space="preserve">끝나도 남는 것을 눈으로 확인하면 머물러도 떠나도 버겁던 마음에 움직일 틈이 생겨요</t>
    </r>
    <r>
      <rPr>
        <sz val="10"/>
        <rFont val="Malgun Gothic"/>
        <family val="0"/>
        <charset val="1"/>
      </rPr>
      <t xml:space="preserve">.</t>
    </r>
  </si>
  <si>
    <t xml:space="preserve">cards.14.direct.slow_short</t>
  </si>
  <si>
    <t xml:space="preserve">전부 아니면 전무로 보는 생각</t>
  </si>
  <si>
    <t xml:space="preserve">cards.14.direct.key_rx.title</t>
  </si>
  <si>
    <t xml:space="preserve">오늘의 비율 정해 보기</t>
  </si>
  <si>
    <t xml:space="preserve">cards.14.direct.key_rx.how</t>
  </si>
  <si>
    <r>
      <rPr>
        <sz val="10"/>
        <rFont val="Noto Sans CJK SC"/>
        <family val="2"/>
      </rPr>
      <t xml:space="preserve">고민 중인 두 가지 중 오늘은 어느 쪽에 얼마나 쓸지 </t>
    </r>
    <r>
      <rPr>
        <sz val="10"/>
        <rFont val="Malgun Gothic"/>
        <family val="0"/>
        <charset val="1"/>
      </rPr>
      <t xml:space="preserve">'6</t>
    </r>
    <r>
      <rPr>
        <sz val="10"/>
        <rFont val="Noto Sans CJK SC"/>
        <family val="2"/>
      </rPr>
      <t xml:space="preserve">대 </t>
    </r>
    <r>
      <rPr>
        <sz val="10"/>
        <rFont val="Malgun Gothic"/>
        <family val="0"/>
        <charset val="1"/>
      </rPr>
      <t xml:space="preserve">4'</t>
    </r>
    <r>
      <rPr>
        <sz val="10"/>
        <rFont val="Noto Sans CJK SC"/>
        <family val="2"/>
      </rPr>
      <t xml:space="preserve">처럼 노트에 적어 보세요</t>
    </r>
    <r>
      <rPr>
        <sz val="10"/>
        <rFont val="Malgun Gothic"/>
        <family val="0"/>
        <charset val="1"/>
      </rPr>
      <t xml:space="preserve">.</t>
    </r>
  </si>
  <si>
    <t xml:space="preserve">cards.14.direct.key_rx.why</t>
  </si>
  <si>
    <r>
      <rPr>
        <sz val="10"/>
        <rFont val="Noto Sans CJK SC"/>
        <family val="2"/>
      </rPr>
      <t xml:space="preserve">나에게 알맞은 비율을 찾는 데 마음을 두면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비율이 날마다 달라져도 된다고 여겨 선택이 훨씬 가벼워집니다</t>
    </r>
    <r>
      <rPr>
        <sz val="10"/>
        <rFont val="Malgun Gothic"/>
        <family val="0"/>
        <charset val="1"/>
      </rPr>
      <t xml:space="preserve">.</t>
    </r>
  </si>
  <si>
    <t xml:space="preserve">cards.14.direct.today.title</t>
  </si>
  <si>
    <t xml:space="preserve">오늘 비율 한 줄</t>
  </si>
  <si>
    <t xml:space="preserve">cards.14.direct.today.how</t>
  </si>
  <si>
    <r>
      <rPr>
        <sz val="10"/>
        <rFont val="Noto Sans CJK SC"/>
        <family val="2"/>
      </rPr>
      <t xml:space="preserve">고민 중인 두 가지에 오늘 쓸 비율을 </t>
    </r>
    <r>
      <rPr>
        <sz val="10"/>
        <rFont val="Malgun Gothic"/>
        <family val="0"/>
        <charset val="1"/>
      </rPr>
      <t xml:space="preserve">'5</t>
    </r>
    <r>
      <rPr>
        <sz val="10"/>
        <rFont val="Noto Sans CJK SC"/>
        <family val="2"/>
      </rPr>
      <t xml:space="preserve">대 </t>
    </r>
    <r>
      <rPr>
        <sz val="10"/>
        <rFont val="Malgun Gothic"/>
        <family val="0"/>
        <charset val="1"/>
      </rPr>
      <t xml:space="preserve">5'</t>
    </r>
    <r>
      <rPr>
        <sz val="10"/>
        <rFont val="Noto Sans CJK SC"/>
        <family val="2"/>
      </rPr>
      <t xml:space="preserve">나 </t>
    </r>
    <r>
      <rPr>
        <sz val="10"/>
        <rFont val="Malgun Gothic"/>
        <family val="0"/>
        <charset val="1"/>
      </rPr>
      <t xml:space="preserve">'7</t>
    </r>
    <r>
      <rPr>
        <sz val="10"/>
        <rFont val="Noto Sans CJK SC"/>
        <family val="2"/>
      </rPr>
      <t xml:space="preserve">대 </t>
    </r>
    <r>
      <rPr>
        <sz val="10"/>
        <rFont val="Malgun Gothic"/>
        <family val="0"/>
        <charset val="1"/>
      </rPr>
      <t xml:space="preserve">3'</t>
    </r>
    <r>
      <rPr>
        <sz val="10"/>
        <rFont val="Noto Sans CJK SC"/>
        <family val="2"/>
      </rPr>
      <t xml:space="preserve">처럼 한 줄로 적어 보세요</t>
    </r>
    <r>
      <rPr>
        <sz val="10"/>
        <rFont val="Malgun Gothic"/>
        <family val="0"/>
        <charset val="1"/>
      </rPr>
      <t xml:space="preserve">.</t>
    </r>
  </si>
  <si>
    <t xml:space="preserve">cards.14.direct.today.time</t>
  </si>
  <si>
    <t xml:space="preserve">cards.14.direct.today.why</t>
  </si>
  <si>
    <r>
      <rPr>
        <sz val="10"/>
        <rFont val="Noto Sans CJK SC"/>
        <family val="2"/>
      </rPr>
      <t xml:space="preserve">오늘의 비율만 정해 보면 하나를 고르지 않아도 된다는 걸 가볍게 느낄 수 있어요</t>
    </r>
    <r>
      <rPr>
        <sz val="10"/>
        <rFont val="Malgun Gothic"/>
        <family val="0"/>
        <charset val="1"/>
      </rPr>
      <t xml:space="preserve">.</t>
    </r>
  </si>
  <si>
    <t xml:space="preserve">cards.14.direct.week.title</t>
  </si>
  <si>
    <t xml:space="preserve">날마다 비율 새로 적어 보기</t>
  </si>
  <si>
    <t xml:space="preserve">cards.14.direct.week.how</t>
  </si>
  <si>
    <r>
      <rPr>
        <sz val="10"/>
        <rFont val="Noto Sans CJK SC"/>
        <family val="2"/>
      </rPr>
      <t xml:space="preserve">이번 주 매일 아침 두 가지에 쓸 비율을 새로 적고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저녁에 실제로 어땠는지 한 줄 덧붙여 보세요</t>
    </r>
    <r>
      <rPr>
        <sz val="10"/>
        <rFont val="Malgun Gothic"/>
        <family val="0"/>
        <charset val="1"/>
      </rPr>
      <t xml:space="preserve">.</t>
    </r>
  </si>
  <si>
    <t xml:space="preserve">cards.14.direct.week.time</t>
  </si>
  <si>
    <t xml:space="preserve">cards.14.direct.week.why</t>
  </si>
  <si>
    <r>
      <rPr>
        <sz val="10"/>
        <rFont val="Noto Sans CJK SC"/>
        <family val="2"/>
      </rPr>
      <t xml:space="preserve">비율이 날마다 달라져도 괜찮다는 걸 직접 적어 보면 나에게 알맞은 비율이 보입니다</t>
    </r>
    <r>
      <rPr>
        <sz val="10"/>
        <rFont val="Malgun Gothic"/>
        <family val="0"/>
        <charset val="1"/>
      </rPr>
      <t xml:space="preserve">.</t>
    </r>
  </si>
  <si>
    <t xml:space="preserve">cards.14.direct.slow_rx.title</t>
  </si>
  <si>
    <t xml:space="preserve">전부와 전무 사이 단계 적기</t>
  </si>
  <si>
    <t xml:space="preserve">cards.14.direct.slow_rx.how</t>
  </si>
  <si>
    <r>
      <rPr>
        <sz val="10"/>
        <rFont val="Noto Sans CJK SC"/>
        <family val="2"/>
      </rPr>
      <t xml:space="preserve">고르기 어려운 일을 적고</t>
    </r>
    <r>
      <rPr>
        <sz val="10"/>
        <rFont val="Malgun Gothic"/>
        <family val="0"/>
        <charset val="1"/>
      </rPr>
      <t xml:space="preserve">, '</t>
    </r>
    <r>
      <rPr>
        <sz val="10"/>
        <rFont val="Noto Sans CJK SC"/>
        <family val="2"/>
      </rPr>
      <t xml:space="preserve">전부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와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전혀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사이에 놓일 중간 단계를 세 가지 적어 보세요</t>
    </r>
    <r>
      <rPr>
        <sz val="10"/>
        <rFont val="Malgun Gothic"/>
        <family val="0"/>
        <charset val="1"/>
      </rPr>
      <t xml:space="preserve">.</t>
    </r>
  </si>
  <si>
    <t xml:space="preserve">cards.14.direct.slow_rx.why</t>
  </si>
  <si>
    <r>
      <rPr>
        <sz val="10"/>
        <rFont val="Noto Sans CJK SC"/>
        <family val="2"/>
      </rPr>
      <t xml:space="preserve">전부 아니면 전무로만 생각하면 어느 쪽도 고르지 못하니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 사이 단계를 적어 보면 고를 길이 생겨요</t>
    </r>
    <r>
      <rPr>
        <sz val="10"/>
        <rFont val="Malgun Gothic"/>
        <family val="0"/>
        <charset val="1"/>
      </rPr>
      <t xml:space="preserve">.</t>
    </r>
  </si>
  <si>
    <t xml:space="preserve">cards.14.direct.three.title</t>
  </si>
  <si>
    <t xml:space="preserve">중간 단계 다섯 개 적어 보기</t>
  </si>
  <si>
    <t xml:space="preserve">cards.14.direct.three.how</t>
  </si>
  <si>
    <r>
      <rPr>
        <sz val="10"/>
        <rFont val="Noto Sans CJK SC"/>
        <family val="2"/>
      </rPr>
      <t xml:space="preserve">고르기 어려운 일 하나에 대해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전부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와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전혀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사이의 중간 단계를 다섯 가지 적고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지금 가능한 단계에 동그라미를 쳐 보세요</t>
    </r>
    <r>
      <rPr>
        <sz val="10"/>
        <rFont val="Malgun Gothic"/>
        <family val="0"/>
        <charset val="1"/>
      </rPr>
      <t xml:space="preserve">.</t>
    </r>
  </si>
  <si>
    <t xml:space="preserve">cards.14.direct.three.time</t>
  </si>
  <si>
    <t xml:space="preserve">cards.14.direct.three.why</t>
  </si>
  <si>
    <r>
      <rPr>
        <sz val="10"/>
        <rFont val="Noto Sans CJK SC"/>
        <family val="2"/>
      </rPr>
      <t xml:space="preserve">중간 단계를 눈으로 보면 한쪽에도 마음을 다 쓰지 못하던 고민이 지금 할 수 있는 일로 좁혀져요</t>
    </r>
    <r>
      <rPr>
        <sz val="10"/>
        <rFont val="Malgun Gothic"/>
        <family val="0"/>
        <charset val="1"/>
      </rPr>
      <t xml:space="preserve">.</t>
    </r>
  </si>
  <si>
    <t xml:space="preserve">cards.14.reversed.direct.slow_short</t>
  </si>
  <si>
    <t xml:space="preserve">한쪽에만 힘을 쏟는 패턴</t>
  </si>
  <si>
    <t xml:space="preserve">cards.14.reversed.direct.key_rx.title</t>
  </si>
  <si>
    <t xml:space="preserve">반대쪽에 쓰는 시간 늘리기</t>
  </si>
  <si>
    <t xml:space="preserve">cards.14.reversed.direct.key_rx.how</t>
  </si>
  <si>
    <r>
      <rPr>
        <sz val="10"/>
        <rFont val="Noto Sans CJK SC"/>
        <family val="2"/>
      </rPr>
      <t xml:space="preserve">하루 중 한쪽에 쓰는 시간에서 </t>
    </r>
    <r>
      <rPr>
        <sz val="10"/>
        <rFont val="Malgun Gothic"/>
        <family val="0"/>
        <charset val="1"/>
      </rPr>
      <t xml:space="preserve">20</t>
    </r>
    <r>
      <rPr>
        <sz val="10"/>
        <rFont val="Noto Sans CJK SC"/>
        <family val="2"/>
      </rPr>
      <t xml:space="preserve">분을 덜어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반대쪽 일에 쓰도록 오늘 일정에 옮겨 적어 보세요</t>
    </r>
    <r>
      <rPr>
        <sz val="10"/>
        <rFont val="Malgun Gothic"/>
        <family val="0"/>
        <charset val="1"/>
      </rPr>
      <t xml:space="preserve">.</t>
    </r>
  </si>
  <si>
    <t xml:space="preserve">cards.14.reversed.direct.key_rx.why</t>
  </si>
  <si>
    <r>
      <rPr>
        <sz val="10"/>
        <rFont val="Noto Sans CJK SC"/>
        <family val="2"/>
      </rPr>
      <t xml:space="preserve">기울어진 쪽에서 반대쪽으로 무게를 조금씩 옮기는 데 마음을 두면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극단 대신 알맞은 중간이 보여 여유가 생겨요</t>
    </r>
    <r>
      <rPr>
        <sz val="10"/>
        <rFont val="Malgun Gothic"/>
        <family val="0"/>
        <charset val="1"/>
      </rPr>
      <t xml:space="preserve">.</t>
    </r>
  </si>
  <si>
    <t xml:space="preserve">cards.14.reversed.direct.today.title</t>
  </si>
  <si>
    <r>
      <rPr>
        <sz val="10"/>
        <rFont val="Noto Sans CJK SC"/>
        <family val="2"/>
      </rPr>
      <t xml:space="preserve">반대쪽 일 </t>
    </r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분 해 보기</t>
    </r>
  </si>
  <si>
    <t xml:space="preserve">cards.14.reversed.direct.today.how</t>
  </si>
  <si>
    <r>
      <rPr>
        <sz val="10"/>
        <rFont val="Noto Sans CJK SC"/>
        <family val="2"/>
      </rPr>
      <t xml:space="preserve">평소 덜 하던 반대쪽 일을 지금 </t>
    </r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분만 해 보세요</t>
    </r>
    <r>
      <rPr>
        <sz val="10"/>
        <rFont val="Malgun Gothic"/>
        <family val="0"/>
        <charset val="1"/>
      </rPr>
      <t xml:space="preserve">.</t>
    </r>
  </si>
  <si>
    <t xml:space="preserve">cards.14.reversed.direct.today.time</t>
  </si>
  <si>
    <t xml:space="preserve">cards.14.reversed.direct.today.why</t>
  </si>
  <si>
    <r>
      <rPr>
        <sz val="10"/>
        <rFont val="Noto Sans CJK SC"/>
        <family val="2"/>
      </rPr>
      <t xml:space="preserve">반대쪽에 </t>
    </r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분만 써 보아도 무게가 옮겨 가는 느낌을 알 수 있어요</t>
    </r>
    <r>
      <rPr>
        <sz val="10"/>
        <rFont val="Malgun Gothic"/>
        <family val="0"/>
        <charset val="1"/>
      </rPr>
      <t xml:space="preserve">.</t>
    </r>
  </si>
  <si>
    <t xml:space="preserve">cards.14.reversed.direct.week.title</t>
  </si>
  <si>
    <r>
      <rPr>
        <sz val="10"/>
        <rFont val="Noto Sans CJK SC"/>
        <family val="2"/>
      </rPr>
      <t xml:space="preserve">하루 </t>
    </r>
    <r>
      <rPr>
        <sz val="10"/>
        <rFont val="Malgun Gothic"/>
        <family val="0"/>
        <charset val="1"/>
      </rPr>
      <t xml:space="preserve">20</t>
    </r>
    <r>
      <rPr>
        <sz val="10"/>
        <rFont val="Noto Sans CJK SC"/>
        <family val="2"/>
      </rPr>
      <t xml:space="preserve">분씩 무게 옮기기</t>
    </r>
  </si>
  <si>
    <t xml:space="preserve">cards.14.reversed.direct.week.how</t>
  </si>
  <si>
    <r>
      <rPr>
        <sz val="10"/>
        <rFont val="Noto Sans CJK SC"/>
        <family val="2"/>
      </rPr>
      <t xml:space="preserve">이번 주 매일 한쪽에 쓰던 시간 </t>
    </r>
    <r>
      <rPr>
        <sz val="10"/>
        <rFont val="Malgun Gothic"/>
        <family val="0"/>
        <charset val="1"/>
      </rPr>
      <t xml:space="preserve">20</t>
    </r>
    <r>
      <rPr>
        <sz val="10"/>
        <rFont val="Noto Sans CJK SC"/>
        <family val="2"/>
      </rPr>
      <t xml:space="preserve">분을 반대쪽 일에 쓰고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끝난 뒤 몸 상태를 한 줄 적어 보세요</t>
    </r>
    <r>
      <rPr>
        <sz val="10"/>
        <rFont val="Malgun Gothic"/>
        <family val="0"/>
        <charset val="1"/>
      </rPr>
      <t xml:space="preserve">.</t>
    </r>
  </si>
  <si>
    <t xml:space="preserve">cards.14.reversed.direct.week.time</t>
  </si>
  <si>
    <t xml:space="preserve">cards.14.reversed.direct.week.why</t>
  </si>
  <si>
    <r>
      <rPr>
        <sz val="10"/>
        <rFont val="Noto Sans CJK SC"/>
        <family val="2"/>
      </rPr>
      <t xml:space="preserve">날마다 조금씩 옮기면 지친 마음에도 다시 여유가 생기는 걸 확인할 수 있어요</t>
    </r>
    <r>
      <rPr>
        <sz val="10"/>
        <rFont val="Malgun Gothic"/>
        <family val="0"/>
        <charset val="1"/>
      </rPr>
      <t xml:space="preserve">.</t>
    </r>
  </si>
  <si>
    <t xml:space="preserve">cards.14.reversed.direct.slow_rx.title</t>
  </si>
  <si>
    <t xml:space="preserve">하루 힘 쓴 곳 나눠 보기</t>
  </si>
  <si>
    <t xml:space="preserve">cards.14.reversed.direct.slow_rx.how</t>
  </si>
  <si>
    <r>
      <rPr>
        <sz val="10"/>
        <rFont val="Noto Sans CJK SC"/>
        <family val="2"/>
      </rPr>
      <t xml:space="preserve">오늘 하루를 오전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오후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저녁으로 나누어 어느 쪽 일에 힘을 썼는지 노트에 적어 보세요</t>
    </r>
    <r>
      <rPr>
        <sz val="10"/>
        <rFont val="Malgun Gothic"/>
        <family val="0"/>
        <charset val="1"/>
      </rPr>
      <t xml:space="preserve">.</t>
    </r>
  </si>
  <si>
    <t xml:space="preserve">cards.14.reversed.direct.slow_rx.why</t>
  </si>
  <si>
    <r>
      <rPr>
        <sz val="10"/>
        <rFont val="Noto Sans CJK SC"/>
        <family val="2"/>
      </rPr>
      <t xml:space="preserve">한쪽에만 힘을 쏟는 하루는 버티던 쪽마저 지치게 하니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힘 쓴 곳을 적어 보면 쏠린 곳이 눈에 보입니다</t>
    </r>
    <r>
      <rPr>
        <sz val="10"/>
        <rFont val="Malgun Gothic"/>
        <family val="0"/>
        <charset val="1"/>
      </rPr>
      <t xml:space="preserve">.</t>
    </r>
  </si>
  <si>
    <t xml:space="preserve">cards.14.reversed.direct.three.title</t>
  </si>
  <si>
    <t xml:space="preserve">하루 힘 쓴 곳 표시하기</t>
  </si>
  <si>
    <t xml:space="preserve">cards.14.reversed.direct.three.how</t>
  </si>
  <si>
    <r>
      <rPr>
        <sz val="10"/>
        <rFont val="Noto Sans CJK SC"/>
        <family val="2"/>
      </rPr>
      <t xml:space="preserve">최근 사흘의 하루를 오전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오후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저녁으로 나누어 힘을 쓴 쪽을 적고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한쪽으로만 쏠린 칸에 별 대신 동그라미를 쳐 보세요</t>
    </r>
    <r>
      <rPr>
        <sz val="10"/>
        <rFont val="Malgun Gothic"/>
        <family val="0"/>
        <charset val="1"/>
      </rPr>
      <t xml:space="preserve">.</t>
    </r>
  </si>
  <si>
    <t xml:space="preserve">cards.14.reversed.direct.three.time</t>
  </si>
  <si>
    <t xml:space="preserve">cards.14.reversed.direct.three.why</t>
  </si>
  <si>
    <r>
      <rPr>
        <sz val="10"/>
        <rFont val="Noto Sans CJK SC"/>
        <family val="2"/>
      </rPr>
      <t xml:space="preserve">힘이 한쪽으로 쏠린 칸을 직접 표시해 보면 균형이 흔들리기 전에 패턴을 알아차릴 수 있어요</t>
    </r>
    <r>
      <rPr>
        <sz val="10"/>
        <rFont val="Malgun Gothic"/>
        <family val="0"/>
        <charset val="1"/>
      </rPr>
      <t xml:space="preserve">.</t>
    </r>
  </si>
  <si>
    <t xml:space="preserve">cards.15.direct.slow_short</t>
  </si>
  <si>
    <t xml:space="preserve">작은 말에 방어부터 하는 습관</t>
  </si>
  <si>
    <t xml:space="preserve">cards.15.direct.key_rx.title</t>
  </si>
  <si>
    <t xml:space="preserve">마음이 부푸는 순간 적어 두기</t>
  </si>
  <si>
    <t xml:space="preserve">cards.15.direct.key_rx.how</t>
  </si>
  <si>
    <r>
      <rPr>
        <sz val="10"/>
        <rFont val="Noto Sans CJK SC"/>
        <family val="2"/>
      </rPr>
      <t xml:space="preserve">마음이 부푼다고 느끼면 그때의 상황과 몸의 느낌을 노트에 한 줄 적어 보세요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탓하지 말고 적기만 해요</t>
    </r>
    <r>
      <rPr>
        <sz val="10"/>
        <rFont val="Malgun Gothic"/>
        <family val="0"/>
        <charset val="1"/>
      </rPr>
      <t xml:space="preserve">.</t>
    </r>
  </si>
  <si>
    <t xml:space="preserve">cards.15.direct.key_rx.why</t>
  </si>
  <si>
    <r>
      <rPr>
        <sz val="10"/>
        <rFont val="Noto Sans CJK SC"/>
        <family val="2"/>
      </rPr>
      <t xml:space="preserve">마음이 부풀어 오르는 순간을 탓하지 않고 알아차리는 데 마음을 두면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알아차린 만큼 가시도 누그러집니다</t>
    </r>
    <r>
      <rPr>
        <sz val="10"/>
        <rFont val="Malgun Gothic"/>
        <family val="0"/>
        <charset val="1"/>
      </rPr>
      <t xml:space="preserve">.</t>
    </r>
  </si>
  <si>
    <t xml:space="preserve">cards.15.direct.today.title</t>
  </si>
  <si>
    <t xml:space="preserve">부풀었던 순간 한 줄</t>
  </si>
  <si>
    <t xml:space="preserve">cards.15.direct.today.how</t>
  </si>
  <si>
    <r>
      <rPr>
        <sz val="10"/>
        <rFont val="Noto Sans CJK SC"/>
        <family val="2"/>
      </rPr>
      <t xml:space="preserve">오늘 마음이 부풀었던 순간 하나를 떠올려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상황과 몸의 느낌을 한 줄로 적어 보세요</t>
    </r>
    <r>
      <rPr>
        <sz val="10"/>
        <rFont val="Malgun Gothic"/>
        <family val="0"/>
        <charset val="1"/>
      </rPr>
      <t xml:space="preserve">.</t>
    </r>
  </si>
  <si>
    <t xml:space="preserve">cards.15.direct.today.time</t>
  </si>
  <si>
    <t xml:space="preserve">cards.15.direct.today.why</t>
  </si>
  <si>
    <r>
      <rPr>
        <sz val="10"/>
        <rFont val="Noto Sans CJK SC"/>
        <family val="2"/>
      </rPr>
      <t xml:space="preserve">부풀었던 순간을 한 줄로 적어 보면 알아차리는 눈이 조금씩 생깁니다</t>
    </r>
    <r>
      <rPr>
        <sz val="10"/>
        <rFont val="Malgun Gothic"/>
        <family val="0"/>
        <charset val="1"/>
      </rPr>
      <t xml:space="preserve">.</t>
    </r>
  </si>
  <si>
    <t xml:space="preserve">cards.15.direct.week.title</t>
  </si>
  <si>
    <t xml:space="preserve">부풀 때마다 한 줄 표시</t>
  </si>
  <si>
    <t xml:space="preserve">cards.15.direct.week.how</t>
  </si>
  <si>
    <r>
      <rPr>
        <sz val="10"/>
        <rFont val="Noto Sans CJK SC"/>
        <family val="2"/>
      </rPr>
      <t xml:space="preserve">이번 주 마음이 부풀 때마다 시간과 상황을 한 줄씩 적어 보세요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주말에 읽으면 어떤 때 부푸는지 보입니다</t>
    </r>
    <r>
      <rPr>
        <sz val="10"/>
        <rFont val="Malgun Gothic"/>
        <family val="0"/>
        <charset val="1"/>
      </rPr>
      <t xml:space="preserve">.</t>
    </r>
  </si>
  <si>
    <t xml:space="preserve">cards.15.direct.week.time</t>
  </si>
  <si>
    <t xml:space="preserve">cards.15.direct.week.why</t>
  </si>
  <si>
    <r>
      <rPr>
        <sz val="10"/>
        <rFont val="Noto Sans CJK SC"/>
        <family val="2"/>
      </rPr>
      <t xml:space="preserve">부풀어 오르는 순간을 모아 보면 알아차릴 수 있는 신호가 늘어요</t>
    </r>
    <r>
      <rPr>
        <sz val="10"/>
        <rFont val="Malgun Gothic"/>
        <family val="0"/>
        <charset val="1"/>
      </rPr>
      <t xml:space="preserve">.</t>
    </r>
  </si>
  <si>
    <t xml:space="preserve">cards.15.direct.slow_rx.title</t>
  </si>
  <si>
    <t xml:space="preserve">방어한 순간에 지키려던 것 적기</t>
  </si>
  <si>
    <t xml:space="preserve">cards.15.direct.slow_rx.how</t>
  </si>
  <si>
    <r>
      <rPr>
        <sz val="10"/>
        <rFont val="Noto Sans CJK SC"/>
        <family val="2"/>
      </rPr>
      <t xml:space="preserve">작은 말에 방어했던 순간 하나를 적고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그때 내가 정말 지키려던 것이 무엇이었는지 한 줄 덧붙여 보세요</t>
    </r>
    <r>
      <rPr>
        <sz val="10"/>
        <rFont val="Malgun Gothic"/>
        <family val="0"/>
        <charset val="1"/>
      </rPr>
      <t xml:space="preserve">.</t>
    </r>
  </si>
  <si>
    <t xml:space="preserve">cards.15.direct.slow_rx.why</t>
  </si>
  <si>
    <r>
      <rPr>
        <sz val="10"/>
        <rFont val="Noto Sans CJK SC"/>
        <family val="2"/>
      </rPr>
      <t xml:space="preserve">작은 말에 방어부터 하면 지키려던 것보다 방어에 기운을 더 쓰니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지키려던 것을 적어 보면 방어할 일인지 보여요</t>
    </r>
    <r>
      <rPr>
        <sz val="10"/>
        <rFont val="Malgun Gothic"/>
        <family val="0"/>
        <charset val="1"/>
      </rPr>
      <t xml:space="preserve">.</t>
    </r>
  </si>
  <si>
    <t xml:space="preserve">cards.15.direct.three.title</t>
  </si>
  <si>
    <t xml:space="preserve">방어한 순간 세 가지 돌아보기</t>
  </si>
  <si>
    <t xml:space="preserve">cards.15.direct.three.how</t>
  </si>
  <si>
    <r>
      <rPr>
        <sz val="10"/>
        <rFont val="Noto Sans CJK SC"/>
        <family val="2"/>
      </rPr>
      <t xml:space="preserve">최근 작은 말에 방어했던 순간 세 가지를 적고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각각 지키려던 것과 방어에 쓴 기운을 한 줄씩 적어 보세요</t>
    </r>
    <r>
      <rPr>
        <sz val="10"/>
        <rFont val="Malgun Gothic"/>
        <family val="0"/>
        <charset val="1"/>
      </rPr>
      <t xml:space="preserve">.</t>
    </r>
  </si>
  <si>
    <t xml:space="preserve">cards.15.direct.three.time</t>
  </si>
  <si>
    <t xml:space="preserve">cards.15.direct.three.why</t>
  </si>
  <si>
    <r>
      <rPr>
        <sz val="10"/>
        <rFont val="Noto Sans CJK SC"/>
        <family val="2"/>
      </rPr>
      <t xml:space="preserve">방어한 순간을 돌아보면 지키려던 것에 힘을 쓰는 쪽으로 바꿀 수 있습니다</t>
    </r>
    <r>
      <rPr>
        <sz val="10"/>
        <rFont val="Malgun Gothic"/>
        <family val="0"/>
        <charset val="1"/>
      </rPr>
      <t xml:space="preserve">.</t>
    </r>
  </si>
  <si>
    <t xml:space="preserve">cards.15.reversed.direct.slow_short</t>
  </si>
  <si>
    <t xml:space="preserve">예전으로 돌아갈까 하는 걱정</t>
  </si>
  <si>
    <t xml:space="preserve">cards.15.reversed.direct.key_rx.title</t>
  </si>
  <si>
    <t xml:space="preserve">덜 흔들린 순간 기록하기</t>
  </si>
  <si>
    <t xml:space="preserve">cards.15.reversed.direct.key_rx.how</t>
  </si>
  <si>
    <r>
      <rPr>
        <sz val="10"/>
        <rFont val="Noto Sans CJK SC"/>
        <family val="2"/>
      </rPr>
      <t xml:space="preserve">예전이면 날이 섰을 상황에서 덜 흔들렸던 순간을 떠올려 노트에 한 줄 적어 보세요</t>
    </r>
    <r>
      <rPr>
        <sz val="10"/>
        <rFont val="Malgun Gothic"/>
        <family val="0"/>
        <charset val="1"/>
      </rPr>
      <t xml:space="preserve">.</t>
    </r>
  </si>
  <si>
    <t xml:space="preserve">cards.15.reversed.direct.key_rx.why</t>
  </si>
  <si>
    <r>
      <rPr>
        <sz val="10"/>
        <rFont val="Noto Sans CJK SC"/>
        <family val="2"/>
      </rPr>
      <t xml:space="preserve">예전보다 덜 흔들린 작은 변화를 알아봐 주는 데 마음을 두면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달라진 나를 믿게 되어 새 습관이 단단해집니다</t>
    </r>
    <r>
      <rPr>
        <sz val="10"/>
        <rFont val="Malgun Gothic"/>
        <family val="0"/>
        <charset val="1"/>
      </rPr>
      <t xml:space="preserve">.</t>
    </r>
  </si>
  <si>
    <t xml:space="preserve">cards.15.reversed.direct.today.title</t>
  </si>
  <si>
    <t xml:space="preserve">덜 흔들린 순간 한 줄</t>
  </si>
  <si>
    <t xml:space="preserve">cards.15.reversed.direct.today.how</t>
  </si>
  <si>
    <r>
      <rPr>
        <sz val="10"/>
        <rFont val="Noto Sans CJK SC"/>
        <family val="2"/>
      </rPr>
      <t xml:space="preserve">오늘 예전보다 덜 흔들렸던 순간이 있었는지 떠올리고 한 줄로 적어 보세요</t>
    </r>
    <r>
      <rPr>
        <sz val="10"/>
        <rFont val="Malgun Gothic"/>
        <family val="0"/>
        <charset val="1"/>
      </rPr>
      <t xml:space="preserve">.</t>
    </r>
  </si>
  <si>
    <t xml:space="preserve">cards.15.reversed.direct.today.time</t>
  </si>
  <si>
    <t xml:space="preserve">cards.15.reversed.direct.today.why</t>
  </si>
  <si>
    <r>
      <rPr>
        <sz val="10"/>
        <rFont val="Noto Sans CJK SC"/>
        <family val="2"/>
      </rPr>
      <t xml:space="preserve">덜 흔들린 순간을 적어 두면 달라진 나를 믿을 근거가 하나 생깁니다</t>
    </r>
    <r>
      <rPr>
        <sz val="10"/>
        <rFont val="Malgun Gothic"/>
        <family val="0"/>
        <charset val="1"/>
      </rPr>
      <t xml:space="preserve">.</t>
    </r>
  </si>
  <si>
    <t xml:space="preserve">cards.15.reversed.direct.week.title</t>
  </si>
  <si>
    <t xml:space="preserve">매일 덜 흔들린 순간 한 줄</t>
  </si>
  <si>
    <t xml:space="preserve">cards.15.reversed.direct.week.how</t>
  </si>
  <si>
    <r>
      <rPr>
        <sz val="10"/>
        <rFont val="Noto Sans CJK SC"/>
        <family val="2"/>
      </rPr>
      <t xml:space="preserve">이번 주 매일 자기 전에 덜 흔들린 순간을 한 줄씩 적어 보세요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일주일이면 일곱 줄의 변화가 쌓여요</t>
    </r>
    <r>
      <rPr>
        <sz val="10"/>
        <rFont val="Malgun Gothic"/>
        <family val="0"/>
        <charset val="1"/>
      </rPr>
      <t xml:space="preserve">.</t>
    </r>
  </si>
  <si>
    <t xml:space="preserve">cards.15.reversed.direct.week.time</t>
  </si>
  <si>
    <t xml:space="preserve">cards.15.reversed.direct.week.why</t>
  </si>
  <si>
    <r>
      <rPr>
        <sz val="10"/>
        <rFont val="Noto Sans CJK SC"/>
        <family val="2"/>
      </rPr>
      <t xml:space="preserve">작은 변화가 쌓이는 걸 눈으로 보면 새 습관이 자리 잡는 시간을 믿고 기다릴 수 있습니다</t>
    </r>
    <r>
      <rPr>
        <sz val="10"/>
        <rFont val="Malgun Gothic"/>
        <family val="0"/>
        <charset val="1"/>
      </rPr>
      <t xml:space="preserve">.</t>
    </r>
  </si>
  <si>
    <t xml:space="preserve">cards.15.reversed.direct.slow_rx.title</t>
  </si>
  <si>
    <t xml:space="preserve">걱정 칸 만들어 확인하기</t>
  </si>
  <si>
    <t xml:space="preserve">cards.15.reversed.direct.slow_rx.how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</si>
  <si>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예전으로 돌아갈까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걱정이 들면 날짜와 함께 걱정 칸에 적고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다음 날 실제로 돌아갔는지 확인해 보세요</t>
    </r>
    <r>
      <rPr>
        <sz val="10"/>
        <rFont val="Malgun Gothic"/>
        <family val="0"/>
        <charset val="1"/>
      </rPr>
      <t xml:space="preserve">.</t>
    </r>
  </si>
  <si>
    <t xml:space="preserve">cards.15.reversed.direct.slow_rx.why</t>
  </si>
  <si>
    <r>
      <rPr>
        <sz val="10"/>
        <rFont val="Noto Sans CJK SC"/>
        <family val="2"/>
      </rPr>
      <t xml:space="preserve">돌아갈까 걱정하는 마음이 변화를 불안하게 지켜보게 하니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적어 두고 확인하면 걱정이 사실인지 알 수 있습니다</t>
    </r>
    <r>
      <rPr>
        <sz val="10"/>
        <rFont val="Malgun Gothic"/>
        <family val="0"/>
        <charset val="1"/>
      </rPr>
      <t xml:space="preserve">.</t>
    </r>
  </si>
  <si>
    <t xml:space="preserve">cards.15.reversed.direct.three.title</t>
  </si>
  <si>
    <t xml:space="preserve">걱정 칸 기록 다시 읽기</t>
  </si>
  <si>
    <t xml:space="preserve">cards.15.reversed.direct.three.how</t>
  </si>
  <si>
    <r>
      <rPr>
        <sz val="10"/>
        <rFont val="Noto Sans CJK SC"/>
        <family val="2"/>
      </rPr>
      <t xml:space="preserve">걱정 칸에 적은 기록을 처음부터 다시 읽으며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걱정한 일이 실제로 일어난 경우에만 표시해 보세요</t>
    </r>
    <r>
      <rPr>
        <sz val="10"/>
        <rFont val="Malgun Gothic"/>
        <family val="0"/>
        <charset val="1"/>
      </rPr>
      <t xml:space="preserve">.</t>
    </r>
  </si>
  <si>
    <t xml:space="preserve">cards.15.reversed.direct.three.time</t>
  </si>
  <si>
    <t xml:space="preserve">cards.15.reversed.direct.three.why</t>
  </si>
  <si>
    <r>
      <rPr>
        <sz val="10"/>
        <rFont val="Noto Sans CJK SC"/>
        <family val="2"/>
      </rPr>
      <t xml:space="preserve">걱정과 실제를 나란히 보면 가라앉는 변화를 덜 불안하게 지켜볼 수 있습니다</t>
    </r>
    <r>
      <rPr>
        <sz val="10"/>
        <rFont val="Malgun Gothic"/>
        <family val="0"/>
        <charset val="1"/>
      </rPr>
      <t xml:space="preserve">.</t>
    </r>
  </si>
  <si>
    <t xml:space="preserve">cards.16.direct.slow_short</t>
  </si>
  <si>
    <t xml:space="preserve">무너진 것만 보는 생각</t>
  </si>
  <si>
    <t xml:space="preserve">cards.16.direct.key_rx.title</t>
  </si>
  <si>
    <t xml:space="preserve">아직 남은 것 목록 만들기</t>
  </si>
  <si>
    <t xml:space="preserve">cards.16.direct.key_rx.how</t>
  </si>
  <si>
    <r>
      <rPr>
        <sz val="10"/>
        <rFont val="Noto Sans CJK SC"/>
        <family val="2"/>
      </rPr>
      <t xml:space="preserve">무너진 일에서 아직 남아 있는 것을 노트에 다섯 가지 적어 보세요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작은 것도 좋습니다</t>
    </r>
    <r>
      <rPr>
        <sz val="10"/>
        <rFont val="Malgun Gothic"/>
        <family val="0"/>
        <charset val="1"/>
      </rPr>
      <t xml:space="preserve">.</t>
    </r>
  </si>
  <si>
    <t xml:space="preserve">cards.16.direct.key_rx.why</t>
  </si>
  <si>
    <r>
      <rPr>
        <sz val="10"/>
        <rFont val="Noto Sans CJK SC"/>
        <family val="2"/>
      </rPr>
      <t xml:space="preserve">잃은 것보다 아직 손에 남은 것에 마음을 두면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남은 기둥에서 다시 시작할 수 있어 막막함이 줄어요</t>
    </r>
    <r>
      <rPr>
        <sz val="10"/>
        <rFont val="Malgun Gothic"/>
        <family val="0"/>
        <charset val="1"/>
      </rPr>
      <t xml:space="preserve">.</t>
    </r>
  </si>
  <si>
    <t xml:space="preserve">cards.16.direct.today.title</t>
  </si>
  <si>
    <t xml:space="preserve">남은 것 한 가지 적기</t>
  </si>
  <si>
    <t xml:space="preserve">cards.16.direct.today.how</t>
  </si>
  <si>
    <r>
      <rPr>
        <sz val="10"/>
        <rFont val="Noto Sans CJK SC"/>
        <family val="2"/>
      </rPr>
      <t xml:space="preserve">무너진 일 중 아직 남아 있는 것 하나를 노트에 적어 보세요</t>
    </r>
    <r>
      <rPr>
        <sz val="10"/>
        <rFont val="Malgun Gothic"/>
        <family val="0"/>
        <charset val="1"/>
      </rPr>
      <t xml:space="preserve">.</t>
    </r>
  </si>
  <si>
    <t xml:space="preserve">cards.16.direct.today.time</t>
  </si>
  <si>
    <t xml:space="preserve">cards.16.direct.today.why</t>
  </si>
  <si>
    <r>
      <rPr>
        <sz val="10"/>
        <rFont val="Noto Sans CJK SC"/>
        <family val="2"/>
      </rPr>
      <t xml:space="preserve">남은 것 하나만 적어도 처음부터 다시가 아니라는 걸 느낄 수 있습니다</t>
    </r>
    <r>
      <rPr>
        <sz val="10"/>
        <rFont val="Malgun Gothic"/>
        <family val="0"/>
        <charset val="1"/>
      </rPr>
      <t xml:space="preserve">.</t>
    </r>
  </si>
  <si>
    <t xml:space="preserve">cards.16.direct.week.title</t>
  </si>
  <si>
    <t xml:space="preserve">남은 것 하루 하나씩 더하기</t>
  </si>
  <si>
    <t xml:space="preserve">cards.16.direct.week.how</t>
  </si>
  <si>
    <r>
      <rPr>
        <sz val="10"/>
        <rFont val="Noto Sans CJK SC"/>
        <family val="2"/>
      </rPr>
      <t xml:space="preserve">이번 주 매일 아직 남아 있는 것을 하나씩 목록에 더해 보세요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주말에는 목록이 길어져 있을 것입니다</t>
    </r>
    <r>
      <rPr>
        <sz val="10"/>
        <rFont val="Malgun Gothic"/>
        <family val="0"/>
        <charset val="1"/>
      </rPr>
      <t xml:space="preserve">.</t>
    </r>
  </si>
  <si>
    <t xml:space="preserve">cards.16.direct.week.time</t>
  </si>
  <si>
    <t xml:space="preserve">cards.16.direct.week.why</t>
  </si>
  <si>
    <r>
      <rPr>
        <sz val="10"/>
        <rFont val="Noto Sans CJK SC"/>
        <family val="2"/>
      </rPr>
      <t xml:space="preserve">남은 것을 날마다 찾으면 무너진 것만 보이던 눈이 달라져요</t>
    </r>
    <r>
      <rPr>
        <sz val="10"/>
        <rFont val="Malgun Gothic"/>
        <family val="0"/>
        <charset val="1"/>
      </rPr>
      <t xml:space="preserve">.</t>
    </r>
  </si>
  <si>
    <t xml:space="preserve">cards.16.direct.slow_rx.title</t>
  </si>
  <si>
    <t xml:space="preserve">처음부터 다시를 한 조각으로 쪼개기</t>
  </si>
  <si>
    <t xml:space="preserve">cards.16.direct.slow_rx.how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</si>
  <si>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처음부터 다시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라는 생각이 들면 그 일을 가장 작은 첫 조각으로 쪼개 적고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내일 할 조각 하나만 골라 보세요</t>
    </r>
    <r>
      <rPr>
        <sz val="10"/>
        <rFont val="Malgun Gothic"/>
        <family val="0"/>
        <charset val="1"/>
      </rPr>
      <t xml:space="preserve">.</t>
    </r>
  </si>
  <si>
    <t xml:space="preserve">cards.16.direct.slow_rx.why</t>
  </si>
  <si>
    <r>
      <rPr>
        <sz val="10"/>
        <rFont val="Noto Sans CJK SC"/>
        <family val="2"/>
      </rPr>
      <t xml:space="preserve">무너진 것만 보면 처음부터 다시라고 느껴 시작이 미뤄지니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작은 첫 조각으로 쪼개면 손댈 곳이 보여요</t>
    </r>
    <r>
      <rPr>
        <sz val="10"/>
        <rFont val="Malgun Gothic"/>
        <family val="0"/>
        <charset val="1"/>
      </rPr>
      <t xml:space="preserve">.</t>
    </r>
  </si>
  <si>
    <t xml:space="preserve">cards.16.direct.three.title</t>
  </si>
  <si>
    <t xml:space="preserve">첫 조각 하나 정해 해 보기</t>
  </si>
  <si>
    <t xml:space="preserve">cards.16.direct.three.how</t>
  </si>
  <si>
    <r>
      <rPr>
        <sz val="10"/>
        <rFont val="Noto Sans CJK SC"/>
        <family val="2"/>
      </rPr>
      <t xml:space="preserve">다시 시작할 일을 작은 조각으로 쪼개 적고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가장 쉬운 조각 하나를 골라 </t>
    </r>
    <r>
      <rPr>
        <sz val="10"/>
        <rFont val="Malgun Gothic"/>
        <family val="0"/>
        <charset val="1"/>
      </rPr>
      <t xml:space="preserve">15</t>
    </r>
    <r>
      <rPr>
        <sz val="10"/>
        <rFont val="Noto Sans CJK SC"/>
        <family val="2"/>
      </rPr>
      <t xml:space="preserve">분 동안 해 보세요</t>
    </r>
    <r>
      <rPr>
        <sz val="10"/>
        <rFont val="Malgun Gothic"/>
        <family val="0"/>
        <charset val="1"/>
      </rPr>
      <t xml:space="preserve">.</t>
    </r>
  </si>
  <si>
    <t xml:space="preserve">cards.16.direct.three.time</t>
  </si>
  <si>
    <t xml:space="preserve">cards.16.direct.three.why</t>
  </si>
  <si>
    <r>
      <rPr>
        <sz val="10"/>
        <rFont val="Noto Sans CJK SC"/>
        <family val="2"/>
      </rPr>
      <t xml:space="preserve">큰 일을 조각으로 쪼개 한 조각만 해 보면 시작이 미뤄지던 마음이 움직입니다</t>
    </r>
    <r>
      <rPr>
        <sz val="10"/>
        <rFont val="Malgun Gothic"/>
        <family val="0"/>
        <charset val="1"/>
      </rPr>
      <t xml:space="preserve">.</t>
    </r>
  </si>
  <si>
    <t xml:space="preserve">cards.16.reversed.direct.slow_short</t>
  </si>
  <si>
    <t xml:space="preserve">또 무너질까 하는 걱정</t>
  </si>
  <si>
    <t xml:space="preserve">cards.16.reversed.direct.key_rx.title</t>
  </si>
  <si>
    <t xml:space="preserve">오늘 쌓을 작은 한 조각 정하기</t>
  </si>
  <si>
    <t xml:space="preserve">cards.16.reversed.direct.key_rx.how</t>
  </si>
  <si>
    <r>
      <rPr>
        <sz val="10"/>
        <rFont val="Noto Sans CJK SC"/>
        <family val="2"/>
      </rPr>
      <t xml:space="preserve">다시 시작하고 싶은 일에서 </t>
    </r>
    <r>
      <rPr>
        <sz val="10"/>
        <rFont val="Malgun Gothic"/>
        <family val="0"/>
        <charset val="1"/>
      </rPr>
      <t xml:space="preserve">10</t>
    </r>
    <r>
      <rPr>
        <sz val="10"/>
        <rFont val="Noto Sans CJK SC"/>
        <family val="2"/>
      </rPr>
      <t xml:space="preserve">분 안에 끝낼 수 있는 한 조각만 골라 오늘 해 보세요</t>
    </r>
    <r>
      <rPr>
        <sz val="10"/>
        <rFont val="Malgun Gothic"/>
        <family val="0"/>
        <charset val="1"/>
      </rPr>
      <t xml:space="preserve">.</t>
    </r>
  </si>
  <si>
    <t xml:space="preserve">cards.16.reversed.direct.key_rx.why</t>
  </si>
  <si>
    <r>
      <rPr>
        <sz val="10"/>
        <rFont val="Noto Sans CJK SC"/>
        <family val="2"/>
      </rPr>
      <t xml:space="preserve">완벽한 둑보다 지금 쌓을 수 있는 작은 한 조각에 마음을 두면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다시 쌓을 기운이 천천히 돌아와요</t>
    </r>
    <r>
      <rPr>
        <sz val="10"/>
        <rFont val="Malgun Gothic"/>
        <family val="0"/>
        <charset val="1"/>
      </rPr>
      <t xml:space="preserve">.</t>
    </r>
  </si>
  <si>
    <t xml:space="preserve">cards.16.reversed.direct.today.title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</si>
  <si>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분짜리 한 조각</t>
    </r>
  </si>
  <si>
    <t xml:space="preserve">cards.16.reversed.direct.today.how</t>
  </si>
  <si>
    <r>
      <rPr>
        <sz val="10"/>
        <rFont val="Noto Sans CJK SC"/>
        <family val="2"/>
      </rPr>
      <t xml:space="preserve">다시 시작하고 싶은 일에서 </t>
    </r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분 안에 끝낼 수 있는 한 조각을 지금 해 보세요</t>
    </r>
    <r>
      <rPr>
        <sz val="10"/>
        <rFont val="Malgun Gothic"/>
        <family val="0"/>
        <charset val="1"/>
      </rPr>
      <t xml:space="preserve">.</t>
    </r>
  </si>
  <si>
    <t xml:space="preserve">cards.16.reversed.direct.today.time</t>
  </si>
  <si>
    <t xml:space="preserve">cards.16.reversed.direct.today.why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</si>
  <si>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분짜리 한 조각이라도 끝내 보면 다시 쌓을 기운이 조금 돌아와요</t>
    </r>
    <r>
      <rPr>
        <sz val="10"/>
        <rFont val="Malgun Gothic"/>
        <family val="0"/>
        <charset val="1"/>
      </rPr>
      <t xml:space="preserve">.</t>
    </r>
  </si>
  <si>
    <t xml:space="preserve">cards.16.reversed.direct.week.title</t>
  </si>
  <si>
    <t xml:space="preserve">하루 한 조각씩 쌓기</t>
  </si>
  <si>
    <t xml:space="preserve">cards.16.reversed.direct.week.how</t>
  </si>
  <si>
    <r>
      <rPr>
        <sz val="10"/>
        <rFont val="Noto Sans CJK SC"/>
        <family val="2"/>
      </rPr>
      <t xml:space="preserve">이번 주 매일 작은 한 조각만 쌓고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쌓은 조각은 노트에 한 줄씩 적어 보세요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완벽하게 하지 않아도 돼요</t>
    </r>
    <r>
      <rPr>
        <sz val="10"/>
        <rFont val="Malgun Gothic"/>
        <family val="0"/>
        <charset val="1"/>
      </rPr>
      <t xml:space="preserve">.</t>
    </r>
  </si>
  <si>
    <t xml:space="preserve">cards.16.reversed.direct.week.time</t>
  </si>
  <si>
    <t xml:space="preserve">cards.16.reversed.direct.week.why</t>
  </si>
  <si>
    <r>
      <rPr>
        <sz val="10"/>
        <rFont val="Noto Sans CJK SC"/>
        <family val="2"/>
      </rPr>
      <t xml:space="preserve">작은 조각을 날마다 쌓으면 완벽한 둑을 기다리지 않아도 시작이 이어집니다</t>
    </r>
    <r>
      <rPr>
        <sz val="10"/>
        <rFont val="Malgun Gothic"/>
        <family val="0"/>
        <charset val="1"/>
      </rPr>
      <t xml:space="preserve">.</t>
    </r>
  </si>
  <si>
    <t xml:space="preserve">cards.16.reversed.direct.slow_rx.title</t>
  </si>
  <si>
    <t xml:space="preserve">무너질 때 대비책 한 줄 적기</t>
  </si>
  <si>
    <t xml:space="preserve">cards.16.reversed.direct.slow_rx.how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</si>
  <si>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또 무너지면 어떡하지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걱정을 적고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정말 무너진다면 내가 할 수 있는 일을 한 줄 적어 보세요</t>
    </r>
    <r>
      <rPr>
        <sz val="10"/>
        <rFont val="Malgun Gothic"/>
        <family val="0"/>
        <charset val="1"/>
      </rPr>
      <t xml:space="preserve">.</t>
    </r>
  </si>
  <si>
    <t xml:space="preserve">cards.16.reversed.direct.slow_rx.why</t>
  </si>
  <si>
    <r>
      <rPr>
        <sz val="10"/>
        <rFont val="Noto Sans CJK SC"/>
        <family val="2"/>
      </rPr>
      <t xml:space="preserve">또 무너질까 하는 걱정으로 버티는 데 힘을 다 쓰니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대비책을 한 줄 적어 두면 시작할 힘이 남습니다</t>
    </r>
    <r>
      <rPr>
        <sz val="10"/>
        <rFont val="Malgun Gothic"/>
        <family val="0"/>
        <charset val="1"/>
      </rPr>
      <t xml:space="preserve">.</t>
    </r>
  </si>
  <si>
    <t xml:space="preserve">cards.16.reversed.direct.three.title</t>
  </si>
  <si>
    <t xml:space="preserve">걱정과 대비책 세 쌍 적기</t>
  </si>
  <si>
    <t xml:space="preserve">cards.16.reversed.direct.three.how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</si>
  <si>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또 무너지면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하는 걱정 세 가지를 적고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각각 정말 무너질 때 내가 할 수 있는 일을 한 줄씩 짝지어 적어 보세요</t>
    </r>
    <r>
      <rPr>
        <sz val="10"/>
        <rFont val="Malgun Gothic"/>
        <family val="0"/>
        <charset val="1"/>
      </rPr>
      <t xml:space="preserve">.</t>
    </r>
  </si>
  <si>
    <t xml:space="preserve">cards.16.reversed.direct.three.time</t>
  </si>
  <si>
    <t xml:space="preserve">cards.16.reversed.direct.three.why</t>
  </si>
  <si>
    <r>
      <rPr>
        <sz val="10"/>
        <rFont val="Noto Sans CJK SC"/>
        <family val="2"/>
      </rPr>
      <t xml:space="preserve">걱정마다 대비책을 짝지어 두면 버티는 데 쓰던 힘을 다시 시작하는 데 쓸 수 있어요</t>
    </r>
    <r>
      <rPr>
        <sz val="10"/>
        <rFont val="Malgun Gothic"/>
        <family val="0"/>
        <charset val="1"/>
      </rPr>
      <t xml:space="preserve">.</t>
    </r>
  </si>
  <si>
    <t xml:space="preserve">cards.17.direct.slow_short</t>
  </si>
  <si>
    <t xml:space="preserve">예전만큼은 아니라는 비교</t>
  </si>
  <si>
    <t xml:space="preserve">cards.17.direct.key_rx.title</t>
  </si>
  <si>
    <t xml:space="preserve">어제보다 나아진 점 적기</t>
  </si>
  <si>
    <t xml:space="preserve">cards.17.direct.key_rx.how</t>
  </si>
  <si>
    <r>
      <rPr>
        <sz val="10"/>
        <rFont val="Noto Sans CJK SC"/>
        <family val="2"/>
      </rPr>
      <t xml:space="preserve">자기 전에 어제보다 조금 나아진 점을 노트에 한 줄 적어 보세요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아주 작아도 괜찮습니다</t>
    </r>
    <r>
      <rPr>
        <sz val="10"/>
        <rFont val="Malgun Gothic"/>
        <family val="0"/>
        <charset val="1"/>
      </rPr>
      <t xml:space="preserve">.</t>
    </r>
  </si>
  <si>
    <t xml:space="preserve">cards.17.direct.key_rx.why</t>
  </si>
  <si>
    <r>
      <rPr>
        <sz val="10"/>
        <rFont val="Noto Sans CJK SC"/>
        <family val="2"/>
      </rPr>
      <t xml:space="preserve">어제보다 조금 나아진 점을 알아보는 데 마음을 두면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회복에도 나만의 속도가 있다는 걸 믿을 수 있어요</t>
    </r>
    <r>
      <rPr>
        <sz val="10"/>
        <rFont val="Malgun Gothic"/>
        <family val="0"/>
        <charset val="1"/>
      </rPr>
      <t xml:space="preserve">.</t>
    </r>
  </si>
  <si>
    <t xml:space="preserve">cards.17.direct.today.title</t>
  </si>
  <si>
    <t xml:space="preserve">오늘 나아진 점 한 줄</t>
  </si>
  <si>
    <t xml:space="preserve">cards.17.direct.today.how</t>
  </si>
  <si>
    <r>
      <rPr>
        <sz val="10"/>
        <rFont val="Noto Sans CJK SC"/>
        <family val="2"/>
      </rPr>
      <t xml:space="preserve">어제보다 조금 나아진 점이 있는지 떠올리고 한 줄로 적어 보세요</t>
    </r>
    <r>
      <rPr>
        <sz val="10"/>
        <rFont val="Malgun Gothic"/>
        <family val="0"/>
        <charset val="1"/>
      </rPr>
      <t xml:space="preserve">.</t>
    </r>
  </si>
  <si>
    <t xml:space="preserve">cards.17.direct.today.time</t>
  </si>
  <si>
    <t xml:space="preserve">cards.17.direct.today.why</t>
  </si>
  <si>
    <r>
      <rPr>
        <sz val="10"/>
        <rFont val="Noto Sans CJK SC"/>
        <family val="2"/>
      </rPr>
      <t xml:space="preserve">나아진 점을 한 줄로 적으면 작은 변화가 눈에 보이는 기록이 돼요</t>
    </r>
    <r>
      <rPr>
        <sz val="10"/>
        <rFont val="Malgun Gothic"/>
        <family val="0"/>
        <charset val="1"/>
      </rPr>
      <t xml:space="preserve">.</t>
    </r>
  </si>
  <si>
    <t xml:space="preserve">cards.17.direct.week.title</t>
  </si>
  <si>
    <t xml:space="preserve">매일 나아진 점 한 줄 모으기</t>
  </si>
  <si>
    <t xml:space="preserve">cards.17.direct.week.how</t>
  </si>
  <si>
    <r>
      <rPr>
        <sz val="10"/>
        <rFont val="Noto Sans CJK SC"/>
        <family val="2"/>
      </rPr>
      <t xml:space="preserve">이번 주 매일 어제보다 나아진 점을 한 줄씩 적어 모아 보세요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일요일에 한꺼번에 읽어 보세요</t>
    </r>
    <r>
      <rPr>
        <sz val="10"/>
        <rFont val="Malgun Gothic"/>
        <family val="0"/>
        <charset val="1"/>
      </rPr>
      <t xml:space="preserve">.</t>
    </r>
  </si>
  <si>
    <t xml:space="preserve">cards.17.direct.week.time</t>
  </si>
  <si>
    <t xml:space="preserve">cards.17.direct.week.why</t>
  </si>
  <si>
    <r>
      <rPr>
        <sz val="10"/>
        <rFont val="Noto Sans CJK SC"/>
        <family val="2"/>
      </rPr>
      <t xml:space="preserve">작은 나아짐을 날마다 모으면 회복의 속도를 믿는 데 필요한 근거가 쌓여요</t>
    </r>
    <r>
      <rPr>
        <sz val="10"/>
        <rFont val="Malgun Gothic"/>
        <family val="0"/>
        <charset val="1"/>
      </rPr>
      <t xml:space="preserve">.</t>
    </r>
  </si>
  <si>
    <t xml:space="preserve">cards.17.direct.slow_rx.title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</si>
  <si>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예전만큼은 아니다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문장 이어 쓰기</t>
    </r>
  </si>
  <si>
    <t xml:space="preserve">cards.17.direct.slow_rx.how</t>
  </si>
  <si>
    <r>
      <rPr>
        <sz val="10"/>
        <rFont val="Noto Sans CJK SC"/>
        <family val="2"/>
      </rPr>
      <t xml:space="preserve">노트에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예전만큼은 아니다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를 적고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이어서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그래도 한 달 전보다는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으로 문장을 완성해 보세요</t>
    </r>
    <r>
      <rPr>
        <sz val="10"/>
        <rFont val="Malgun Gothic"/>
        <family val="0"/>
        <charset val="1"/>
      </rPr>
      <t xml:space="preserve">.</t>
    </r>
  </si>
  <si>
    <t xml:space="preserve">cards.17.direct.slow_rx.why</t>
  </si>
  <si>
    <r>
      <rPr>
        <sz val="10"/>
        <rFont val="Noto Sans CJK SC"/>
        <family val="2"/>
      </rPr>
      <t xml:space="preserve">예전만큼은 아니라는 비교는 나아진 만큼을 작아 보이게 하니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문장을 이어 쓰면 달라진 점이 보여요</t>
    </r>
    <r>
      <rPr>
        <sz val="10"/>
        <rFont val="Malgun Gothic"/>
        <family val="0"/>
        <charset val="1"/>
      </rPr>
      <t xml:space="preserve">.</t>
    </r>
  </si>
  <si>
    <t xml:space="preserve">cards.17.direct.three.title</t>
  </si>
  <si>
    <t xml:space="preserve">예전만큼 문장 세 번 이어 쓰기</t>
  </si>
  <si>
    <t xml:space="preserve">cards.17.direct.three.how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</si>
  <si>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예전만큼은 아니다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로 시작하는 문장을 세 개 적고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모두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그래도 한 달 전보다는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으로 이어서 완성해 보세요</t>
    </r>
    <r>
      <rPr>
        <sz val="10"/>
        <rFont val="Malgun Gothic"/>
        <family val="0"/>
        <charset val="1"/>
      </rPr>
      <t xml:space="preserve">.</t>
    </r>
  </si>
  <si>
    <t xml:space="preserve">cards.17.direct.three.time</t>
  </si>
  <si>
    <t xml:space="preserve">cards.17.direct.three.why</t>
  </si>
  <si>
    <r>
      <rPr>
        <sz val="10"/>
        <rFont val="Noto Sans CJK SC"/>
        <family val="2"/>
      </rPr>
      <t xml:space="preserve">비교하는 문장을 이어 쓰면 작아 보이던 변화를 스스로 알아차릴 수 있어요</t>
    </r>
    <r>
      <rPr>
        <sz val="10"/>
        <rFont val="Malgun Gothic"/>
        <family val="0"/>
        <charset val="1"/>
      </rPr>
      <t xml:space="preserve">.</t>
    </r>
  </si>
  <si>
    <t xml:space="preserve">cards.17.reversed.direct.slow_short</t>
  </si>
  <si>
    <t xml:space="preserve">변화가 없다며 서둘러 실망하는 마음</t>
  </si>
  <si>
    <t xml:space="preserve">cards.17.reversed.direct.key_rx.title</t>
  </si>
  <si>
    <t xml:space="preserve">방향 확인용 컨디션 점수 적기</t>
  </si>
  <si>
    <t xml:space="preserve">cards.17.reversed.direct.key_rx.how</t>
  </si>
  <si>
    <r>
      <rPr>
        <sz val="10"/>
        <rFont val="Noto Sans CJK SC"/>
        <family val="2"/>
      </rPr>
      <t xml:space="preserve">하루 한 번 컨디션을 </t>
    </r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점에서 </t>
    </r>
    <r>
      <rPr>
        <sz val="10"/>
        <rFont val="Malgun Gothic"/>
        <family val="0"/>
        <charset val="1"/>
      </rPr>
      <t xml:space="preserve">10</t>
    </r>
    <r>
      <rPr>
        <sz val="10"/>
        <rFont val="Noto Sans CJK SC"/>
        <family val="2"/>
      </rPr>
      <t xml:space="preserve">점으로 적어 보세요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점수보다 올라가는 방향인지만 봐요</t>
    </r>
    <r>
      <rPr>
        <sz val="10"/>
        <rFont val="Malgun Gothic"/>
        <family val="0"/>
        <charset val="1"/>
      </rPr>
      <t xml:space="preserve">.</t>
    </r>
  </si>
  <si>
    <t xml:space="preserve">cards.17.reversed.direct.key_rx.why</t>
  </si>
  <si>
    <r>
      <rPr>
        <sz val="10"/>
        <rFont val="Noto Sans CJK SC"/>
        <family val="2"/>
      </rPr>
      <t xml:space="preserve">회복의 속도보다 방향에 마음을 두면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느려도 나아지고 있다는 걸 알아보게 되어 조급함이 가라앉습니다</t>
    </r>
    <r>
      <rPr>
        <sz val="10"/>
        <rFont val="Malgun Gothic"/>
        <family val="0"/>
        <charset val="1"/>
      </rPr>
      <t xml:space="preserve">.</t>
    </r>
  </si>
  <si>
    <t xml:space="preserve">cards.17.reversed.direct.today.title</t>
  </si>
  <si>
    <t xml:space="preserve">오늘 컨디션 점수 한 줄</t>
  </si>
  <si>
    <t xml:space="preserve">cards.17.reversed.direct.today.how</t>
  </si>
  <si>
    <r>
      <rPr>
        <sz val="10"/>
        <rFont val="Noto Sans CJK SC"/>
        <family val="2"/>
      </rPr>
      <t xml:space="preserve">지금 컨디션을 </t>
    </r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점에서 </t>
    </r>
    <r>
      <rPr>
        <sz val="10"/>
        <rFont val="Malgun Gothic"/>
        <family val="0"/>
        <charset val="1"/>
      </rPr>
      <t xml:space="preserve">10</t>
    </r>
    <r>
      <rPr>
        <sz val="10"/>
        <rFont val="Noto Sans CJK SC"/>
        <family val="2"/>
      </rPr>
      <t xml:space="preserve">점 사이로 매겨 노트에 한 줄 적어 보세요</t>
    </r>
    <r>
      <rPr>
        <sz val="10"/>
        <rFont val="Malgun Gothic"/>
        <family val="0"/>
        <charset val="1"/>
      </rPr>
      <t xml:space="preserve">.</t>
    </r>
  </si>
  <si>
    <t xml:space="preserve">cards.17.reversed.direct.today.time</t>
  </si>
  <si>
    <t xml:space="preserve">cards.17.reversed.direct.today.why</t>
  </si>
  <si>
    <r>
      <rPr>
        <sz val="10"/>
        <rFont val="Noto Sans CJK SC"/>
        <family val="2"/>
      </rPr>
      <t xml:space="preserve">오늘 점수를 적어 두면 훗날 방향을 확인할 기준이 하나 생깁니다</t>
    </r>
    <r>
      <rPr>
        <sz val="10"/>
        <rFont val="Malgun Gothic"/>
        <family val="0"/>
        <charset val="1"/>
      </rPr>
      <t xml:space="preserve">.</t>
    </r>
  </si>
  <si>
    <t xml:space="preserve">cards.17.reversed.direct.week.title</t>
  </si>
  <si>
    <t xml:space="preserve">하루 한 번 점수 적고 모아 보기</t>
  </si>
  <si>
    <t xml:space="preserve">cards.17.reversed.direct.week.how</t>
  </si>
  <si>
    <r>
      <rPr>
        <sz val="10"/>
        <rFont val="Noto Sans CJK SC"/>
        <family val="2"/>
      </rPr>
      <t xml:space="preserve">이번 주 매일 같은 시간에 컨디션 점수를 적고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일주일 뒤 점수가 오르는 방향인지 살펴보세요</t>
    </r>
    <r>
      <rPr>
        <sz val="10"/>
        <rFont val="Malgun Gothic"/>
        <family val="0"/>
        <charset val="1"/>
      </rPr>
      <t xml:space="preserve">.</t>
    </r>
  </si>
  <si>
    <t xml:space="preserve">cards.17.reversed.direct.week.time</t>
  </si>
  <si>
    <t xml:space="preserve">cards.17.reversed.direct.week.why</t>
  </si>
  <si>
    <r>
      <rPr>
        <sz val="10"/>
        <rFont val="Noto Sans CJK SC"/>
        <family val="2"/>
      </rPr>
      <t xml:space="preserve">점수를 날마다 모으면 속도가 느려도 방향이 나아지고 있는지 눈으로 확인할 수 있어요</t>
    </r>
    <r>
      <rPr>
        <sz val="10"/>
        <rFont val="Malgun Gothic"/>
        <family val="0"/>
        <charset val="1"/>
      </rPr>
      <t xml:space="preserve">.</t>
    </r>
  </si>
  <si>
    <t xml:space="preserve">cards.17.reversed.direct.slow_rx.title</t>
  </si>
  <si>
    <t xml:space="preserve">실망은 이틀 뒤로 미뤄 두기</t>
  </si>
  <si>
    <t xml:space="preserve">cards.17.reversed.direct.slow_rx.how</t>
  </si>
  <si>
    <r>
      <rPr>
        <sz val="10"/>
        <rFont val="Noto Sans CJK SC"/>
        <family val="2"/>
      </rPr>
      <t xml:space="preserve">변화가 없다고 실망스러우면 그 느낌을 노트에 적어 두고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이틀 뒤에 다시 읽어 보세요</t>
    </r>
    <r>
      <rPr>
        <sz val="10"/>
        <rFont val="Malgun Gothic"/>
        <family val="0"/>
        <charset val="1"/>
      </rPr>
      <t xml:space="preserve">.</t>
    </r>
  </si>
  <si>
    <t xml:space="preserve">cards.17.reversed.direct.slow_rx.why</t>
  </si>
  <si>
    <r>
      <rPr>
        <sz val="10"/>
        <rFont val="Noto Sans CJK SC"/>
        <family val="2"/>
      </rPr>
      <t xml:space="preserve">변화가 느껴지지 않는다고 서둘러 실망하면 먼저 지치니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이틀 뒤에 다시 보면 달라진 점이 보일 수 있습니다</t>
    </r>
    <r>
      <rPr>
        <sz val="10"/>
        <rFont val="Malgun Gothic"/>
        <family val="0"/>
        <charset val="1"/>
      </rPr>
      <t xml:space="preserve">.</t>
    </r>
  </si>
  <si>
    <t xml:space="preserve">cards.17.reversed.direct.three.title</t>
  </si>
  <si>
    <t xml:space="preserve">실망 메모 다시 읽고 비교하기</t>
  </si>
  <si>
    <t xml:space="preserve">cards.17.reversed.direct.three.how</t>
  </si>
  <si>
    <r>
      <rPr>
        <sz val="10"/>
        <rFont val="Noto Sans CJK SC"/>
        <family val="2"/>
      </rPr>
      <t xml:space="preserve">실망스러운 점을 적어 두고 이틀 뒤 </t>
    </r>
    <r>
      <rPr>
        <sz val="10"/>
        <rFont val="Malgun Gothic"/>
        <family val="0"/>
        <charset val="1"/>
      </rPr>
      <t xml:space="preserve">10</t>
    </r>
    <r>
      <rPr>
        <sz val="10"/>
        <rFont val="Noto Sans CJK SC"/>
        <family val="2"/>
      </rPr>
      <t xml:space="preserve">분 동안 다시 읽으며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그사이 달라진 점을 세 가지 찾아 적어 보세요</t>
    </r>
    <r>
      <rPr>
        <sz val="10"/>
        <rFont val="Malgun Gothic"/>
        <family val="0"/>
        <charset val="1"/>
      </rPr>
      <t xml:space="preserve">.</t>
    </r>
  </si>
  <si>
    <t xml:space="preserve">cards.17.reversed.direct.three.time</t>
  </si>
  <si>
    <t xml:space="preserve">cards.17.reversed.direct.three.why</t>
  </si>
  <si>
    <r>
      <rPr>
        <sz val="10"/>
        <rFont val="Noto Sans CJK SC"/>
        <family val="2"/>
      </rPr>
      <t xml:space="preserve">실망을 바로 믿지 않고 시간을 두고 다시 보면 느려도 나아지는 변화가 보입니다</t>
    </r>
    <r>
      <rPr>
        <sz val="10"/>
        <rFont val="Malgun Gothic"/>
        <family val="0"/>
        <charset val="1"/>
      </rPr>
      <t xml:space="preserve">.</t>
    </r>
  </si>
  <si>
    <t xml:space="preserve">cards.18.direct.slow_short</t>
  </si>
  <si>
    <t xml:space="preserve">걱정을 크게 그리는 습관</t>
  </si>
  <si>
    <t xml:space="preserve">cards.18.direct.key_rx.title</t>
  </si>
  <si>
    <t xml:space="preserve">지금 보이는 한 걸음 고르기</t>
  </si>
  <si>
    <t xml:space="preserve">cards.18.direct.key_rx.how</t>
  </si>
  <si>
    <r>
      <rPr>
        <sz val="10"/>
        <rFont val="Noto Sans CJK SC"/>
        <family val="2"/>
      </rPr>
      <t xml:space="preserve">앞길이 다 보이지 않아도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지금 보이는 만큼 할 수 있는 일 하나를 골라 오늘 해 보세요</t>
    </r>
    <r>
      <rPr>
        <sz val="10"/>
        <rFont val="Malgun Gothic"/>
        <family val="0"/>
        <charset val="1"/>
      </rPr>
      <t xml:space="preserve">.</t>
    </r>
  </si>
  <si>
    <t xml:space="preserve">cards.18.direct.key_rx.why</t>
  </si>
  <si>
    <r>
      <rPr>
        <sz val="10"/>
        <rFont val="Noto Sans CJK SC"/>
        <family val="2"/>
      </rPr>
      <t xml:space="preserve">모든 걸 확실히 하기보다 지금 보이는 만큼만 믿고 가는 데 마음을 두면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불확실함 속에서도 덜 흔들려요</t>
    </r>
    <r>
      <rPr>
        <sz val="10"/>
        <rFont val="Malgun Gothic"/>
        <family val="0"/>
        <charset val="1"/>
      </rPr>
      <t xml:space="preserve">.</t>
    </r>
  </si>
  <si>
    <t xml:space="preserve">cards.18.direct.today.title</t>
  </si>
  <si>
    <t xml:space="preserve">보이는 한 걸음 하나</t>
  </si>
  <si>
    <t xml:space="preserve">cards.18.direct.today.how</t>
  </si>
  <si>
    <r>
      <rPr>
        <sz val="10"/>
        <rFont val="Noto Sans CJK SC"/>
        <family val="2"/>
      </rPr>
      <t xml:space="preserve">걱정되는 일에서 지금 바로 할 수 있는 일 하나를 골라 </t>
    </r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분 동안 해 보세요</t>
    </r>
    <r>
      <rPr>
        <sz val="10"/>
        <rFont val="Malgun Gothic"/>
        <family val="0"/>
        <charset val="1"/>
      </rPr>
      <t xml:space="preserve">.</t>
    </r>
  </si>
  <si>
    <t xml:space="preserve">cards.18.direct.today.time</t>
  </si>
  <si>
    <t xml:space="preserve">cards.18.direct.today.why</t>
  </si>
  <si>
    <r>
      <rPr>
        <sz val="10"/>
        <rFont val="Noto Sans CJK SC"/>
        <family val="2"/>
      </rPr>
      <t xml:space="preserve">보이는 한 걸음만 해 보아도 다 알지 못해도 괜찮다는 걸 느낄 수 있어요</t>
    </r>
    <r>
      <rPr>
        <sz val="10"/>
        <rFont val="Malgun Gothic"/>
        <family val="0"/>
        <charset val="1"/>
      </rPr>
      <t xml:space="preserve">.</t>
    </r>
  </si>
  <si>
    <t xml:space="preserve">cards.18.direct.week.title</t>
  </si>
  <si>
    <t xml:space="preserve">하루 한 걸음만 정하기</t>
  </si>
  <si>
    <t xml:space="preserve">cards.18.direct.week.how</t>
  </si>
  <si>
    <r>
      <rPr>
        <sz val="10"/>
        <rFont val="Noto Sans CJK SC"/>
        <family val="2"/>
      </rPr>
      <t xml:space="preserve">이번 주 매일 아침 오늘 할 수 있는 한 걸음만 노트에 적고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그것만 해 보세요</t>
    </r>
    <r>
      <rPr>
        <sz val="10"/>
        <rFont val="Malgun Gothic"/>
        <family val="0"/>
        <charset val="1"/>
      </rPr>
      <t xml:space="preserve">.</t>
    </r>
  </si>
  <si>
    <t xml:space="preserve">cards.18.direct.week.time</t>
  </si>
  <si>
    <t xml:space="preserve">cards.18.direct.week.why</t>
  </si>
  <si>
    <r>
      <rPr>
        <sz val="10"/>
        <rFont val="Noto Sans CJK SC"/>
        <family val="2"/>
      </rPr>
      <t xml:space="preserve">날마다 보이는 한 걸음만 가면 다 알지 못해도 앞으로 나아가고 있다는 걸 알 수 있어요</t>
    </r>
    <r>
      <rPr>
        <sz val="10"/>
        <rFont val="Malgun Gothic"/>
        <family val="0"/>
        <charset val="1"/>
      </rPr>
      <t xml:space="preserve">.</t>
    </r>
  </si>
  <si>
    <t xml:space="preserve">cards.18.direct.slow_rx.title</t>
  </si>
  <si>
    <r>
      <rPr>
        <sz val="10"/>
        <rFont val="Noto Sans CJK SC"/>
        <family val="2"/>
      </rPr>
      <t xml:space="preserve">걱정 칸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일어난 일 칸 나누기</t>
    </r>
  </si>
  <si>
    <t xml:space="preserve">cards.18.direct.slow_rx.how</t>
  </si>
  <si>
    <r>
      <rPr>
        <sz val="10"/>
        <rFont val="Noto Sans CJK SC"/>
        <family val="2"/>
      </rPr>
      <t xml:space="preserve">노트를 두 칸으로 나누어 왼쪽에는 머릿속 걱정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오른쪽에는 실제로 일어난 일을 적어 보세요</t>
    </r>
    <r>
      <rPr>
        <sz val="10"/>
        <rFont val="Malgun Gothic"/>
        <family val="0"/>
        <charset val="1"/>
      </rPr>
      <t xml:space="preserve">.</t>
    </r>
  </si>
  <si>
    <t xml:space="preserve">cards.18.direct.slow_rx.why</t>
  </si>
  <si>
    <r>
      <rPr>
        <sz val="10"/>
        <rFont val="Noto Sans CJK SC"/>
        <family val="2"/>
      </rPr>
      <t xml:space="preserve">걱정을 실제보다 크게 그리면 일어나지 않은 일에 기운을 쓰니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두 칸으로 나눠 적으면 걱정의 실제 크기가 보입니다</t>
    </r>
    <r>
      <rPr>
        <sz val="10"/>
        <rFont val="Malgun Gothic"/>
        <family val="0"/>
        <charset val="1"/>
      </rPr>
      <t xml:space="preserve">.</t>
    </r>
  </si>
  <si>
    <t xml:space="preserve">cards.18.direct.three.title</t>
  </si>
  <si>
    <t xml:space="preserve">걱정과 실제 일 비교하기</t>
  </si>
  <si>
    <t xml:space="preserve">cards.18.direct.three.how</t>
  </si>
  <si>
    <r>
      <rPr>
        <sz val="10"/>
        <rFont val="Noto Sans CJK SC"/>
        <family val="2"/>
      </rPr>
      <t xml:space="preserve">걱정되는 일 다섯 가지를 두 칸 노트에 적고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오른쪽 칸에 실제로 일어난 일을 채운 뒤 비어 있는 걱정에 줄을 그어 보세요</t>
    </r>
    <r>
      <rPr>
        <sz val="10"/>
        <rFont val="Malgun Gothic"/>
        <family val="0"/>
        <charset val="1"/>
      </rPr>
      <t xml:space="preserve">.</t>
    </r>
  </si>
  <si>
    <t xml:space="preserve">cards.18.direct.three.time</t>
  </si>
  <si>
    <t xml:space="preserve">cards.18.direct.three.why</t>
  </si>
  <si>
    <r>
      <rPr>
        <sz val="10"/>
        <rFont val="Noto Sans CJK SC"/>
        <family val="2"/>
      </rPr>
      <t xml:space="preserve">걱정과 실제를 나란히 비교하면 일어나지 않은 일에 쓰던 기운을 아낄 수 있어요</t>
    </r>
    <r>
      <rPr>
        <sz val="10"/>
        <rFont val="Malgun Gothic"/>
        <family val="0"/>
        <charset val="1"/>
      </rPr>
      <t xml:space="preserve">.</t>
    </r>
  </si>
  <si>
    <t xml:space="preserve">cards.18.reversed.direct.slow_short</t>
  </si>
  <si>
    <t xml:space="preserve">남은 불확실함까지 정리하려는 마음</t>
  </si>
  <si>
    <t xml:space="preserve">cards.18.reversed.direct.key_rx.title</t>
  </si>
  <si>
    <t xml:space="preserve">정리된 부분부터 적기</t>
  </si>
  <si>
    <t xml:space="preserve">cards.18.reversed.direct.key_rx.how</t>
  </si>
  <si>
    <r>
      <rPr>
        <sz val="10"/>
        <rFont val="Noto Sans CJK SC"/>
        <family val="2"/>
      </rPr>
      <t xml:space="preserve">이미 정리된 부분을 노트에 먼저 적고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그것을 바탕으로 오늘 움직일 일 하나를 정해 보세요</t>
    </r>
    <r>
      <rPr>
        <sz val="10"/>
        <rFont val="Malgun Gothic"/>
        <family val="0"/>
        <charset val="1"/>
      </rPr>
      <t xml:space="preserve">.</t>
    </r>
  </si>
  <si>
    <t xml:space="preserve">cards.18.reversed.direct.key_rx.why</t>
  </si>
  <si>
    <r>
      <rPr>
        <sz val="10"/>
        <rFont val="Noto Sans CJK SC"/>
        <family val="2"/>
      </rPr>
      <t xml:space="preserve">이미 보이기 시작한 것에 마음을 두면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정리된 부분부터 믿고 움직여 남은 물음표도 덜 크게 느껴져요</t>
    </r>
    <r>
      <rPr>
        <sz val="10"/>
        <rFont val="Malgun Gothic"/>
        <family val="0"/>
        <charset val="1"/>
      </rPr>
      <t xml:space="preserve">.</t>
    </r>
  </si>
  <si>
    <t xml:space="preserve">cards.18.reversed.direct.today.title</t>
  </si>
  <si>
    <t xml:space="preserve">정리된 것 세 줄</t>
  </si>
  <si>
    <t xml:space="preserve">cards.18.reversed.direct.today.how</t>
  </si>
  <si>
    <r>
      <rPr>
        <sz val="10"/>
        <rFont val="Noto Sans CJK SC"/>
        <family val="2"/>
      </rPr>
      <t xml:space="preserve">상황 중 이미 정리된 부분을 떠올려 노트에 세 줄 적어 보세요</t>
    </r>
    <r>
      <rPr>
        <sz val="10"/>
        <rFont val="Malgun Gothic"/>
        <family val="0"/>
        <charset val="1"/>
      </rPr>
      <t xml:space="preserve">.</t>
    </r>
  </si>
  <si>
    <t xml:space="preserve">cards.18.reversed.direct.today.time</t>
  </si>
  <si>
    <t xml:space="preserve">cards.18.reversed.direct.today.why</t>
  </si>
  <si>
    <r>
      <rPr>
        <sz val="10"/>
        <rFont val="Noto Sans CJK SC"/>
        <family val="2"/>
      </rPr>
      <t xml:space="preserve">정리된 것을 적어 보면 남은 물음표 말고 이미 보이는 길이 눈에 들어옵니다</t>
    </r>
    <r>
      <rPr>
        <sz val="10"/>
        <rFont val="Malgun Gothic"/>
        <family val="0"/>
        <charset val="1"/>
      </rPr>
      <t xml:space="preserve">.</t>
    </r>
  </si>
  <si>
    <t xml:space="preserve">cards.18.reversed.direct.week.title</t>
  </si>
  <si>
    <t xml:space="preserve">정리된 부분 하루 하나씩 더하기</t>
  </si>
  <si>
    <t xml:space="preserve">cards.18.reversed.direct.week.how</t>
  </si>
  <si>
    <r>
      <rPr>
        <sz val="10"/>
        <rFont val="Noto Sans CJK SC"/>
        <family val="2"/>
      </rPr>
      <t xml:space="preserve">이번 주 매일 새로 정리된 부분이 있는지 살펴 한 줄씩 목록에 더해 보세요</t>
    </r>
    <r>
      <rPr>
        <sz val="10"/>
        <rFont val="Malgun Gothic"/>
        <family val="0"/>
        <charset val="1"/>
      </rPr>
      <t xml:space="preserve">.</t>
    </r>
  </si>
  <si>
    <t xml:space="preserve">cards.18.reversed.direct.week.time</t>
  </si>
  <si>
    <t xml:space="preserve">cards.18.reversed.direct.week.why</t>
  </si>
  <si>
    <r>
      <rPr>
        <sz val="10"/>
        <rFont val="Noto Sans CJK SC"/>
        <family val="2"/>
      </rPr>
      <t xml:space="preserve">정리된 부분을 날마다 더하면 이미 보이기 시작한 길이 얼마나 넓어졌는지 확인할 수 있어요</t>
    </r>
    <r>
      <rPr>
        <sz val="10"/>
        <rFont val="Malgun Gothic"/>
        <family val="0"/>
        <charset val="1"/>
      </rPr>
      <t xml:space="preserve">.</t>
    </r>
  </si>
  <si>
    <t xml:space="preserve">cards.18.reversed.direct.slow_rx.title</t>
  </si>
  <si>
    <t xml:space="preserve">남은 물음표에 기한 정하기</t>
  </si>
  <si>
    <t xml:space="preserve">cards.18.reversed.direct.slow_rx.how</t>
  </si>
  <si>
    <r>
      <rPr>
        <sz val="10"/>
        <rFont val="Noto Sans CJK SC"/>
        <family val="2"/>
      </rPr>
      <t xml:space="preserve">아직 정리되지 않은 물음표를 노트에 적고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옆에 언제까지 알아보면 되는지 날짜를 적어 두세요</t>
    </r>
    <r>
      <rPr>
        <sz val="10"/>
        <rFont val="Malgun Gothic"/>
        <family val="0"/>
        <charset val="1"/>
      </rPr>
      <t xml:space="preserve">.</t>
    </r>
  </si>
  <si>
    <t xml:space="preserve">cards.18.reversed.direct.slow_rx.why</t>
  </si>
  <si>
    <r>
      <rPr>
        <sz val="10"/>
        <rFont val="Noto Sans CJK SC"/>
        <family val="2"/>
      </rPr>
      <t xml:space="preserve">남은 불확실함까지 다 정리되기를 바라면 마음을 놓기 어려우니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기한을 정해 두면 그전에는 편히 둘 수 있어요</t>
    </r>
    <r>
      <rPr>
        <sz val="10"/>
        <rFont val="Malgun Gothic"/>
        <family val="0"/>
        <charset val="1"/>
      </rPr>
      <t xml:space="preserve">.</t>
    </r>
  </si>
  <si>
    <t xml:space="preserve">cards.18.reversed.direct.three.title</t>
  </si>
  <si>
    <t xml:space="preserve">물음표마다 기한 적기</t>
  </si>
  <si>
    <t xml:space="preserve">cards.18.reversed.direct.three.how</t>
  </si>
  <si>
    <r>
      <rPr>
        <sz val="10"/>
        <rFont val="Noto Sans CJK SC"/>
        <family val="2"/>
      </rPr>
      <t xml:space="preserve">남아 있는 물음표를 모두 적고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하나씩 언제까지 알아보면 되는지 날짜를 적은 뒤 그 날짜 전에는 다시 생각하지 않기로 해 보세요</t>
    </r>
    <r>
      <rPr>
        <sz val="10"/>
        <rFont val="Malgun Gothic"/>
        <family val="0"/>
        <charset val="1"/>
      </rPr>
      <t xml:space="preserve">.</t>
    </r>
  </si>
  <si>
    <t xml:space="preserve">cards.18.reversed.direct.three.time</t>
  </si>
  <si>
    <t xml:space="preserve">cards.18.reversed.direct.three.why</t>
  </si>
  <si>
    <r>
      <rPr>
        <sz val="10"/>
        <rFont val="Noto Sans CJK SC"/>
        <family val="2"/>
      </rPr>
      <t xml:space="preserve">기한을 적어 두면 이미 보이기 시작한 흐름을 편히 받아들일 수 있습니다</t>
    </r>
    <r>
      <rPr>
        <sz val="10"/>
        <rFont val="Malgun Gothic"/>
        <family val="0"/>
        <charset val="1"/>
      </rPr>
      <t xml:space="preserve">.</t>
    </r>
  </si>
  <si>
    <t xml:space="preserve">cards.19.direct.slow_short</t>
  </si>
  <si>
    <t xml:space="preserve">기쁨은 나중이라는 생각</t>
  </si>
  <si>
    <t xml:space="preserve">cards.19.direct.key_rx.title</t>
  </si>
  <si>
    <r>
      <rPr>
        <sz val="10"/>
        <rFont val="Noto Sans CJK SC"/>
        <family val="2"/>
      </rPr>
      <t xml:space="preserve">좋은 순간에 </t>
    </r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분 더 머물기</t>
    </r>
  </si>
  <si>
    <t xml:space="preserve">cards.19.direct.key_rx.how</t>
  </si>
  <si>
    <r>
      <rPr>
        <sz val="10"/>
        <rFont val="Noto Sans CJK SC"/>
        <family val="2"/>
      </rPr>
      <t xml:space="preserve">좋은 일이 있을 때 바로 다음 일로 넘어가지 말고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 순간에 </t>
    </r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분 더 머물러 보세요</t>
    </r>
    <r>
      <rPr>
        <sz val="10"/>
        <rFont val="Malgun Gothic"/>
        <family val="0"/>
        <charset val="1"/>
      </rPr>
      <t xml:space="preserve">.</t>
    </r>
  </si>
  <si>
    <t xml:space="preserve">cards.19.direct.key_rx.why</t>
  </si>
  <si>
    <r>
      <rPr>
        <sz val="10"/>
        <rFont val="Noto Sans CJK SC"/>
        <family val="2"/>
      </rPr>
      <t xml:space="preserve">좋은 순간을 충분히 누리는 데 마음을 두면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기쁨이 채워 주는 기운으로 고민도 마주할 수 있어요</t>
    </r>
    <r>
      <rPr>
        <sz val="10"/>
        <rFont val="Malgun Gothic"/>
        <family val="0"/>
        <charset val="1"/>
      </rPr>
      <t xml:space="preserve">.</t>
    </r>
  </si>
  <si>
    <t xml:space="preserve">cards.19.direct.today.title</t>
  </si>
  <si>
    <r>
      <rPr>
        <sz val="10"/>
        <rFont val="Noto Sans CJK SC"/>
        <family val="2"/>
      </rPr>
      <t xml:space="preserve">좋은 순간 </t>
    </r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분 누리기</t>
    </r>
  </si>
  <si>
    <t xml:space="preserve">cards.19.direct.today.how</t>
  </si>
  <si>
    <r>
      <rPr>
        <sz val="10"/>
        <rFont val="Noto Sans CJK SC"/>
        <family val="2"/>
      </rPr>
      <t xml:space="preserve">오늘 좋았던 순간 하나를 떠올려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그때의 기분을 </t>
    </r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분 동안 천천히 다시 느껴 보세요</t>
    </r>
    <r>
      <rPr>
        <sz val="10"/>
        <rFont val="Malgun Gothic"/>
        <family val="0"/>
        <charset val="1"/>
      </rPr>
      <t xml:space="preserve">.</t>
    </r>
  </si>
  <si>
    <t xml:space="preserve">cards.19.direct.today.time</t>
  </si>
  <si>
    <t xml:space="preserve">cards.19.direct.today.why</t>
  </si>
  <si>
    <r>
      <rPr>
        <sz val="10"/>
        <rFont val="Noto Sans CJK SC"/>
        <family val="2"/>
      </rPr>
      <t xml:space="preserve">좋은 순간을 </t>
    </r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분만 누려도 기쁨이 몸에 남는 걸 느낄 수 있습니다</t>
    </r>
    <r>
      <rPr>
        <sz val="10"/>
        <rFont val="Malgun Gothic"/>
        <family val="0"/>
        <charset val="1"/>
      </rPr>
      <t xml:space="preserve">.</t>
    </r>
  </si>
  <si>
    <t xml:space="preserve">cards.19.direct.week.title</t>
  </si>
  <si>
    <t xml:space="preserve">하루 한 번 좋은 순간 누리기</t>
  </si>
  <si>
    <t xml:space="preserve">cards.19.direct.week.how</t>
  </si>
  <si>
    <r>
      <rPr>
        <sz val="10"/>
        <rFont val="Noto Sans CJK SC"/>
        <family val="2"/>
      </rPr>
      <t xml:space="preserve">이번 주 매일 좋았던 순간 하나를 고르고</t>
    </r>
    <r>
      <rPr>
        <sz val="10"/>
        <rFont val="Malgun Gothic"/>
        <family val="0"/>
        <charset val="1"/>
      </rPr>
      <t xml:space="preserve">, 5</t>
    </r>
    <r>
      <rPr>
        <sz val="10"/>
        <rFont val="Noto Sans CJK SC"/>
        <family val="2"/>
      </rPr>
      <t xml:space="preserve">분 동안 그 순간을 노트에 자세히 적어 보세요</t>
    </r>
    <r>
      <rPr>
        <sz val="10"/>
        <rFont val="Malgun Gothic"/>
        <family val="0"/>
        <charset val="1"/>
      </rPr>
      <t xml:space="preserve">.</t>
    </r>
  </si>
  <si>
    <t xml:space="preserve">cards.19.direct.week.time</t>
  </si>
  <si>
    <t xml:space="preserve">cards.19.direct.week.why</t>
  </si>
  <si>
    <r>
      <rPr>
        <sz val="10"/>
        <rFont val="Noto Sans CJK SC"/>
        <family val="2"/>
      </rPr>
      <t xml:space="preserve">좋은 순간을 날마다 충분히 누리면 고민을 마주할 기운이 다시 채워집니다</t>
    </r>
    <r>
      <rPr>
        <sz val="10"/>
        <rFont val="Malgun Gothic"/>
        <family val="0"/>
        <charset val="1"/>
      </rPr>
      <t xml:space="preserve">.</t>
    </r>
  </si>
  <si>
    <t xml:space="preserve">cards.19.direct.slow_rx.title</t>
  </si>
  <si>
    <r>
      <rPr>
        <sz val="10"/>
        <rFont val="Noto Sans CJK SC"/>
        <family val="2"/>
      </rPr>
      <t xml:space="preserve">기쁨 칸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고민 칸 따로 적기</t>
    </r>
  </si>
  <si>
    <t xml:space="preserve">cards.19.direct.slow_rx.how</t>
  </si>
  <si>
    <r>
      <rPr>
        <sz val="10"/>
        <rFont val="Noto Sans CJK SC"/>
        <family val="2"/>
      </rPr>
      <t xml:space="preserve">노트에 오늘의 기쁨과 오늘의 고민을 두 칸으로 따로 적고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둘이 함께 있어도 괜찮다는 걸 눈으로 확인해 보세요</t>
    </r>
    <r>
      <rPr>
        <sz val="10"/>
        <rFont val="Malgun Gothic"/>
        <family val="0"/>
        <charset val="1"/>
      </rPr>
      <t xml:space="preserve">.</t>
    </r>
  </si>
  <si>
    <t xml:space="preserve">cards.19.direct.slow_rx.why</t>
  </si>
  <si>
    <r>
      <rPr>
        <sz val="10"/>
        <rFont val="Noto Sans CJK SC"/>
        <family val="2"/>
      </rPr>
      <t xml:space="preserve">고민이 남아 있으니 기쁨을 누리면 안 된다는 생각은 기쁨을 줄이니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두 칸에 따로 적으면 함께 있어도 된다는 걸 알게 됩니다</t>
    </r>
    <r>
      <rPr>
        <sz val="10"/>
        <rFont val="Malgun Gothic"/>
        <family val="0"/>
        <charset val="1"/>
      </rPr>
      <t xml:space="preserve">.</t>
    </r>
  </si>
  <si>
    <t xml:space="preserve">cards.19.direct.three.title</t>
  </si>
  <si>
    <t xml:space="preserve">기쁨과 고민 함께 놓아 보기</t>
  </si>
  <si>
    <t xml:space="preserve">cards.19.direct.three.how</t>
  </si>
  <si>
    <r>
      <rPr>
        <sz val="10"/>
        <rFont val="Noto Sans CJK SC"/>
        <family val="2"/>
      </rPr>
      <t xml:space="preserve">기쁜 일 세 가지와 고민 세 가지를 두 칸에 나란히 적고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기쁜 일 옆에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고민이 있어도 누려도 돼요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라고 한 줄 써 보세요</t>
    </r>
    <r>
      <rPr>
        <sz val="10"/>
        <rFont val="Malgun Gothic"/>
        <family val="0"/>
        <charset val="1"/>
      </rPr>
      <t xml:space="preserve">.</t>
    </r>
  </si>
  <si>
    <t xml:space="preserve">cards.19.direct.three.time</t>
  </si>
  <si>
    <t xml:space="preserve">cards.19.direct.three.why</t>
  </si>
  <si>
    <r>
      <rPr>
        <sz val="10"/>
        <rFont val="Noto Sans CJK SC"/>
        <family val="2"/>
      </rPr>
      <t xml:space="preserve">기쁨과 고민을 나란히 놓아 보면 고민이 남아도 기쁨을 누려도 된다는 걸 알 수 있습니다</t>
    </r>
    <r>
      <rPr>
        <sz val="10"/>
        <rFont val="Malgun Gothic"/>
        <family val="0"/>
        <charset val="1"/>
      </rPr>
      <t xml:space="preserve">.</t>
    </r>
  </si>
  <si>
    <t xml:space="preserve">cards.19.reversed.direct.slow_short</t>
  </si>
  <si>
    <t xml:space="preserve">좋은 순간을 지나치는 습관</t>
  </si>
  <si>
    <t xml:space="preserve">cards.19.reversed.direct.key_rx.title</t>
  </si>
  <si>
    <t xml:space="preserve">오늘의 작은 기쁨 찾아 적기</t>
  </si>
  <si>
    <t xml:space="preserve">cards.19.reversed.direct.key_rx.how</t>
  </si>
  <si>
    <r>
      <rPr>
        <sz val="10"/>
        <rFont val="Noto Sans CJK SC"/>
        <family val="2"/>
      </rPr>
      <t xml:space="preserve">오늘 있었던 작은 기쁨 하나를 찾아 노트에 적고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어떤 점이 좋았는지 한 줄 덧붙여 보세요</t>
    </r>
    <r>
      <rPr>
        <sz val="10"/>
        <rFont val="Malgun Gothic"/>
        <family val="0"/>
        <charset val="1"/>
      </rPr>
      <t xml:space="preserve">.</t>
    </r>
  </si>
  <si>
    <t xml:space="preserve">cards.19.reversed.direct.key_rx.why</t>
  </si>
  <si>
    <r>
      <rPr>
        <sz val="10"/>
        <rFont val="Noto Sans CJK SC"/>
        <family val="2"/>
      </rPr>
      <t xml:space="preserve">찾아온 기쁨을 받아들이는 데 마음을 두면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작은 기쁨을 미루지 않아 지친 마음에도 웃을 힘이 생깁니다</t>
    </r>
    <r>
      <rPr>
        <sz val="10"/>
        <rFont val="Malgun Gothic"/>
        <family val="0"/>
        <charset val="1"/>
      </rPr>
      <t xml:space="preserve">.</t>
    </r>
  </si>
  <si>
    <t xml:space="preserve">cards.19.reversed.direct.today.title</t>
  </si>
  <si>
    <t xml:space="preserve">작은 기쁨 한 줄</t>
  </si>
  <si>
    <t xml:space="preserve">cards.19.reversed.direct.today.how</t>
  </si>
  <si>
    <r>
      <rPr>
        <sz val="10"/>
        <rFont val="Noto Sans CJK SC"/>
        <family val="2"/>
      </rPr>
      <t xml:space="preserve">오늘 있었던 작은 기쁨 하나를 노트에 한 줄로 적어 보세요</t>
    </r>
    <r>
      <rPr>
        <sz val="10"/>
        <rFont val="Malgun Gothic"/>
        <family val="0"/>
        <charset val="1"/>
      </rPr>
      <t xml:space="preserve">.</t>
    </r>
  </si>
  <si>
    <t xml:space="preserve">cards.19.reversed.direct.today.time</t>
  </si>
  <si>
    <t xml:space="preserve">cards.19.reversed.direct.today.why</t>
  </si>
  <si>
    <r>
      <rPr>
        <sz val="10"/>
        <rFont val="Noto Sans CJK SC"/>
        <family val="2"/>
      </rPr>
      <t xml:space="preserve">작은 기쁨을 한 줄로 적으면 지나칠 뻔한 기쁨을 받아들인 기록이 돼요</t>
    </r>
    <r>
      <rPr>
        <sz val="10"/>
        <rFont val="Malgun Gothic"/>
        <family val="0"/>
        <charset val="1"/>
      </rPr>
      <t xml:space="preserve">.</t>
    </r>
  </si>
  <si>
    <t xml:space="preserve">cards.19.reversed.direct.week.title</t>
  </si>
  <si>
    <t xml:space="preserve">매일 작은 기쁨 한 줄</t>
  </si>
  <si>
    <t xml:space="preserve">cards.19.reversed.direct.week.how</t>
  </si>
  <si>
    <r>
      <rPr>
        <sz val="10"/>
        <rFont val="Noto Sans CJK SC"/>
        <family val="2"/>
      </rPr>
      <t xml:space="preserve">이번 주 매일 그날의 작은 기쁨 하나를 노트에 한 줄씩 적어 보세요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받아들인 기쁨이 일곱 개 쌓여요</t>
    </r>
    <r>
      <rPr>
        <sz val="10"/>
        <rFont val="Malgun Gothic"/>
        <family val="0"/>
        <charset val="1"/>
      </rPr>
      <t xml:space="preserve">.</t>
    </r>
  </si>
  <si>
    <t xml:space="preserve">cards.19.reversed.direct.week.time</t>
  </si>
  <si>
    <t xml:space="preserve">cards.19.reversed.direct.week.why</t>
  </si>
  <si>
    <r>
      <rPr>
        <sz val="10"/>
        <rFont val="Noto Sans CJK SC"/>
        <family val="2"/>
      </rPr>
      <t xml:space="preserve">작은 기쁨을 날마다 받아들이면 다음 걱정에 앞서 지금의 기쁨을 누리는 습관이 생깁니다</t>
    </r>
    <r>
      <rPr>
        <sz val="10"/>
        <rFont val="Malgun Gothic"/>
        <family val="0"/>
        <charset val="1"/>
      </rPr>
      <t xml:space="preserve">.</t>
    </r>
  </si>
  <si>
    <t xml:space="preserve">cards.19.reversed.direct.slow_rx.title</t>
  </si>
  <si>
    <t xml:space="preserve">좋은 순간에 휴대폰 내려놓기</t>
  </si>
  <si>
    <t xml:space="preserve">cards.19.reversed.direct.slow_rx.how</t>
  </si>
  <si>
    <r>
      <rPr>
        <sz val="10"/>
        <rFont val="Noto Sans CJK SC"/>
        <family val="2"/>
      </rPr>
      <t xml:space="preserve">맛있는 한 입이나 따뜻한 햇볕 같은 순간에 휴대폰을 내려놓고</t>
    </r>
    <r>
      <rPr>
        <sz val="10"/>
        <rFont val="Malgun Gothic"/>
        <family val="0"/>
        <charset val="1"/>
      </rPr>
      <t xml:space="preserve">, 5</t>
    </r>
    <r>
      <rPr>
        <sz val="10"/>
        <rFont val="Noto Sans CJK SC"/>
        <family val="2"/>
      </rPr>
      <t xml:space="preserve">분 동안 그 순간만 느껴 보세요</t>
    </r>
    <r>
      <rPr>
        <sz val="10"/>
        <rFont val="Malgun Gothic"/>
        <family val="0"/>
        <charset val="1"/>
      </rPr>
      <t xml:space="preserve">.</t>
    </r>
  </si>
  <si>
    <t xml:space="preserve">cards.19.reversed.direct.slow_rx.why</t>
  </si>
  <si>
    <r>
      <rPr>
        <sz val="10"/>
        <rFont val="Noto Sans CJK SC"/>
        <family val="2"/>
      </rPr>
      <t xml:space="preserve">좋은 순간을 지나치면 쉬어도 기운이 차오르지 않으니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 순간에 잠시 멈추면 작은 행복을 놓치지 않아요</t>
    </r>
    <r>
      <rPr>
        <sz val="10"/>
        <rFont val="Malgun Gothic"/>
        <family val="0"/>
        <charset val="1"/>
      </rPr>
      <t xml:space="preserve">.</t>
    </r>
  </si>
  <si>
    <t xml:space="preserve">cards.19.reversed.direct.three.title</t>
  </si>
  <si>
    <t xml:space="preserve">휴대폰 없이 한 끼 누리기</t>
  </si>
  <si>
    <t xml:space="preserve">cards.19.reversed.direct.three.how</t>
  </si>
  <si>
    <r>
      <rPr>
        <sz val="10"/>
        <rFont val="Noto Sans CJK SC"/>
        <family val="2"/>
      </rPr>
      <t xml:space="preserve">오늘 한 끼를 휴대폰 없이 먹으며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좋았던 맛과 분위기를 </t>
    </r>
    <r>
      <rPr>
        <sz val="10"/>
        <rFont val="Malgun Gothic"/>
        <family val="0"/>
        <charset val="1"/>
      </rPr>
      <t xml:space="preserve">10</t>
    </r>
    <r>
      <rPr>
        <sz val="10"/>
        <rFont val="Noto Sans CJK SC"/>
        <family val="2"/>
      </rPr>
      <t xml:space="preserve">분 동안 천천히 느끼고 식사 뒤 한 줄 적어 보세요</t>
    </r>
    <r>
      <rPr>
        <sz val="10"/>
        <rFont val="Malgun Gothic"/>
        <family val="0"/>
        <charset val="1"/>
      </rPr>
      <t xml:space="preserve">.</t>
    </r>
  </si>
  <si>
    <t xml:space="preserve">cards.19.reversed.direct.three.time</t>
  </si>
  <si>
    <t xml:space="preserve">cards.19.reversed.direct.three.why</t>
  </si>
  <si>
    <r>
      <rPr>
        <sz val="10"/>
        <rFont val="Noto Sans CJK SC"/>
        <family val="2"/>
      </rPr>
      <t xml:space="preserve">한 끼만이라도 지나치지 않고 누려 보면 작은 행복이 쉼의 기운으로 이어져요</t>
    </r>
    <r>
      <rPr>
        <sz val="10"/>
        <rFont val="Malgun Gothic"/>
        <family val="0"/>
        <charset val="1"/>
      </rPr>
      <t xml:space="preserve">.</t>
    </r>
  </si>
  <si>
    <t xml:space="preserve">cards.20.direct.slow_short</t>
  </si>
  <si>
    <t xml:space="preserve">바로 답을 내려는 조급함</t>
  </si>
  <si>
    <t xml:space="preserve">cards.20.direct.key_rx.title</t>
  </si>
  <si>
    <t xml:space="preserve">중요한 가치 세 가지 적기</t>
  </si>
  <si>
    <t xml:space="preserve">cards.20.direct.key_rx.how</t>
  </si>
  <si>
    <r>
      <rPr>
        <sz val="10"/>
        <rFont val="Noto Sans CJK SC"/>
        <family val="2"/>
      </rPr>
      <t xml:space="preserve">나에게 중요한 것을 노트에 떠오르는 대로 적은 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그중 세 가지만 남겨 보세요</t>
    </r>
    <r>
      <rPr>
        <sz val="10"/>
        <rFont val="Malgun Gothic"/>
        <family val="0"/>
        <charset val="1"/>
      </rPr>
      <t xml:space="preserve">.</t>
    </r>
  </si>
  <si>
    <t xml:space="preserve">cards.20.direct.key_rx.why</t>
  </si>
  <si>
    <r>
      <rPr>
        <sz val="10"/>
        <rFont val="Noto Sans CJK SC"/>
        <family val="2"/>
      </rPr>
      <t xml:space="preserve">나에게 정말 중요한 가치에 마음을 두면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가치가 또렷해져 작은 선택 하나도 내 바람에 답하는 걸음이 됩니다</t>
    </r>
    <r>
      <rPr>
        <sz val="10"/>
        <rFont val="Malgun Gothic"/>
        <family val="0"/>
        <charset val="1"/>
      </rPr>
      <t xml:space="preserve">.</t>
    </r>
  </si>
  <si>
    <t xml:space="preserve">cards.20.direct.today.title</t>
  </si>
  <si>
    <t xml:space="preserve">중요한 것 한 가지 적기</t>
  </si>
  <si>
    <t xml:space="preserve">cards.20.direct.today.how</t>
  </si>
  <si>
    <r>
      <rPr>
        <sz val="10"/>
        <rFont val="Noto Sans CJK SC"/>
        <family val="2"/>
      </rPr>
      <t xml:space="preserve">나에게 가장 중요한 것 하나를 노트에 한 줄로 적어 보세요</t>
    </r>
    <r>
      <rPr>
        <sz val="10"/>
        <rFont val="Malgun Gothic"/>
        <family val="0"/>
        <charset val="1"/>
      </rPr>
      <t xml:space="preserve">.</t>
    </r>
  </si>
  <si>
    <t xml:space="preserve">cards.20.direct.today.time</t>
  </si>
  <si>
    <t xml:space="preserve">cards.20.direct.today.why</t>
  </si>
  <si>
    <r>
      <rPr>
        <sz val="10"/>
        <rFont val="Noto Sans CJK SC"/>
        <family val="2"/>
      </rPr>
      <t xml:space="preserve">가장 중요한 것 하나만 적어도 선택의 기준이 조금 또렷해집니다</t>
    </r>
    <r>
      <rPr>
        <sz val="10"/>
        <rFont val="Malgun Gothic"/>
        <family val="0"/>
        <charset val="1"/>
      </rPr>
      <t xml:space="preserve">.</t>
    </r>
  </si>
  <si>
    <t xml:space="preserve">cards.20.direct.week.title</t>
  </si>
  <si>
    <t xml:space="preserve">선택마다 가치 하나 확인하기</t>
  </si>
  <si>
    <t xml:space="preserve">cards.20.direct.week.how</t>
  </si>
  <si>
    <r>
      <rPr>
        <sz val="10"/>
        <rFont val="Noto Sans CJK SC"/>
        <family val="2"/>
      </rPr>
      <t xml:space="preserve">이번 주 선택할 일이 생길 때마다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적어 둔 세 가지 가치 중 어느 것에 닿는지 한 줄 적어 보세요</t>
    </r>
    <r>
      <rPr>
        <sz val="10"/>
        <rFont val="Malgun Gothic"/>
        <family val="0"/>
        <charset val="1"/>
      </rPr>
      <t xml:space="preserve">.</t>
    </r>
  </si>
  <si>
    <t xml:space="preserve">cards.20.direct.week.time</t>
  </si>
  <si>
    <t xml:space="preserve">cards.20.direct.week.why</t>
  </si>
  <si>
    <r>
      <rPr>
        <sz val="10"/>
        <rFont val="Noto Sans CJK SC"/>
        <family val="2"/>
      </rPr>
      <t xml:space="preserve">선택할 때마다 가치를 확인하면 작은 선택이 내 바람에 답하는 걸음이 되는 걸 느껴요</t>
    </r>
    <r>
      <rPr>
        <sz val="10"/>
        <rFont val="Malgun Gothic"/>
        <family val="0"/>
        <charset val="1"/>
      </rPr>
      <t xml:space="preserve">.</t>
    </r>
  </si>
  <si>
    <t xml:space="preserve">cards.20.direct.slow_rx.title</t>
  </si>
  <si>
    <t xml:space="preserve">질문 적고 답은 일주일 뒤로 두기</t>
  </si>
  <si>
    <t xml:space="preserve">cards.20.direct.slow_rx.how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</si>
  <si>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나는 정말 무엇을 원하지</t>
    </r>
    <r>
      <rPr>
        <sz val="10"/>
        <rFont val="Malgun Gothic"/>
        <family val="0"/>
        <charset val="1"/>
      </rPr>
      <t xml:space="preserve">?'</t>
    </r>
    <r>
      <rPr>
        <sz val="10"/>
        <rFont val="Noto Sans CJK SC"/>
        <family val="2"/>
      </rPr>
      <t xml:space="preserve">를 노트 맨 위에 적고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떠오르는 답은 날짜와 함께 모으기만 하며 정하는 건 일주일 뒤로 미뤄 보세요</t>
    </r>
    <r>
      <rPr>
        <sz val="10"/>
        <rFont val="Malgun Gothic"/>
        <family val="0"/>
        <charset val="1"/>
      </rPr>
      <t xml:space="preserve">.</t>
    </r>
  </si>
  <si>
    <t xml:space="preserve">cards.20.direct.slow_rx.why</t>
  </si>
  <si>
    <r>
      <rPr>
        <sz val="10"/>
        <rFont val="Noto Sans CJK SC"/>
        <family val="2"/>
      </rPr>
      <t xml:space="preserve">바로 답을 내려는 조급함은 마음을 들썩이게 하니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답 모으기만 하고 정하는 건 미뤄 두면 마음이 가라앉아요</t>
    </r>
    <r>
      <rPr>
        <sz val="10"/>
        <rFont val="Malgun Gothic"/>
        <family val="0"/>
        <charset val="1"/>
      </rPr>
      <t xml:space="preserve">.</t>
    </r>
  </si>
  <si>
    <t xml:space="preserve">cards.20.direct.three.title</t>
  </si>
  <si>
    <t xml:space="preserve">답 후보 세 개만 적고 덮어 두기</t>
  </si>
  <si>
    <t xml:space="preserve">cards.20.direct.three.how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</si>
  <si>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나는 정말 무엇을 원하지</t>
    </r>
    <r>
      <rPr>
        <sz val="10"/>
        <rFont val="Malgun Gothic"/>
        <family val="0"/>
        <charset val="1"/>
      </rPr>
      <t xml:space="preserve">?'</t>
    </r>
    <r>
      <rPr>
        <sz val="10"/>
        <rFont val="Noto Sans CJK SC"/>
        <family val="2"/>
      </rPr>
      <t xml:space="preserve">에 대한 답 후보를 세 개만 적고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하나로 고르지 말고 노트를 덮어 두세요</t>
    </r>
    <r>
      <rPr>
        <sz val="10"/>
        <rFont val="Malgun Gothic"/>
        <family val="0"/>
        <charset val="1"/>
      </rPr>
      <t xml:space="preserve">.</t>
    </r>
  </si>
  <si>
    <t xml:space="preserve">cards.20.direct.three.time</t>
  </si>
  <si>
    <t xml:space="preserve">cards.20.direct.three.why</t>
  </si>
  <si>
    <r>
      <rPr>
        <sz val="10"/>
        <rFont val="Noto Sans CJK SC"/>
        <family val="2"/>
      </rPr>
      <t xml:space="preserve">답을 서둘러 정하지 않고 후보만 모아 두면 익숙한 자리가 덜 낯설어집니다</t>
    </r>
    <r>
      <rPr>
        <sz val="10"/>
        <rFont val="Malgun Gothic"/>
        <family val="0"/>
        <charset val="1"/>
      </rPr>
      <t xml:space="preserve">.</t>
    </r>
  </si>
  <si>
    <t xml:space="preserve">cards.20.reversed.direct.slow_short</t>
  </si>
  <si>
    <t xml:space="preserve">지난 선택을 평가하는 습관</t>
  </si>
  <si>
    <t xml:space="preserve">cards.20.reversed.direct.key_rx.title</t>
  </si>
  <si>
    <t xml:space="preserve">끌리는 것 세 가지 적기</t>
  </si>
  <si>
    <t xml:space="preserve">cards.20.reversed.direct.key_rx.how</t>
  </si>
  <si>
    <r>
      <rPr>
        <sz val="10"/>
        <rFont val="Noto Sans CJK SC"/>
        <family val="2"/>
      </rPr>
      <t xml:space="preserve">요즘 자꾸 눈이 가는 것을 잘할 수 있는지는 따지지 말고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노트에 세 가지 적어 보세요</t>
    </r>
    <r>
      <rPr>
        <sz val="10"/>
        <rFont val="Malgun Gothic"/>
        <family val="0"/>
        <charset val="1"/>
      </rPr>
      <t xml:space="preserve">.</t>
    </r>
  </si>
  <si>
    <t xml:space="preserve">cards.20.reversed.direct.key_rx.why</t>
  </si>
  <si>
    <r>
      <rPr>
        <sz val="10"/>
        <rFont val="Noto Sans CJK SC"/>
        <family val="2"/>
      </rPr>
      <t xml:space="preserve">잘해야 한다는 기준보다 지금 끌리는 방향에 마음을 두면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흐릿하던 바람이 시작할 수 있는 크기로 보여요</t>
    </r>
    <r>
      <rPr>
        <sz val="10"/>
        <rFont val="Malgun Gothic"/>
        <family val="0"/>
        <charset val="1"/>
      </rPr>
      <t xml:space="preserve">.</t>
    </r>
  </si>
  <si>
    <t xml:space="preserve">cards.20.reversed.direct.today.title</t>
  </si>
  <si>
    <t xml:space="preserve">끌리는 것 하나 적기</t>
  </si>
  <si>
    <t xml:space="preserve">cards.20.reversed.direct.today.how</t>
  </si>
  <si>
    <r>
      <rPr>
        <sz val="10"/>
        <rFont val="Noto Sans CJK SC"/>
        <family val="2"/>
      </rPr>
      <t xml:space="preserve">요즘 가장 끌리는 것 하나를 잘하는지 따지지 말고 노트에 적어 보세요</t>
    </r>
    <r>
      <rPr>
        <sz val="10"/>
        <rFont val="Malgun Gothic"/>
        <family val="0"/>
        <charset val="1"/>
      </rPr>
      <t xml:space="preserve">.</t>
    </r>
  </si>
  <si>
    <t xml:space="preserve">cards.20.reversed.direct.today.time</t>
  </si>
  <si>
    <t xml:space="preserve">cards.20.reversed.direct.today.why</t>
  </si>
  <si>
    <r>
      <rPr>
        <sz val="10"/>
        <rFont val="Noto Sans CJK SC"/>
        <family val="2"/>
      </rPr>
      <t xml:space="preserve">끌리는 것을 기준 없이 적어 보면 흐릿하던 방향이 한 줄로 나타나요</t>
    </r>
    <r>
      <rPr>
        <sz val="10"/>
        <rFont val="Malgun Gothic"/>
        <family val="0"/>
        <charset val="1"/>
      </rPr>
      <t xml:space="preserve">.</t>
    </r>
  </si>
  <si>
    <t xml:space="preserve">cards.20.reversed.direct.week.title</t>
  </si>
  <si>
    <t xml:space="preserve">끌리는 것 하나 맛보기</t>
  </si>
  <si>
    <t xml:space="preserve">cards.20.reversed.direct.week.how</t>
  </si>
  <si>
    <r>
      <rPr>
        <sz val="10"/>
        <rFont val="Noto Sans CJK SC"/>
        <family val="2"/>
      </rPr>
      <t xml:space="preserve">이번 주 끌리는 것 중 하나를 골라 </t>
    </r>
    <r>
      <rPr>
        <sz val="10"/>
        <rFont val="Malgun Gothic"/>
        <family val="0"/>
        <charset val="1"/>
      </rPr>
      <t xml:space="preserve">30</t>
    </r>
    <r>
      <rPr>
        <sz val="10"/>
        <rFont val="Noto Sans CJK SC"/>
        <family val="2"/>
      </rPr>
      <t xml:space="preserve">분만 해 보세요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잘하려 하지 말고 해 보는 것만으로 충분해요</t>
    </r>
    <r>
      <rPr>
        <sz val="10"/>
        <rFont val="Malgun Gothic"/>
        <family val="0"/>
        <charset val="1"/>
      </rPr>
      <t xml:space="preserve">.</t>
    </r>
  </si>
  <si>
    <t xml:space="preserve">cards.20.reversed.direct.week.time</t>
  </si>
  <si>
    <t xml:space="preserve">cards.20.reversed.direct.week.why</t>
  </si>
  <si>
    <r>
      <rPr>
        <sz val="10"/>
        <rFont val="Noto Sans CJK SC"/>
        <family val="2"/>
      </rPr>
      <t xml:space="preserve">끌리는 것을 직접 해 보면 기준을 낮추고도 시작할 수 있다는 걸 알게 됩니다</t>
    </r>
    <r>
      <rPr>
        <sz val="10"/>
        <rFont val="Malgun Gothic"/>
        <family val="0"/>
        <charset val="1"/>
      </rPr>
      <t xml:space="preserve">.</t>
    </r>
  </si>
  <si>
    <t xml:space="preserve">cards.20.reversed.direct.slow_rx.title</t>
  </si>
  <si>
    <t xml:space="preserve">그때 알던 것만으로 보기</t>
  </si>
  <si>
    <t xml:space="preserve">cards.20.reversed.direct.slow_rx.how</t>
  </si>
  <si>
    <r>
      <rPr>
        <sz val="10"/>
        <rFont val="Noto Sans CJK SC"/>
        <family val="2"/>
      </rPr>
      <t xml:space="preserve">지난 선택을 평가하는 생각이 들면</t>
    </r>
    <r>
      <rPr>
        <sz val="10"/>
        <rFont val="Malgun Gothic"/>
        <family val="0"/>
        <charset val="1"/>
      </rPr>
      <t xml:space="preserve">, '</t>
    </r>
    <r>
      <rPr>
        <sz val="10"/>
        <rFont val="Noto Sans CJK SC"/>
        <family val="2"/>
      </rPr>
      <t xml:space="preserve">그때 내가 알던 것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을 노트에 한 줄 적고 평가는 거기서 마쳐 보세요</t>
    </r>
    <r>
      <rPr>
        <sz val="10"/>
        <rFont val="Malgun Gothic"/>
        <family val="0"/>
        <charset val="1"/>
      </rPr>
      <t xml:space="preserve">.</t>
    </r>
  </si>
  <si>
    <t xml:space="preserve">cards.20.reversed.direct.slow_rx.why</t>
  </si>
  <si>
    <r>
      <rPr>
        <sz val="10"/>
        <rFont val="Noto Sans CJK SC"/>
        <family val="2"/>
      </rPr>
      <t xml:space="preserve">지난 선택을 계속 평가하면 기준이 높아져 방향이 흐려지니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그때 알던 것만 적으면 평가를 멈출 수 있어요</t>
    </r>
    <r>
      <rPr>
        <sz val="10"/>
        <rFont val="Malgun Gothic"/>
        <family val="0"/>
        <charset val="1"/>
      </rPr>
      <t xml:space="preserve">.</t>
    </r>
  </si>
  <si>
    <t xml:space="preserve">cards.20.reversed.direct.three.title</t>
  </si>
  <si>
    <t xml:space="preserve">그때 알던 것으로 선택 돌아보기</t>
  </si>
  <si>
    <t xml:space="preserve">cards.20.reversed.direct.three.how</t>
  </si>
  <si>
    <r>
      <rPr>
        <sz val="10"/>
        <rFont val="Noto Sans CJK SC"/>
        <family val="2"/>
      </rPr>
      <t xml:space="preserve">지난 선택 세 가지를 적고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각각 그때 내가 알던 것과 할 수 있었던 일을 한 줄씩 적은 뒤 평가는 하지 않기로 해 보세요</t>
    </r>
    <r>
      <rPr>
        <sz val="10"/>
        <rFont val="Malgun Gothic"/>
        <family val="0"/>
        <charset val="1"/>
      </rPr>
      <t xml:space="preserve">.</t>
    </r>
  </si>
  <si>
    <t xml:space="preserve">cards.20.reversed.direct.three.time</t>
  </si>
  <si>
    <t xml:space="preserve">cards.20.reversed.direct.three.why</t>
  </si>
  <si>
    <r>
      <rPr>
        <sz val="10"/>
        <rFont val="Noto Sans CJK SC"/>
        <family val="2"/>
      </rPr>
      <t xml:space="preserve">그때 알던 것으로 지난 선택을 보면 평가하느라 길어지던 망설임이 줄어요</t>
    </r>
    <r>
      <rPr>
        <sz val="10"/>
        <rFont val="Malgun Gothic"/>
        <family val="0"/>
        <charset val="1"/>
      </rPr>
      <t xml:space="preserve">.</t>
    </r>
  </si>
  <si>
    <t xml:space="preserve">cards.21.direct.slow_short</t>
  </si>
  <si>
    <t xml:space="preserve">다음 목표부터 보는 습관</t>
  </si>
  <si>
    <t xml:space="preserve">cards.21.direct.key_rx.title</t>
  </si>
  <si>
    <t xml:space="preserve">지나온 여정 한 장으로 돌아보기</t>
  </si>
  <si>
    <t xml:space="preserve">cards.21.direct.key_rx.how</t>
  </si>
  <si>
    <r>
      <rPr>
        <sz val="10"/>
        <rFont val="Noto Sans CJK SC"/>
        <family val="2"/>
      </rPr>
      <t xml:space="preserve">이번 한 바퀴에서 해낸 일과 도움받았던 일을 시간 순서대로 노트 한 장에 적어 보세요</t>
    </r>
    <r>
      <rPr>
        <sz val="10"/>
        <rFont val="Malgun Gothic"/>
        <family val="0"/>
        <charset val="1"/>
      </rPr>
      <t xml:space="preserve">.</t>
    </r>
  </si>
  <si>
    <t xml:space="preserve">cards.21.direct.key_rx.why</t>
  </si>
  <si>
    <r>
      <rPr>
        <sz val="10"/>
        <rFont val="Noto Sans CJK SC"/>
        <family val="2"/>
      </rPr>
      <t xml:space="preserve">지나온 여정과 나를 도와준 사람들을 돌아보는 데 마음을 두면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한 바퀴를 잘 매듭지어 다음 시작을 가볍게 맞습니다</t>
    </r>
    <r>
      <rPr>
        <sz val="10"/>
        <rFont val="Malgun Gothic"/>
        <family val="0"/>
        <charset val="1"/>
      </rPr>
      <t xml:space="preserve">.</t>
    </r>
  </si>
  <si>
    <t xml:space="preserve">cards.21.direct.today.title</t>
  </si>
  <si>
    <t xml:space="preserve">해낸 일 세 가지 적기</t>
  </si>
  <si>
    <t xml:space="preserve">cards.21.direct.today.how</t>
  </si>
  <si>
    <r>
      <rPr>
        <sz val="10"/>
        <rFont val="Noto Sans CJK SC"/>
        <family val="2"/>
      </rPr>
      <t xml:space="preserve">이번 한 바퀴에서 해낸 일 세 가지를 노트에 적어 보세요</t>
    </r>
    <r>
      <rPr>
        <sz val="10"/>
        <rFont val="Malgun Gothic"/>
        <family val="0"/>
        <charset val="1"/>
      </rPr>
      <t xml:space="preserve">.</t>
    </r>
  </si>
  <si>
    <t xml:space="preserve">cards.21.direct.today.time</t>
  </si>
  <si>
    <t xml:space="preserve">cards.21.direct.today.why</t>
  </si>
  <si>
    <r>
      <rPr>
        <sz val="10"/>
        <rFont val="Noto Sans CJK SC"/>
        <family val="2"/>
      </rPr>
      <t xml:space="preserve">해낸 일을 눈으로 확인하면 흐려지던 성취감이 다시 또렷해져요</t>
    </r>
    <r>
      <rPr>
        <sz val="10"/>
        <rFont val="Malgun Gothic"/>
        <family val="0"/>
        <charset val="1"/>
      </rPr>
      <t xml:space="preserve">.</t>
    </r>
  </si>
  <si>
    <t xml:space="preserve">cards.21.direct.week.title</t>
  </si>
  <si>
    <t xml:space="preserve">하루 한 칸씩 여정 채우기</t>
  </si>
  <si>
    <t xml:space="preserve">cards.21.direct.week.how</t>
  </si>
  <si>
    <r>
      <rPr>
        <sz val="10"/>
        <rFont val="Noto Sans CJK SC"/>
        <family val="2"/>
      </rPr>
      <t xml:space="preserve">이번 주 매일 지나온 여정 한 대목을 떠올려 노트에 한 칸씩 채워 보세요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도움받은 일도 함께 적어요</t>
    </r>
    <r>
      <rPr>
        <sz val="10"/>
        <rFont val="Malgun Gothic"/>
        <family val="0"/>
        <charset val="1"/>
      </rPr>
      <t xml:space="preserve">.</t>
    </r>
  </si>
  <si>
    <t xml:space="preserve">cards.21.direct.week.time</t>
  </si>
  <si>
    <t xml:space="preserve">cards.21.direct.week.why</t>
  </si>
  <si>
    <r>
      <rPr>
        <sz val="10"/>
        <rFont val="Noto Sans CJK SC"/>
        <family val="2"/>
      </rPr>
      <t xml:space="preserve">여정을 날마다 조금씩 채우면 한 바퀴를 잘 마무리했다는 느낌이 남습니다</t>
    </r>
    <r>
      <rPr>
        <sz val="10"/>
        <rFont val="Malgun Gothic"/>
        <family val="0"/>
        <charset val="1"/>
      </rPr>
      <t xml:space="preserve">.</t>
    </r>
  </si>
  <si>
    <t xml:space="preserve">cards.21.direct.slow_rx.title</t>
  </si>
  <si>
    <t xml:space="preserve">다음 목표는 따로 적어 두기</t>
  </si>
  <si>
    <t xml:space="preserve">cards.21.direct.slow_rx.how</t>
  </si>
  <si>
    <r>
      <rPr>
        <sz val="10"/>
        <rFont val="Noto Sans CJK SC"/>
        <family val="2"/>
      </rPr>
      <t xml:space="preserve">다음 목표가 떠오르면 노트 한쪽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다음 칸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에 적어 두고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그날은 해낸 일만 돌아보세요</t>
    </r>
    <r>
      <rPr>
        <sz val="10"/>
        <rFont val="Malgun Gothic"/>
        <family val="0"/>
        <charset val="1"/>
      </rPr>
      <t xml:space="preserve">.</t>
    </r>
  </si>
  <si>
    <t xml:space="preserve">cards.21.direct.slow_rx.why</t>
  </si>
  <si>
    <r>
      <rPr>
        <sz val="10"/>
        <rFont val="Noto Sans CJK SC"/>
        <family val="2"/>
      </rPr>
      <t xml:space="preserve">해낸 일을 돌아보기 전에 다음 목표부터 보면 성취감이 흐려지니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목표를 따로 적어 두면 돌아볼 틈이 생겨요</t>
    </r>
    <r>
      <rPr>
        <sz val="10"/>
        <rFont val="Malgun Gothic"/>
        <family val="0"/>
        <charset val="1"/>
      </rPr>
      <t xml:space="preserve">.</t>
    </r>
  </si>
  <si>
    <t xml:space="preserve">cards.21.direct.three.title</t>
  </si>
  <si>
    <t xml:space="preserve">다음 칸 만들어 목표 옮기기</t>
  </si>
  <si>
    <t xml:space="preserve">cards.21.direct.three.how</t>
  </si>
  <si>
    <r>
      <rPr>
        <sz val="10"/>
        <rFont val="Noto Sans CJK SC"/>
        <family val="2"/>
      </rPr>
      <t xml:space="preserve">머릿속 다음 목표를 모두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다음 칸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으로 옮겨 적은 뒤</t>
    </r>
    <r>
      <rPr>
        <sz val="10"/>
        <rFont val="Malgun Gothic"/>
        <family val="0"/>
        <charset val="1"/>
      </rPr>
      <t xml:space="preserve">, 15</t>
    </r>
    <r>
      <rPr>
        <sz val="10"/>
        <rFont val="Noto Sans CJK SC"/>
        <family val="2"/>
      </rPr>
      <t xml:space="preserve">분 동안 이번 한 바퀴에서 해낸 일만 돌아보세요</t>
    </r>
    <r>
      <rPr>
        <sz val="10"/>
        <rFont val="Malgun Gothic"/>
        <family val="0"/>
        <charset val="1"/>
      </rPr>
      <t xml:space="preserve">.</t>
    </r>
  </si>
  <si>
    <t xml:space="preserve">cards.21.direct.three.time</t>
  </si>
  <si>
    <t xml:space="preserve">cards.21.direct.three.why</t>
  </si>
  <si>
    <r>
      <rPr>
        <sz val="10"/>
        <rFont val="Noto Sans CJK SC"/>
        <family val="2"/>
      </rPr>
      <t xml:space="preserve">다음 목표를 따로 옮겨 두면 해낸 일을 돌아볼 시간이 생겨 마무리한 느낌이 남아요</t>
    </r>
    <r>
      <rPr>
        <sz val="10"/>
        <rFont val="Malgun Gothic"/>
        <family val="0"/>
        <charset val="1"/>
      </rPr>
      <t xml:space="preserve">.</t>
    </r>
  </si>
  <si>
    <t xml:space="preserve">cards.21.reversed.direct.slow_short</t>
  </si>
  <si>
    <t xml:space="preserve">마지막을 완벽하게 해야 한다는 부담</t>
  </si>
  <si>
    <t xml:space="preserve">cards.21.reversed.direct.key_rx.title</t>
  </si>
  <si>
    <t xml:space="preserve">완료 기준 한 줄 정하기</t>
  </si>
  <si>
    <t xml:space="preserve">cards.21.reversed.direct.key_rx.how</t>
  </si>
  <si>
    <r>
      <rPr>
        <sz val="10"/>
        <rFont val="Noto Sans CJK SC"/>
        <family val="2"/>
      </rPr>
      <t xml:space="preserve">마지막 일에서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여기까지면 끝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이라는 기준을 한 줄 적고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 기준만 채워 보세요</t>
    </r>
    <r>
      <rPr>
        <sz val="10"/>
        <rFont val="Malgun Gothic"/>
        <family val="0"/>
        <charset val="1"/>
      </rPr>
      <t xml:space="preserve">.</t>
    </r>
  </si>
  <si>
    <t xml:space="preserve">cards.21.reversed.direct.key_rx.why</t>
  </si>
  <si>
    <r>
      <rPr>
        <sz val="10"/>
        <rFont val="Noto Sans CJK SC"/>
        <family val="2"/>
      </rPr>
      <t xml:space="preserve">완벽보다 완료에 마음을 두면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아쉬움이 조금 남아도 매듭을 지어 다음으로 나아갈 여유가 생깁니다</t>
    </r>
    <r>
      <rPr>
        <sz val="10"/>
        <rFont val="Malgun Gothic"/>
        <family val="0"/>
        <charset val="1"/>
      </rPr>
      <t xml:space="preserve">.</t>
    </r>
  </si>
  <si>
    <t xml:space="preserve">cards.21.reversed.direct.today.title</t>
  </si>
  <si>
    <t xml:space="preserve">여기까지면 끝 한 줄</t>
  </si>
  <si>
    <t xml:space="preserve">cards.21.reversed.direct.today.how</t>
  </si>
  <si>
    <r>
      <rPr>
        <sz val="10"/>
        <rFont val="Noto Sans CJK SC"/>
        <family val="2"/>
      </rPr>
      <t xml:space="preserve">마지막 일에서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여기까지면 끝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이라고 생각할 기준을 노트에 한 줄로 적어 보세요</t>
    </r>
    <r>
      <rPr>
        <sz val="10"/>
        <rFont val="Malgun Gothic"/>
        <family val="0"/>
        <charset val="1"/>
      </rPr>
      <t xml:space="preserve">.</t>
    </r>
  </si>
  <si>
    <t xml:space="preserve">cards.21.reversed.direct.today.time</t>
  </si>
  <si>
    <t xml:space="preserve">cards.21.reversed.direct.today.why</t>
  </si>
  <si>
    <r>
      <rPr>
        <sz val="10"/>
        <rFont val="Noto Sans CJK SC"/>
        <family val="2"/>
      </rPr>
      <t xml:space="preserve">끝나는 기준을 미리 적으면 마지막 한 걸음이 덜 무겁게 느껴집니다</t>
    </r>
    <r>
      <rPr>
        <sz val="10"/>
        <rFont val="Malgun Gothic"/>
        <family val="0"/>
        <charset val="1"/>
      </rPr>
      <t xml:space="preserve">.</t>
    </r>
  </si>
  <si>
    <t xml:space="preserve">cards.21.reversed.direct.week.title</t>
  </si>
  <si>
    <t xml:space="preserve">정한 기준까지만 하고 마치기</t>
  </si>
  <si>
    <t xml:space="preserve">cards.21.reversed.direct.week.how</t>
  </si>
  <si>
    <r>
      <rPr>
        <sz val="10"/>
        <rFont val="Noto Sans CJK SC"/>
        <family val="2"/>
      </rPr>
      <t xml:space="preserve">이번 주 마지막 일을 적어 둔 완료 기준까지만 하고 마친 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마친 날짜를 노트에 적어 보세요</t>
    </r>
    <r>
      <rPr>
        <sz val="10"/>
        <rFont val="Malgun Gothic"/>
        <family val="0"/>
        <charset val="1"/>
      </rPr>
      <t xml:space="preserve">.</t>
    </r>
  </si>
  <si>
    <t xml:space="preserve">cards.21.reversed.direct.week.time</t>
  </si>
  <si>
    <t xml:space="preserve">cards.21.reversed.direct.week.why</t>
  </si>
  <si>
    <r>
      <rPr>
        <sz val="10"/>
        <rFont val="Noto Sans CJK SC"/>
        <family val="2"/>
      </rPr>
      <t xml:space="preserve">기준까지만 하고 마치는 경험을 하면 아쉬움이 남아도 다음으로 나아갈 수 있어요</t>
    </r>
    <r>
      <rPr>
        <sz val="10"/>
        <rFont val="Malgun Gothic"/>
        <family val="0"/>
        <charset val="1"/>
      </rPr>
      <t xml:space="preserve">.</t>
    </r>
  </si>
  <si>
    <t xml:space="preserve">cards.21.reversed.direct.slow_rx.title</t>
  </si>
  <si>
    <t xml:space="preserve">아쉬운 점은 다음에 할 일로 옮기기</t>
  </si>
  <si>
    <t xml:space="preserve">cards.21.reversed.direct.slow_rx.how</t>
  </si>
  <si>
    <r>
      <rPr>
        <sz val="10"/>
        <rFont val="Noto Sans CJK SC"/>
        <family val="2"/>
      </rPr>
      <t xml:space="preserve">완벽하게 하고 싶은 부분이 떠오르면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다음에 할 수 있는 것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목록에 옮겨 적고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이번에는 그대로 넘기세요</t>
    </r>
    <r>
      <rPr>
        <sz val="10"/>
        <rFont val="Malgun Gothic"/>
        <family val="0"/>
        <charset val="1"/>
      </rPr>
      <t xml:space="preserve">.</t>
    </r>
  </si>
  <si>
    <t xml:space="preserve">cards.21.reversed.direct.slow_rx.why</t>
  </si>
  <si>
    <r>
      <rPr>
        <sz val="10"/>
        <rFont val="Noto Sans CJK SC"/>
        <family val="2"/>
      </rPr>
      <t xml:space="preserve">마지막을 완벽하게 하려는 부담은 남은 일을 마음에 남기니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아쉬운 점을 목록에 옮기면 마음이 가벼워져요</t>
    </r>
    <r>
      <rPr>
        <sz val="10"/>
        <rFont val="Malgun Gothic"/>
        <family val="0"/>
        <charset val="1"/>
      </rPr>
      <t xml:space="preserve">.</t>
    </r>
  </si>
  <si>
    <t xml:space="preserve">cards.21.reversed.direct.three.title</t>
  </si>
  <si>
    <t xml:space="preserve">아쉬운 점 따로 모아 두기</t>
  </si>
  <si>
    <t xml:space="preserve">cards.21.reversed.direct.three.how</t>
  </si>
  <si>
    <r>
      <rPr>
        <sz val="10"/>
        <rFont val="Noto Sans CJK SC"/>
        <family val="2"/>
      </rPr>
      <t xml:space="preserve">마지막 일에서 아쉬운 점을 모두 적어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다음에 할 수 있는 것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목록으로 옮기고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이번 일은 완료로 표시해 보세요</t>
    </r>
    <r>
      <rPr>
        <sz val="10"/>
        <rFont val="Malgun Gothic"/>
        <family val="0"/>
        <charset val="1"/>
      </rPr>
      <t xml:space="preserve">.</t>
    </r>
  </si>
  <si>
    <t xml:space="preserve">cards.21.reversed.direct.three.time</t>
  </si>
  <si>
    <t xml:space="preserve">cards.21.reversed.direct.three.why</t>
  </si>
  <si>
    <r>
      <rPr>
        <sz val="10"/>
        <rFont val="Noto Sans CJK SC"/>
        <family val="2"/>
      </rPr>
      <t xml:space="preserve">아쉬운 점을 따로 모아 두면 남은 일이 마음 한쪽을 차지하지 않아 쉴 때 개운해집니다</t>
    </r>
    <r>
      <rPr>
        <sz val="10"/>
        <rFont val="Malgun Gothic"/>
        <family val="0"/>
        <charset val="1"/>
      </rPr>
      <t xml:space="preserve">.</t>
    </r>
  </si>
  <si>
    <t xml:space="preserve">cards.0.tendency</t>
  </si>
  <si>
    <r>
      <rPr>
        <sz val="10"/>
        <rFont val="Noto Sans CJK SC"/>
        <family val="2"/>
      </rPr>
      <t xml:space="preserve">정방향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지나온 길에 나왔을 때 </t>
    </r>
    <r>
      <rPr>
        <sz val="10"/>
        <rFont val="Malgun Gothic"/>
        <family val="0"/>
        <charset val="1"/>
      </rPr>
      <t xml:space="preserve">6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카드로 본 나의 성향</t>
    </r>
    <r>
      <rPr>
        <sz val="10"/>
        <rFont val="Malgun Gothic"/>
        <family val="0"/>
        <charset val="1"/>
      </rPr>
      <t xml:space="preserve">'(</t>
    </r>
    <r>
      <rPr>
        <sz val="10"/>
        <rFont val="Noto Sans CJK SC"/>
        <family val="2"/>
      </rPr>
      <t xml:space="preserve">일반적 추정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두 문장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</si>
  <si>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새로운 일에 마음이 먼저 끌리는 편일 때가 많아요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궁금한 게 생기면 가볍게 움직이는 힘이 있지만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고민 앞에서는 생각만 하다 첫발이 늦어지기도 해요</t>
    </r>
    <r>
      <rPr>
        <sz val="10"/>
        <rFont val="Malgun Gothic"/>
        <family val="0"/>
        <charset val="1"/>
      </rPr>
      <t xml:space="preserve">.</t>
    </r>
  </si>
  <si>
    <t xml:space="preserve">cards.0.reversed.tendency</t>
  </si>
  <si>
    <r>
      <rPr>
        <sz val="10"/>
        <rFont val="Noto Sans CJK SC"/>
        <family val="2"/>
      </rPr>
      <t xml:space="preserve">역방향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지나온 길에 나왔을 때 </t>
    </r>
    <r>
      <rPr>
        <sz val="10"/>
        <rFont val="Malgun Gothic"/>
        <family val="0"/>
        <charset val="1"/>
      </rPr>
      <t xml:space="preserve">6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카드로 본 나의 성향</t>
    </r>
    <r>
      <rPr>
        <sz val="10"/>
        <rFont val="Malgun Gothic"/>
        <family val="0"/>
        <charset val="1"/>
      </rPr>
      <t xml:space="preserve">'(</t>
    </r>
    <r>
      <rPr>
        <sz val="10"/>
        <rFont val="Noto Sans CJK SC"/>
        <family val="2"/>
      </rPr>
      <t xml:space="preserve">일반적 추정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두 문장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</si>
  <si>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하고 싶은 일이 생겨도 충분히 준비된 뒤에 움직이려는 편일 때가 많아요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그만큼 신중해서 실수는 적지만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고민 앞에서는 시작을 자꾸 뒤로 미루기 쉬워요</t>
    </r>
    <r>
      <rPr>
        <sz val="10"/>
        <rFont val="Malgun Gothic"/>
        <family val="0"/>
        <charset val="1"/>
      </rPr>
      <t xml:space="preserve">.</t>
    </r>
  </si>
  <si>
    <t xml:space="preserve">cards.1.tendency</t>
  </si>
  <si>
    <r>
      <rPr>
        <sz val="10"/>
        <rFont val="Noto Sans CJK SC"/>
        <family val="2"/>
      </rPr>
      <t xml:space="preserve">필요한 건 직접 해 보며 길을 만들어 가는 편일 때가 많아요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실행력이 든든하지만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고민 앞에서는 이미 가진 것보다 부족한 쪽에 먼저 눈이 가기도 해요</t>
    </r>
    <r>
      <rPr>
        <sz val="10"/>
        <rFont val="Malgun Gothic"/>
        <family val="0"/>
        <charset val="1"/>
      </rPr>
      <t xml:space="preserve">.</t>
    </r>
  </si>
  <si>
    <t xml:space="preserve">cards.1.reversed.tendency</t>
  </si>
  <si>
    <r>
      <rPr>
        <sz val="10"/>
        <rFont val="Noto Sans CJK SC"/>
        <family val="2"/>
      </rPr>
      <t xml:space="preserve">들어오는 일을 마다하지 않고 한꺼번에 떠안는 편일 때가 많아요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그래서 해내는 일이 많지만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고민 앞에서는 힘이 여러 곳으로 나뉘어 마음이 급해지기 쉬워요</t>
    </r>
    <r>
      <rPr>
        <sz val="10"/>
        <rFont val="Malgun Gothic"/>
        <family val="0"/>
        <charset val="1"/>
      </rPr>
      <t xml:space="preserve">.</t>
    </r>
  </si>
  <si>
    <t xml:space="preserve">cards.2.tendency</t>
  </si>
  <si>
    <r>
      <rPr>
        <sz val="10"/>
        <rFont val="Noto Sans CJK SC"/>
        <family val="2"/>
      </rPr>
      <t xml:space="preserve">겉으로는 담담해도 속으로 많은 것을 느끼고 헤아리는 편일 때가 많아요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그래서 상황을 깊게 보지만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고민 앞에서는 느낀 것을 말로 꺼내지 못해 혼자 품기도 해요</t>
    </r>
    <r>
      <rPr>
        <sz val="10"/>
        <rFont val="Malgun Gothic"/>
        <family val="0"/>
        <charset val="1"/>
      </rPr>
      <t xml:space="preserve">.</t>
    </r>
  </si>
  <si>
    <t xml:space="preserve">cards.2.reversed.tendency</t>
  </si>
  <si>
    <r>
      <rPr>
        <sz val="10"/>
        <rFont val="Noto Sans CJK SC"/>
        <family val="2"/>
      </rPr>
      <t xml:space="preserve">확신이 생길 때까지 정보를 모으고 여러 번 확인하는 편일 때가 많아요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아는 것은 늘어나지만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고민 앞에서는 처음 든 내 느낌이 흐려져 정하기가 더 어려워지기도 해요</t>
    </r>
    <r>
      <rPr>
        <sz val="10"/>
        <rFont val="Malgun Gothic"/>
        <family val="0"/>
        <charset val="1"/>
      </rPr>
      <t xml:space="preserve">.</t>
    </r>
  </si>
  <si>
    <t xml:space="preserve">cards.3.tendency</t>
  </si>
  <si>
    <r>
      <rPr>
        <sz val="10"/>
        <rFont val="Noto Sans CJK SC"/>
        <family val="2"/>
      </rPr>
      <t xml:space="preserve">주변 사람을 먼저 챙기고 돌보는 편일 때가 많아요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따뜻해서 곁에 사람이 모이지만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고민 앞에서는 내 마음을 살필 여유가 뒤로 밀리기 쉬워요</t>
    </r>
    <r>
      <rPr>
        <sz val="10"/>
        <rFont val="Malgun Gothic"/>
        <family val="0"/>
        <charset val="1"/>
      </rPr>
      <t xml:space="preserve">.</t>
    </r>
  </si>
  <si>
    <t xml:space="preserve">cards.3.reversed.tendency</t>
  </si>
  <si>
    <r>
      <rPr>
        <sz val="10"/>
        <rFont val="Noto Sans CJK SC"/>
        <family val="2"/>
      </rPr>
      <t xml:space="preserve">주는 건 익숙한데 받는 건 미안해서 사양하는 편일 때가 많아요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배려가 깊어 주변이 편안하지만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고민 앞에서는 도움을 청하지 못하고 혼자 버티기 쉬워요</t>
    </r>
    <r>
      <rPr>
        <sz val="10"/>
        <rFont val="Malgun Gothic"/>
        <family val="0"/>
        <charset val="1"/>
      </rPr>
      <t xml:space="preserve">.</t>
    </r>
  </si>
  <si>
    <t xml:space="preserve">cards.4.tendency</t>
  </si>
  <si>
    <r>
      <rPr>
        <sz val="10"/>
        <rFont val="Noto Sans CJK SC"/>
        <family val="2"/>
      </rPr>
      <t xml:space="preserve">맡은 일은 끝까지 책임지려는 편일 때가 많아요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그래서 믿음직하다는 말을 듣지만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고민 앞에서는 혼자 오래 쥐고 있느라 쉬는 것을 잊기 쉬워요</t>
    </r>
    <r>
      <rPr>
        <sz val="10"/>
        <rFont val="Malgun Gothic"/>
        <family val="0"/>
        <charset val="1"/>
      </rPr>
      <t xml:space="preserve">.</t>
    </r>
  </si>
  <si>
    <t xml:space="preserve">cards.4.reversed.tendency</t>
  </si>
  <si>
    <r>
      <rPr>
        <sz val="10"/>
        <rFont val="Noto Sans CJK SC"/>
        <family val="2"/>
      </rPr>
      <t xml:space="preserve">불안할수록 계획을 촘촘히 세우고 직접 챙기려는 편일 때가 많아요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덕분에 일은 흐트러지지 않지만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고민 앞에서는 작은 변화에도 긴장이 쌓이기 쉬워요</t>
    </r>
    <r>
      <rPr>
        <sz val="10"/>
        <rFont val="Malgun Gothic"/>
        <family val="0"/>
        <charset val="1"/>
      </rPr>
      <t xml:space="preserve">.</t>
    </r>
  </si>
  <si>
    <t xml:space="preserve">cards.5.tendency</t>
  </si>
  <si>
    <r>
      <rPr>
        <sz val="10"/>
        <rFont val="Noto Sans CJK SC"/>
        <family val="2"/>
      </rPr>
      <t xml:space="preserve">고민이 생기면 혼자 오래 생각하며 답을 찾으려는 편일 때가 많아요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끈기 있게 깊이 파고들지만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고민 앞에서는 같은 자리를 맴도는 시간이 길어지기도 해요</t>
    </r>
    <r>
      <rPr>
        <sz val="10"/>
        <rFont val="Malgun Gothic"/>
        <family val="0"/>
        <charset val="1"/>
      </rPr>
      <t xml:space="preserve">.</t>
    </r>
  </si>
  <si>
    <t xml:space="preserve">cards.5.reversed.tendency</t>
  </si>
  <si>
    <r>
      <rPr>
        <sz val="10"/>
        <rFont val="Noto Sans CJK SC"/>
        <family val="2"/>
      </rPr>
      <t xml:space="preserve">남들이 하는 방식에 맞추며 맞지 않아도 참고 따라가는 편일 때가 많아요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성실하게 버텨 왔지만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고민 앞에서는 묻는 일이 어려워 혼자 막막해지기 쉬워요</t>
    </r>
    <r>
      <rPr>
        <sz val="10"/>
        <rFont val="Malgun Gothic"/>
        <family val="0"/>
        <charset val="1"/>
      </rPr>
      <t xml:space="preserve">.</t>
    </r>
  </si>
  <si>
    <t xml:space="preserve">cards.6.tendency</t>
  </si>
  <si>
    <r>
      <rPr>
        <sz val="10"/>
        <rFont val="Noto Sans CJK SC"/>
        <family val="2"/>
      </rPr>
      <t xml:space="preserve">상대와 주변의 기대를 살피며 마음을 맞추려는 편일 때가 많아요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그래서 관계가 부드럽게 이어지지만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고민 앞에서는 내가 바라는 것이 뒤로 밀리기 쉬워요</t>
    </r>
    <r>
      <rPr>
        <sz val="10"/>
        <rFont val="Malgun Gothic"/>
        <family val="0"/>
        <charset val="1"/>
      </rPr>
      <t xml:space="preserve">.</t>
    </r>
  </si>
  <si>
    <t xml:space="preserve">cards.6.reversed.tendency</t>
  </si>
  <si>
    <r>
      <rPr>
        <sz val="10"/>
        <rFont val="Noto Sans CJK SC"/>
        <family val="2"/>
      </rPr>
      <t xml:space="preserve">상처받지 않으려고 상대의 반응을 본 뒤에 마음을 꺼내는 편일 때가 많아요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큰 다툼은 피하지만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고민 앞에서는 속마음이 쌓이고 서로 짐작만 하기 쉬워요</t>
    </r>
    <r>
      <rPr>
        <sz val="10"/>
        <rFont val="Malgun Gothic"/>
        <family val="0"/>
        <charset val="1"/>
      </rPr>
      <t xml:space="preserve">.</t>
    </r>
  </si>
  <si>
    <t xml:space="preserve">cards.7.tendency</t>
  </si>
  <si>
    <r>
      <rPr>
        <sz val="10"/>
        <rFont val="Noto Sans CJK SC"/>
        <family val="2"/>
      </rPr>
      <t xml:space="preserve">하고 싶은 일을 향해 힘차게 밀고 나가는 편일 때가 많아요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추진력이 강하지만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고민 앞에서는 여러 기대를 함께 좇다가 힘이 나뉘어 지치기도 해요</t>
    </r>
    <r>
      <rPr>
        <sz val="10"/>
        <rFont val="Malgun Gothic"/>
        <family val="0"/>
        <charset val="1"/>
      </rPr>
      <t xml:space="preserve">.</t>
    </r>
  </si>
  <si>
    <t xml:space="preserve">cards.7.reversed.tendency</t>
  </si>
  <si>
    <r>
      <rPr>
        <sz val="10"/>
        <rFont val="Noto Sans CJK SC"/>
        <family val="2"/>
      </rPr>
      <t xml:space="preserve">멈추면 뒤처질까 봐 쉬지 않고 속도를 내는 편일 때가 많아요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그래서 많은 일을 해내지만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고민 앞에서는 어디로 가는지 돌아볼 틈이 없어 조급해지기 쉬워요</t>
    </r>
    <r>
      <rPr>
        <sz val="10"/>
        <rFont val="Malgun Gothic"/>
        <family val="0"/>
        <charset val="1"/>
      </rPr>
      <t xml:space="preserve">.</t>
    </r>
  </si>
  <si>
    <t xml:space="preserve">cards.8.tendency</t>
  </si>
  <si>
    <r>
      <rPr>
        <sz val="10"/>
        <rFont val="Noto Sans CJK SC"/>
        <family val="2"/>
      </rPr>
      <t xml:space="preserve">불편한 마음을 쉽게 드러내지 않고 조용히 안고 가는 편일 때가 많아요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참을성이 커서 하루를 잘 버티지만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고민 앞에서는 오래 품은 불편함이 그대로 남기도 해요</t>
    </r>
    <r>
      <rPr>
        <sz val="10"/>
        <rFont val="Malgun Gothic"/>
        <family val="0"/>
        <charset val="1"/>
      </rPr>
      <t xml:space="preserve">.</t>
    </r>
  </si>
  <si>
    <t xml:space="preserve">cards.8.reversed.tendency</t>
  </si>
  <si>
    <r>
      <rPr>
        <sz val="10"/>
        <rFont val="Noto Sans CJK SC"/>
        <family val="2"/>
      </rPr>
      <t xml:space="preserve">힘든 일이 있어도 도움을 청하기보다 혼자 참는 편일 때가 많아요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그래서 잘 견디지만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고민 앞에서는 이미 지친 것도 모른 채 지나가기 쉬워요</t>
    </r>
    <r>
      <rPr>
        <sz val="10"/>
        <rFont val="Malgun Gothic"/>
        <family val="0"/>
        <charset val="1"/>
      </rPr>
      <t xml:space="preserve">.</t>
    </r>
  </si>
  <si>
    <t xml:space="preserve">cards.9.tendency</t>
  </si>
  <si>
    <r>
      <rPr>
        <sz val="10"/>
        <rFont val="Noto Sans CJK SC"/>
        <family val="2"/>
      </rPr>
      <t xml:space="preserve">마음이 복잡하면 사람들과 떨어져 혼자 생각을 정리하는 편일 때가 많아요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자기 기준을 잘 지키지만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고민 앞에서는 생각이 한쪽으로만 깊어지기도 해요</t>
    </r>
    <r>
      <rPr>
        <sz val="10"/>
        <rFont val="Malgun Gothic"/>
        <family val="0"/>
        <charset val="1"/>
      </rPr>
      <t xml:space="preserve">.</t>
    </r>
  </si>
  <si>
    <t xml:space="preserve">cards.9.reversed.tendency</t>
  </si>
  <si>
    <r>
      <rPr>
        <sz val="10"/>
        <rFont val="Noto Sans CJK SC"/>
        <family val="2"/>
      </rPr>
      <t xml:space="preserve">힘들수록 아무에게도 말하지 않고 혼자 안으로 들어가는 편일 때가 많아요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그렇게 마음을 지키지만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고민 앞에서는 사람들과 거리가 멀어지고 외로움이 커지기 쉬워요</t>
    </r>
    <r>
      <rPr>
        <sz val="10"/>
        <rFont val="Malgun Gothic"/>
        <family val="0"/>
        <charset val="1"/>
      </rPr>
      <t xml:space="preserve">.</t>
    </r>
  </si>
  <si>
    <t xml:space="preserve">cards.10.tendency</t>
  </si>
  <si>
    <r>
      <rPr>
        <sz val="10"/>
        <rFont val="Noto Sans CJK SC"/>
        <family val="2"/>
      </rPr>
      <t xml:space="preserve">상황이 바뀌어도 어떻게든 발 디딜 곳을 찾아내는 편일 때가 많아요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적응하는 힘은 크지만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고민 앞에서는 흔들리는 마음을 혼자 감당하느라 무거워지기도 해요</t>
    </r>
    <r>
      <rPr>
        <sz val="10"/>
        <rFont val="Malgun Gothic"/>
        <family val="0"/>
        <charset val="1"/>
      </rPr>
      <t xml:space="preserve">.</t>
    </r>
  </si>
  <si>
    <t xml:space="preserve">cards.10.reversed.tendency</t>
  </si>
  <si>
    <r>
      <rPr>
        <sz val="10"/>
        <rFont val="Noto Sans CJK SC"/>
        <family val="2"/>
      </rPr>
      <t xml:space="preserve">상황이 바뀌어도 익숙한 방식을 지키며 버티는 편일 때가 많아요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끈기가 든든하지만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고민 앞에서는 달라진 흐름을 받아들이기 어려워 힘만 빠지기 쉬워요</t>
    </r>
    <r>
      <rPr>
        <sz val="10"/>
        <rFont val="Malgun Gothic"/>
        <family val="0"/>
        <charset val="1"/>
      </rPr>
      <t xml:space="preserve">.</t>
    </r>
  </si>
  <si>
    <t xml:space="preserve">cards.11.tendency</t>
  </si>
  <si>
    <r>
      <rPr>
        <sz val="10"/>
        <rFont val="Noto Sans CJK SC"/>
        <family val="2"/>
      </rPr>
      <t xml:space="preserve">무엇이 옳은지 따져 보며 공정하게 판단하려는 편일 때가 많아요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그래서 주변의 믿음을 얻지만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고민 앞에서는 나에게 유독 엄격해져 마음이 쉬지 못하기도 해요</t>
    </r>
    <r>
      <rPr>
        <sz val="10"/>
        <rFont val="Malgun Gothic"/>
        <family val="0"/>
        <charset val="1"/>
      </rPr>
      <t xml:space="preserve">.</t>
    </r>
  </si>
  <si>
    <t xml:space="preserve">cards.11.reversed.tendency</t>
  </si>
  <si>
    <r>
      <rPr>
        <sz val="10"/>
        <rFont val="Noto Sans CJK SC"/>
        <family val="2"/>
      </rPr>
      <t xml:space="preserve">일이 어긋나면 내 잘못부터 찾으며 스스로를 탓하는 편일 때가 많아요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책임감이 크지만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고민 앞에서는 지난 실수를 곱씹다 움츠러들기 쉬워요</t>
    </r>
    <r>
      <rPr>
        <sz val="10"/>
        <rFont val="Malgun Gothic"/>
        <family val="0"/>
        <charset val="1"/>
      </rPr>
      <t xml:space="preserve">.</t>
    </r>
  </si>
  <si>
    <t xml:space="preserve">cards.12.tendency</t>
  </si>
  <si>
    <r>
      <rPr>
        <sz val="10"/>
        <rFont val="Noto Sans CJK SC"/>
        <family val="2"/>
      </rPr>
      <t xml:space="preserve">쉬면 뒤처질까 봐 지쳐도 계속 달리는 편일 때가 많아요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노력으로 많은 것을 해내지만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고민 앞에서는 제대로 멈추는 법을 잊어 힘이 더 빠지기도 해요</t>
    </r>
    <r>
      <rPr>
        <sz val="10"/>
        <rFont val="Malgun Gothic"/>
        <family val="0"/>
        <charset val="1"/>
      </rPr>
      <t xml:space="preserve">.</t>
    </r>
  </si>
  <si>
    <t xml:space="preserve">cards.12.reversed.tendency</t>
  </si>
  <si>
    <r>
      <rPr>
        <sz val="10"/>
        <rFont val="Noto Sans CJK SC"/>
        <family val="2"/>
      </rPr>
      <t xml:space="preserve">쉬는 시간에도 쉬는 나를 탓하며 마음으로는 계속 일하는 편일 때가 많아요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성실하지만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고민 앞에서는 쉬어도 개운하지 않고 기운만 빠지기 쉬워요</t>
    </r>
    <r>
      <rPr>
        <sz val="10"/>
        <rFont val="Malgun Gothic"/>
        <family val="0"/>
        <charset val="1"/>
      </rPr>
      <t xml:space="preserve">.</t>
    </r>
  </si>
  <si>
    <t xml:space="preserve">cards.13.tendency</t>
  </si>
  <si>
    <r>
      <rPr>
        <sz val="10"/>
        <rFont val="Noto Sans CJK SC"/>
        <family val="2"/>
      </rPr>
      <t xml:space="preserve">익숙한 자리와 방식을 아끼며 한곳을 꾸준히 지키는 편일 때가 많아요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꾸준함이 든든하지만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고민 앞에서는 나에게 맞지 않게 된 것을 놓아주기 아쉬워 늦어지기도 해요</t>
    </r>
    <r>
      <rPr>
        <sz val="10"/>
        <rFont val="Malgun Gothic"/>
        <family val="0"/>
        <charset val="1"/>
      </rPr>
      <t xml:space="preserve">.</t>
    </r>
  </si>
  <si>
    <t xml:space="preserve">cards.13.reversed.tendency</t>
  </si>
  <si>
    <r>
      <rPr>
        <sz val="10"/>
        <rFont val="Noto Sans CJK SC"/>
        <family val="2"/>
      </rPr>
      <t xml:space="preserve">변화가 필요한 줄 알면서도 익숙함이 아까워 정하기를 미루는 편일 때가 많아요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큰 흔들림은 피하지만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고민 앞에서는 답답함이 그대로 남아 머무는 것도 떠나는 것도 버겁기 쉬워요</t>
    </r>
    <r>
      <rPr>
        <sz val="10"/>
        <rFont val="Malgun Gothic"/>
        <family val="0"/>
        <charset val="1"/>
      </rPr>
      <t xml:space="preserve">.</t>
    </r>
  </si>
  <si>
    <t xml:space="preserve">cards.14.tendency</t>
  </si>
  <si>
    <r>
      <rPr>
        <sz val="10"/>
        <rFont val="Noto Sans CJK SC"/>
        <family val="2"/>
      </rPr>
      <t xml:space="preserve">일과 쉼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나와 남 사이에서 어느 한쪽도 놓치지 않으려는 편일 때가 많아요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여러 역할을 잘 해내지만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고민 앞에서는 저울질이 길어져 마음이 바쁘기도 해요</t>
    </r>
    <r>
      <rPr>
        <sz val="10"/>
        <rFont val="Malgun Gothic"/>
        <family val="0"/>
        <charset val="1"/>
      </rPr>
      <t xml:space="preserve">.</t>
    </r>
  </si>
  <si>
    <t xml:space="preserve">cards.14.reversed.tendency</t>
  </si>
  <si>
    <r>
      <rPr>
        <sz val="10"/>
        <rFont val="Noto Sans CJK SC"/>
        <family val="2"/>
      </rPr>
      <t xml:space="preserve">일이든 사람이든 한쪽에 마음을 크게 쏟는 편일 때가 많아요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몰입해서 성과를 내지만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고민 앞에서는 다른 쪽이 비어 몸과 마음이 지치기 쉬워요</t>
    </r>
    <r>
      <rPr>
        <sz val="10"/>
        <rFont val="Malgun Gothic"/>
        <family val="0"/>
        <charset val="1"/>
      </rPr>
      <t xml:space="preserve">.</t>
    </r>
  </si>
  <si>
    <t xml:space="preserve">cards.15.tendency</t>
  </si>
  <si>
    <r>
      <rPr>
        <sz val="10"/>
        <rFont val="Noto Sans CJK SC"/>
        <family val="2"/>
      </rPr>
      <t xml:space="preserve">불안할 때 확인하기나 미루기 같은 익숙한 방법으로 나를 지키는 편일 때가 많아요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잠깐은 마음이 달래지지만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고민 앞에서는 그 습관이 오히려 나를 붙잡기도 해요</t>
    </r>
    <r>
      <rPr>
        <sz val="10"/>
        <rFont val="Malgun Gothic"/>
        <family val="0"/>
        <charset val="1"/>
      </rPr>
      <t xml:space="preserve">.</t>
    </r>
  </si>
  <si>
    <t xml:space="preserve">cards.15.reversed.tendency</t>
  </si>
  <si>
    <r>
      <rPr>
        <sz val="10"/>
        <rFont val="Noto Sans CJK SC"/>
        <family val="2"/>
      </rPr>
      <t xml:space="preserve">스스로를 지키던 습관을 조금씩 돌아보고 내려놓으려는 편일 때가 많아요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변화가 시작되고 있지만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고민 앞에서는 작은 흔들림에도 예전 습관으로 돌아갈까 걱정하기 쉬워요</t>
    </r>
    <r>
      <rPr>
        <sz val="10"/>
        <rFont val="Malgun Gothic"/>
        <family val="0"/>
        <charset val="1"/>
      </rPr>
      <t xml:space="preserve">.</t>
    </r>
  </si>
  <si>
    <t xml:space="preserve">cards.16.tendency</t>
  </si>
  <si>
    <r>
      <rPr>
        <sz val="10"/>
        <rFont val="Noto Sans CJK SC"/>
        <family val="2"/>
      </rPr>
      <t xml:space="preserve">믿어 온 계획과 기대를 기둥 삼아 차근차근 쌓아 가는 편일 때가 많아요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애쓴 만큼 마음을 쏟지만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고민 앞에서는 무너진 것만 보여 다시 시작하기 어려워하기도 해요</t>
    </r>
    <r>
      <rPr>
        <sz val="10"/>
        <rFont val="Malgun Gothic"/>
        <family val="0"/>
        <charset val="1"/>
      </rPr>
      <t xml:space="preserve">.</t>
    </r>
  </si>
  <si>
    <t xml:space="preserve">cards.16.reversed.tendency</t>
  </si>
  <si>
    <r>
      <rPr>
        <sz val="10"/>
        <rFont val="Noto Sans CJK SC"/>
        <family val="2"/>
      </rPr>
      <t xml:space="preserve">흔들려도 드러내지 않고 괜찮은 척 버티는 편일 때가 많아요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하루를 잘 지켜 내지만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고민 앞에서는 또 무너질까 걱정되어 손대기를 망설이기 쉬워요</t>
    </r>
    <r>
      <rPr>
        <sz val="10"/>
        <rFont val="Malgun Gothic"/>
        <family val="0"/>
        <charset val="1"/>
      </rPr>
      <t xml:space="preserve">.</t>
    </r>
  </si>
  <si>
    <t xml:space="preserve">cards.17.tendency</t>
  </si>
  <si>
    <r>
      <rPr>
        <sz val="10"/>
        <rFont val="Noto Sans CJK SC"/>
        <family val="2"/>
      </rPr>
      <t xml:space="preserve">힘든 시기에도 묵묵히 하루를 버텨 내는 편일 때가 많아요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시간 덕분에 기운이 돌아오고 있지만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고민 앞에서는 예전만 못하다는 생각에 나아진 점을 놓치기도 해요</t>
    </r>
    <r>
      <rPr>
        <sz val="10"/>
        <rFont val="Malgun Gothic"/>
        <family val="0"/>
        <charset val="1"/>
      </rPr>
      <t xml:space="preserve">.</t>
    </r>
  </si>
  <si>
    <t xml:space="preserve">cards.17.reversed.tendency</t>
  </si>
  <si>
    <r>
      <rPr>
        <sz val="10"/>
        <rFont val="Noto Sans CJK SC"/>
        <family val="2"/>
      </rPr>
      <t xml:space="preserve">빨리 괜찮아져야 한다며 스스로를 재촉하는 편일 때가 많아요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회복하려는 의지가 크지만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고민 앞에서는 조금씩 나아지는 순간을 놓치고 실망하기 쉬워요</t>
    </r>
    <r>
      <rPr>
        <sz val="10"/>
        <rFont val="Malgun Gothic"/>
        <family val="0"/>
        <charset val="1"/>
      </rPr>
      <t xml:space="preserve">.</t>
    </r>
  </si>
  <si>
    <t xml:space="preserve">cards.18.tendency</t>
  </si>
  <si>
    <r>
      <rPr>
        <sz val="10"/>
        <rFont val="Noto Sans CJK SC"/>
        <family val="2"/>
      </rPr>
      <t xml:space="preserve">확실한 답이 나올 때까지 머릿속으로 여러 장면을 그려 보는 편일 때가 많아요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조심성이 있지만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고민 앞에서는 일어나지 않은 일까지 걱정하느라 기운을 쓰기도 해요</t>
    </r>
    <r>
      <rPr>
        <sz val="10"/>
        <rFont val="Malgun Gothic"/>
        <family val="0"/>
        <charset val="1"/>
      </rPr>
      <t xml:space="preserve">.</t>
    </r>
  </si>
  <si>
    <t xml:space="preserve">cards.18.reversed.tendency</t>
  </si>
  <si>
    <r>
      <rPr>
        <sz val="10"/>
        <rFont val="Noto Sans CJK SC"/>
        <family val="2"/>
      </rPr>
      <t xml:space="preserve">막연한 걱정 속에서도 무엇이 문제인지 하나씩 짚어 보는 편일 때가 많아요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상황을 정리해 가지만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고민 앞에서는 남은 작은 불확실함에도 예민해져 마음을 놓기 어려워요</t>
    </r>
    <r>
      <rPr>
        <sz val="10"/>
        <rFont val="Malgun Gothic"/>
        <family val="0"/>
        <charset val="1"/>
      </rPr>
      <t xml:space="preserve">.</t>
    </r>
  </si>
  <si>
    <t xml:space="preserve">cards.19.tendency</t>
  </si>
  <si>
    <r>
      <rPr>
        <sz val="10"/>
        <rFont val="Noto Sans CJK SC"/>
        <family val="2"/>
      </rPr>
      <t xml:space="preserve">고민이 있어도 작은 즐거움을 찾아 웃으려는 편일 때가 많아요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밝음이 힘든 날의 버팀목이 되어서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고민 앞에서도 마음의 여유를 잃지 않는 편이에요</t>
    </r>
    <r>
      <rPr>
        <sz val="10"/>
        <rFont val="Malgun Gothic"/>
        <family val="0"/>
        <charset val="1"/>
      </rPr>
      <t xml:space="preserve">.</t>
    </r>
  </si>
  <si>
    <t xml:space="preserve">cards.19.reversed.tendency</t>
  </si>
  <si>
    <r>
      <rPr>
        <sz val="10"/>
        <rFont val="Noto Sans CJK SC"/>
        <family val="2"/>
      </rPr>
      <t xml:space="preserve">좋은 일이 생겨도 다음 걱정부터 챙기는 편일 때가 많아요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대비는 잘하지만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고민 앞에서는 기쁨을 뒤로 미루다 웃을 일이 줄고 쉽게 지치기도 해요</t>
    </r>
    <r>
      <rPr>
        <sz val="10"/>
        <rFont val="Malgun Gothic"/>
        <family val="0"/>
        <charset val="1"/>
      </rPr>
      <t xml:space="preserve">.</t>
    </r>
  </si>
  <si>
    <t xml:space="preserve">cards.20.tendency</t>
  </si>
  <si>
    <r>
      <rPr>
        <sz val="10"/>
        <rFont val="Noto Sans CJK SC"/>
        <family val="2"/>
      </rPr>
      <t xml:space="preserve">마음 깊은 곳의 바람을 알면서도 해야 할 일 때문에 미뤄 두는 편일 때가 많아요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책임감이 있지만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고민 앞에서는 내가 정말 원하는 게 무엇인지 하는 물음이 자꾸 커지기도 해요</t>
    </r>
    <r>
      <rPr>
        <sz val="10"/>
        <rFont val="Malgun Gothic"/>
        <family val="0"/>
        <charset val="1"/>
      </rPr>
      <t xml:space="preserve">.</t>
    </r>
  </si>
  <si>
    <t xml:space="preserve">cards.20.reversed.tendency</t>
  </si>
  <si>
    <r>
      <rPr>
        <sz val="10"/>
        <rFont val="Noto Sans CJK SC"/>
        <family val="2"/>
      </rPr>
      <t xml:space="preserve">바꾸고 싶을 때 스스로에게 높은 기준을 세우는 편일 때가 많아요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신중하지만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고민 앞에서는 지난 선택을 따지다 첫걸음이 늦어지고 자신감이 줄기 쉬워요</t>
    </r>
    <r>
      <rPr>
        <sz val="10"/>
        <rFont val="Malgun Gothic"/>
        <family val="0"/>
        <charset val="1"/>
      </rPr>
      <t xml:space="preserve">.</t>
    </r>
  </si>
  <si>
    <t xml:space="preserve">cards.21.tendency</t>
  </si>
  <si>
    <r>
      <rPr>
        <sz val="10"/>
        <rFont val="Noto Sans CJK SC"/>
        <family val="2"/>
      </rPr>
      <t xml:space="preserve">한 시기를 끝까지 지나며 맡은 몫을 차근차근 채우는 편일 때가 많아요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꾸준히 해내지만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고민 앞에서는 다음 목표가 먼저 보여 해낸 일을 돌아볼 틈이 없기도 해요</t>
    </r>
    <r>
      <rPr>
        <sz val="10"/>
        <rFont val="Malgun Gothic"/>
        <family val="0"/>
        <charset val="1"/>
      </rPr>
      <t xml:space="preserve">.</t>
    </r>
  </si>
  <si>
    <t xml:space="preserve">cards.21.reversed.tendency</t>
  </si>
  <si>
    <r>
      <rPr>
        <sz val="10"/>
        <rFont val="Noto Sans CJK SC"/>
        <family val="2"/>
      </rPr>
      <t xml:space="preserve">더 잘하고 싶은 마음에 마무리를 자꾸 다듬고 미루는 편일 때가 많아요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꼼꼼해서 완성도는 높지만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고민 앞에서는 끝나지 않은 일이 마음에 남아 쉬어도 개운하지 않기 쉬워요</t>
    </r>
    <r>
      <rPr>
        <sz val="10"/>
        <rFont val="Malgun Gothic"/>
        <family val="0"/>
        <charset val="1"/>
      </rPr>
      <t xml:space="preserve">.</t>
    </r>
  </si>
  <si>
    <t xml:space="preserve">cards.0.signs.0</t>
  </si>
  <si>
    <r>
      <rPr>
        <sz val="10"/>
        <rFont val="Noto Sans CJK SC"/>
        <family val="2"/>
      </rPr>
      <t xml:space="preserve">정방향 </t>
    </r>
    <r>
      <rPr>
        <sz val="10"/>
        <rFont val="Malgun Gothic"/>
        <family val="0"/>
        <charset val="1"/>
      </rPr>
      <t xml:space="preserve">· 7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이런 변화가 보이면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흐름이 풀리고 있는 거예요</t>
    </r>
    <r>
      <rPr>
        <sz val="10"/>
        <rFont val="Malgun Gothic"/>
        <family val="0"/>
        <charset val="1"/>
      </rPr>
      <t xml:space="preserve">' 1</t>
    </r>
  </si>
  <si>
    <r>
      <rPr>
        <sz val="10"/>
        <rFont val="Noto Sans CJK SC"/>
        <family val="2"/>
      </rPr>
      <t xml:space="preserve">주말 아침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잘 해낼 수 있을지보다 일단 해 볼까 하는 마음이 먼저 들어요</t>
    </r>
    <r>
      <rPr>
        <sz val="10"/>
        <rFont val="Malgun Gothic"/>
        <family val="0"/>
        <charset val="1"/>
      </rPr>
      <t xml:space="preserve">.</t>
    </r>
  </si>
  <si>
    <t xml:space="preserve">cards.0.signs.1</t>
  </si>
  <si>
    <r>
      <rPr>
        <sz val="10"/>
        <rFont val="Noto Sans CJK SC"/>
        <family val="2"/>
      </rPr>
      <t xml:space="preserve">정방향 </t>
    </r>
    <r>
      <rPr>
        <sz val="10"/>
        <rFont val="Malgun Gothic"/>
        <family val="0"/>
        <charset val="1"/>
      </rPr>
      <t xml:space="preserve">· 7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이런 변화가 보이면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흐름이 풀리고 있는 거예요</t>
    </r>
    <r>
      <rPr>
        <sz val="10"/>
        <rFont val="Malgun Gothic"/>
        <family val="0"/>
        <charset val="1"/>
      </rPr>
      <t xml:space="preserve">' 2</t>
    </r>
  </si>
  <si>
    <r>
      <rPr>
        <sz val="10"/>
        <rFont val="Noto Sans CJK SC"/>
        <family val="2"/>
      </rPr>
      <t xml:space="preserve">처음 해 보는 일이 서툴러도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다음엔 더 나아지겠지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하고 웃어넘기게 돼요</t>
    </r>
    <r>
      <rPr>
        <sz val="10"/>
        <rFont val="Malgun Gothic"/>
        <family val="0"/>
        <charset val="1"/>
      </rPr>
      <t xml:space="preserve">.</t>
    </r>
  </si>
  <si>
    <t xml:space="preserve">cards.0.signs.2</t>
  </si>
  <si>
    <r>
      <rPr>
        <sz val="10"/>
        <rFont val="Noto Sans CJK SC"/>
        <family val="2"/>
      </rPr>
      <t xml:space="preserve">정방향 </t>
    </r>
    <r>
      <rPr>
        <sz val="10"/>
        <rFont val="Malgun Gothic"/>
        <family val="0"/>
        <charset val="1"/>
      </rPr>
      <t xml:space="preserve">· 7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이런 변화가 보이면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흐름이 풀리고 있는 거예요</t>
    </r>
    <r>
      <rPr>
        <sz val="10"/>
        <rFont val="Malgun Gothic"/>
        <family val="0"/>
        <charset val="1"/>
      </rPr>
      <t xml:space="preserve">' 3</t>
    </r>
  </si>
  <si>
    <r>
      <rPr>
        <sz val="10"/>
        <rFont val="Noto Sans CJK SC"/>
        <family val="2"/>
      </rPr>
      <t xml:space="preserve">하고 싶던 일을 시작하기 전에 자료를 오래 찾던 시간이 짧아져요</t>
    </r>
    <r>
      <rPr>
        <sz val="10"/>
        <rFont val="Malgun Gothic"/>
        <family val="0"/>
        <charset val="1"/>
      </rPr>
      <t xml:space="preserve">.</t>
    </r>
  </si>
  <si>
    <t xml:space="preserve">cards.0.reversed.signs.0</t>
  </si>
  <si>
    <r>
      <rPr>
        <sz val="10"/>
        <rFont val="Noto Sans CJK SC"/>
        <family val="2"/>
      </rPr>
      <t xml:space="preserve">역방향 </t>
    </r>
    <r>
      <rPr>
        <sz val="10"/>
        <rFont val="Malgun Gothic"/>
        <family val="0"/>
        <charset val="1"/>
      </rPr>
      <t xml:space="preserve">· 7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이런 변화가 보이면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흐름이 풀리고 있는 거예요</t>
    </r>
    <r>
      <rPr>
        <sz val="10"/>
        <rFont val="Malgun Gothic"/>
        <family val="0"/>
        <charset val="1"/>
      </rPr>
      <t xml:space="preserve">' 1</t>
    </r>
  </si>
  <si>
    <r>
      <rPr>
        <sz val="10"/>
        <rFont val="Noto Sans CJK SC"/>
        <family val="2"/>
      </rPr>
      <t xml:space="preserve">미뤄 둔 일의 첫 화면을 열어 놓고 몇 분이라도 손을 대고 있어요</t>
    </r>
    <r>
      <rPr>
        <sz val="10"/>
        <rFont val="Malgun Gothic"/>
        <family val="0"/>
        <charset val="1"/>
      </rPr>
      <t xml:space="preserve">.</t>
    </r>
  </si>
  <si>
    <t xml:space="preserve">cards.0.reversed.signs.1</t>
  </si>
  <si>
    <r>
      <rPr>
        <sz val="10"/>
        <rFont val="Noto Sans CJK SC"/>
        <family val="2"/>
      </rPr>
      <t xml:space="preserve">역방향 </t>
    </r>
    <r>
      <rPr>
        <sz val="10"/>
        <rFont val="Malgun Gothic"/>
        <family val="0"/>
        <charset val="1"/>
      </rPr>
      <t xml:space="preserve">· 7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이런 변화가 보이면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흐름이 풀리고 있는 거예요</t>
    </r>
    <r>
      <rPr>
        <sz val="10"/>
        <rFont val="Malgun Gothic"/>
        <family val="0"/>
        <charset val="1"/>
      </rPr>
      <t xml:space="preserve">' 2</t>
    </r>
  </si>
  <si>
    <r>
      <rPr>
        <sz val="10"/>
        <rFont val="Noto Sans CJK SC"/>
        <family val="2"/>
      </rPr>
      <t xml:space="preserve">준비가 덜 된 것 같아도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오늘은 여기까지만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하고 시작하는 날이 생겨요</t>
    </r>
    <r>
      <rPr>
        <sz val="10"/>
        <rFont val="Malgun Gothic"/>
        <family val="0"/>
        <charset val="1"/>
      </rPr>
      <t xml:space="preserve">.</t>
    </r>
  </si>
  <si>
    <t xml:space="preserve">cards.0.reversed.signs.2</t>
  </si>
  <si>
    <r>
      <rPr>
        <sz val="10"/>
        <rFont val="Noto Sans CJK SC"/>
        <family val="2"/>
      </rPr>
      <t xml:space="preserve">역방향 </t>
    </r>
    <r>
      <rPr>
        <sz val="10"/>
        <rFont val="Malgun Gothic"/>
        <family val="0"/>
        <charset val="1"/>
      </rPr>
      <t xml:space="preserve">· 7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이런 변화가 보이면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흐름이 풀리고 있는 거예요</t>
    </r>
    <r>
      <rPr>
        <sz val="10"/>
        <rFont val="Malgun Gothic"/>
        <family val="0"/>
        <charset val="1"/>
      </rPr>
      <t xml:space="preserve">' 3</t>
    </r>
  </si>
  <si>
    <r>
      <rPr>
        <sz val="10"/>
        <rFont val="Noto Sans CJK SC"/>
        <family val="2"/>
      </rPr>
      <t xml:space="preserve">남이 하는 걸 보며 위축되던 마음이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나도 처음엔 이랬지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하는 생각으로 바뀌어요</t>
    </r>
    <r>
      <rPr>
        <sz val="10"/>
        <rFont val="Malgun Gothic"/>
        <family val="0"/>
        <charset val="1"/>
      </rPr>
      <t xml:space="preserve">.</t>
    </r>
  </si>
  <si>
    <t xml:space="preserve">cards.1.signs.0</t>
  </si>
  <si>
    <r>
      <rPr>
        <sz val="10"/>
        <rFont val="Noto Sans CJK SC"/>
        <family val="2"/>
      </rPr>
      <t xml:space="preserve">할 일을 떠올릴 때 부족한 것보다 이미 있는 것부터 꼽아 보게 됩니다</t>
    </r>
    <r>
      <rPr>
        <sz val="10"/>
        <rFont val="Malgun Gothic"/>
        <family val="0"/>
        <charset val="1"/>
      </rPr>
      <t xml:space="preserve">.</t>
    </r>
  </si>
  <si>
    <t xml:space="preserve">cards.1.signs.1</t>
  </si>
  <si>
    <r>
      <rPr>
        <sz val="10"/>
        <rFont val="Noto Sans CJK SC"/>
        <family val="2"/>
      </rPr>
      <t xml:space="preserve">예전에 해 본 경험이 지금 하는 일에 쓰일 수 있다는 걸 문득 알아채요</t>
    </r>
    <r>
      <rPr>
        <sz val="10"/>
        <rFont val="Malgun Gothic"/>
        <family val="0"/>
        <charset val="1"/>
      </rPr>
      <t xml:space="preserve">.</t>
    </r>
  </si>
  <si>
    <t xml:space="preserve">cards.1.signs.2</t>
  </si>
  <si>
    <r>
      <rPr>
        <sz val="10"/>
        <rFont val="Noto Sans CJK SC"/>
        <family val="2"/>
      </rPr>
      <t xml:space="preserve">주변에 이 분야를 잘 아는 사람이 있었지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하고 떠오릅니다</t>
    </r>
    <r>
      <rPr>
        <sz val="10"/>
        <rFont val="Malgun Gothic"/>
        <family val="0"/>
        <charset val="1"/>
      </rPr>
      <t xml:space="preserve">.</t>
    </r>
  </si>
  <si>
    <t xml:space="preserve">cards.1.reversed.signs.0</t>
  </si>
  <si>
    <r>
      <rPr>
        <sz val="10"/>
        <rFont val="Noto Sans CJK SC"/>
        <family val="2"/>
      </rPr>
      <t xml:space="preserve">할 일 목록이 길어도 오늘 꼭 필요한 한 가지가 눈에 먼저 들어옵니다</t>
    </r>
    <r>
      <rPr>
        <sz val="10"/>
        <rFont val="Malgun Gothic"/>
        <family val="0"/>
        <charset val="1"/>
      </rPr>
      <t xml:space="preserve">.</t>
    </r>
  </si>
  <si>
    <t xml:space="preserve">cards.1.reversed.signs.1</t>
  </si>
  <si>
    <r>
      <rPr>
        <sz val="10"/>
        <rFont val="Noto Sans CJK SC"/>
        <family val="2"/>
      </rPr>
      <t xml:space="preserve">한 가지를 끝낸 저녁에는 이것저것 건드린 날보다 뿌듯함이 오래갑니다</t>
    </r>
    <r>
      <rPr>
        <sz val="10"/>
        <rFont val="Malgun Gothic"/>
        <family val="0"/>
        <charset val="1"/>
      </rPr>
      <t xml:space="preserve">.</t>
    </r>
  </si>
  <si>
    <t xml:space="preserve">cards.1.reversed.signs.2</t>
  </si>
  <si>
    <r>
      <rPr>
        <sz val="10"/>
        <rFont val="Noto Sans CJK SC"/>
        <family val="2"/>
      </rPr>
      <t xml:space="preserve">새로운 제안이 들어와도 지금 하는 일부터 마치고 생각하겠다고 말할 수 있습니다</t>
    </r>
    <r>
      <rPr>
        <sz val="10"/>
        <rFont val="Malgun Gothic"/>
        <family val="0"/>
        <charset val="1"/>
      </rPr>
      <t xml:space="preserve">.</t>
    </r>
  </si>
  <si>
    <t xml:space="preserve">cards.2.signs.0</t>
  </si>
  <si>
    <r>
      <rPr>
        <sz val="10"/>
        <rFont val="Noto Sans CJK SC"/>
        <family val="2"/>
      </rPr>
      <t xml:space="preserve">메뉴판 앞에서 남들이 고르는 것보다 내가 끌리는 쪽을 먼저 살피게 돼요</t>
    </r>
    <r>
      <rPr>
        <sz val="10"/>
        <rFont val="Malgun Gothic"/>
        <family val="0"/>
        <charset val="1"/>
      </rPr>
      <t xml:space="preserve">.</t>
    </r>
  </si>
  <si>
    <t xml:space="preserve">cards.2.signs.1</t>
  </si>
  <si>
    <r>
      <rPr>
        <sz val="10"/>
        <rFont val="Noto Sans CJK SC"/>
        <family val="2"/>
      </rPr>
      <t xml:space="preserve">고민하다가도 몸이 편한 쪽과 불편한 쪽이 어느 쪽인지 느껴져요</t>
    </r>
    <r>
      <rPr>
        <sz val="10"/>
        <rFont val="Malgun Gothic"/>
        <family val="0"/>
        <charset val="1"/>
      </rPr>
      <t xml:space="preserve">.</t>
    </r>
  </si>
  <si>
    <t xml:space="preserve">cards.2.signs.2</t>
  </si>
  <si>
    <r>
      <rPr>
        <sz val="10"/>
        <rFont val="Noto Sans CJK SC"/>
        <family val="2"/>
      </rPr>
      <t xml:space="preserve">선택을 마친 다음 날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이게 맞았나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하며 다시 따져 보는 횟수가 줄어요</t>
    </r>
    <r>
      <rPr>
        <sz val="10"/>
        <rFont val="Malgun Gothic"/>
        <family val="0"/>
        <charset val="1"/>
      </rPr>
      <t xml:space="preserve">.</t>
    </r>
  </si>
  <si>
    <t xml:space="preserve">cards.2.reversed.signs.0</t>
  </si>
  <si>
    <r>
      <rPr>
        <sz val="10"/>
        <rFont val="Noto Sans CJK SC"/>
        <family val="2"/>
      </rPr>
      <t xml:space="preserve">자기 전에 휴대폰으로 후기를 뒤져 보던 시간이 조금씩 줄어요</t>
    </r>
    <r>
      <rPr>
        <sz val="10"/>
        <rFont val="Malgun Gothic"/>
        <family val="0"/>
        <charset val="1"/>
      </rPr>
      <t xml:space="preserve">.</t>
    </r>
  </si>
  <si>
    <t xml:space="preserve">cards.2.reversed.signs.1</t>
  </si>
  <si>
    <r>
      <rPr>
        <sz val="10"/>
        <rFont val="Noto Sans CJK SC"/>
        <family val="2"/>
      </rPr>
      <t xml:space="preserve">조용한 산책길에서 내가 정말 걱정하던 게 무엇인지 문득 떠오릅니다</t>
    </r>
    <r>
      <rPr>
        <sz val="10"/>
        <rFont val="Malgun Gothic"/>
        <family val="0"/>
        <charset val="1"/>
      </rPr>
      <t xml:space="preserve">.</t>
    </r>
  </si>
  <si>
    <t xml:space="preserve">cards.2.reversed.signs.2</t>
  </si>
  <si>
    <r>
      <rPr>
        <sz val="10"/>
        <rFont val="Noto Sans CJK SC"/>
        <family val="2"/>
      </rPr>
      <t xml:space="preserve">단체 대화방에 쏟아지는 의견을 다 읽지 않아도 불안하지 않습니다</t>
    </r>
    <r>
      <rPr>
        <sz val="10"/>
        <rFont val="Malgun Gothic"/>
        <family val="0"/>
        <charset val="1"/>
      </rPr>
      <t xml:space="preserve">.</t>
    </r>
  </si>
  <si>
    <t xml:space="preserve">cards.3.signs.0</t>
  </si>
  <si>
    <r>
      <rPr>
        <sz val="10"/>
        <rFont val="Noto Sans CJK SC"/>
        <family val="2"/>
      </rPr>
      <t xml:space="preserve">쉬는 날 아침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해야 할 일보다 먹고 싶은 것이 먼저 떠오릅니다</t>
    </r>
    <r>
      <rPr>
        <sz val="10"/>
        <rFont val="Malgun Gothic"/>
        <family val="0"/>
        <charset val="1"/>
      </rPr>
      <t xml:space="preserve">.</t>
    </r>
  </si>
  <si>
    <t xml:space="preserve">cards.3.signs.1</t>
  </si>
  <si>
    <r>
      <rPr>
        <sz val="10"/>
        <rFont val="Noto Sans CJK SC"/>
        <family val="2"/>
      </rPr>
      <t xml:space="preserve">친구 고민을 들어 주고 난 뒤 나도 잠깐 쉬어야겠다는 생각이 들어요</t>
    </r>
    <r>
      <rPr>
        <sz val="10"/>
        <rFont val="Malgun Gothic"/>
        <family val="0"/>
        <charset val="1"/>
      </rPr>
      <t xml:space="preserve">.</t>
    </r>
  </si>
  <si>
    <t xml:space="preserve">cards.3.signs.2</t>
  </si>
  <si>
    <r>
      <rPr>
        <sz val="10"/>
        <rFont val="Noto Sans CJK SC"/>
        <family val="2"/>
      </rPr>
      <t xml:space="preserve">실수한 날 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스스로를 탓하는 말이 평소보다 짧아집니다</t>
    </r>
    <r>
      <rPr>
        <sz val="10"/>
        <rFont val="Malgun Gothic"/>
        <family val="0"/>
        <charset val="1"/>
      </rPr>
      <t xml:space="preserve">.</t>
    </r>
  </si>
  <si>
    <t xml:space="preserve">cards.3.reversed.signs.0</t>
  </si>
  <si>
    <r>
      <rPr>
        <sz val="10"/>
        <rFont val="Noto Sans CJK SC"/>
        <family val="2"/>
      </rPr>
      <t xml:space="preserve">누가 도와주겠다고 할 때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괜찮아요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보다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고마워요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가 먼저 나와요</t>
    </r>
    <r>
      <rPr>
        <sz val="10"/>
        <rFont val="Malgun Gothic"/>
        <family val="0"/>
        <charset val="1"/>
      </rPr>
      <t xml:space="preserve">.</t>
    </r>
  </si>
  <si>
    <t xml:space="preserve">cards.3.reversed.signs.1</t>
  </si>
  <si>
    <r>
      <rPr>
        <sz val="10"/>
        <rFont val="Noto Sans CJK SC"/>
        <family val="2"/>
      </rPr>
      <t xml:space="preserve">선물이나 커피를 받을 때 바로 갚을 방법부터 계산하지 않게 돼요</t>
    </r>
    <r>
      <rPr>
        <sz val="10"/>
        <rFont val="Malgun Gothic"/>
        <family val="0"/>
        <charset val="1"/>
      </rPr>
      <t xml:space="preserve">.</t>
    </r>
  </si>
  <si>
    <t xml:space="preserve">cards.3.reversed.signs.2</t>
  </si>
  <si>
    <r>
      <rPr>
        <sz val="10"/>
        <rFont val="Noto Sans CJK SC"/>
        <family val="2"/>
      </rPr>
      <t xml:space="preserve">힘든 날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오늘은 좀 도와줘요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라는 말이 입 밖으로 나와요</t>
    </r>
    <r>
      <rPr>
        <sz val="10"/>
        <rFont val="Malgun Gothic"/>
        <family val="0"/>
        <charset val="1"/>
      </rPr>
      <t xml:space="preserve">.</t>
    </r>
  </si>
  <si>
    <t xml:space="preserve">cards.4.signs.0</t>
  </si>
  <si>
    <r>
      <rPr>
        <sz val="10"/>
        <rFont val="Noto Sans CJK SC"/>
        <family val="2"/>
      </rPr>
      <t xml:space="preserve">걱정이 떠오르면 내가 할 수 있는 일인지부터 따져 보게 돼요</t>
    </r>
    <r>
      <rPr>
        <sz val="10"/>
        <rFont val="Malgun Gothic"/>
        <family val="0"/>
        <charset val="1"/>
      </rPr>
      <t xml:space="preserve">.</t>
    </r>
  </si>
  <si>
    <t xml:space="preserve">cards.4.signs.1</t>
  </si>
  <si>
    <r>
      <rPr>
        <sz val="10"/>
        <rFont val="Noto Sans CJK SC"/>
        <family val="2"/>
      </rPr>
      <t xml:space="preserve">회의가 끝난 뒤 남의 몫까지 끌어안고 돌아오는 일이 줄어요</t>
    </r>
    <r>
      <rPr>
        <sz val="10"/>
        <rFont val="Malgun Gothic"/>
        <family val="0"/>
        <charset val="1"/>
      </rPr>
      <t xml:space="preserve">.</t>
    </r>
  </si>
  <si>
    <t xml:space="preserve">cards.4.signs.2</t>
  </si>
  <si>
    <r>
      <rPr>
        <sz val="10"/>
        <rFont val="Noto Sans CJK SC"/>
        <family val="2"/>
      </rPr>
      <t xml:space="preserve">어쩔 수 없는 일 앞에서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이건 내 몫이 아니야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하고 내려놓는 순간이 생겨요</t>
    </r>
    <r>
      <rPr>
        <sz val="10"/>
        <rFont val="Malgun Gothic"/>
        <family val="0"/>
        <charset val="1"/>
      </rPr>
      <t xml:space="preserve">.</t>
    </r>
  </si>
  <si>
    <t xml:space="preserve">cards.4.reversed.signs.0</t>
  </si>
  <si>
    <r>
      <rPr>
        <sz val="10"/>
        <rFont val="Noto Sans CJK SC"/>
        <family val="2"/>
      </rPr>
      <t xml:space="preserve">집안일을 하다가 오늘은 설거지만 끝내고 나머지는 두기로 해요</t>
    </r>
    <r>
      <rPr>
        <sz val="10"/>
        <rFont val="Malgun Gothic"/>
        <family val="0"/>
        <charset val="1"/>
      </rPr>
      <t xml:space="preserve">.</t>
    </r>
  </si>
  <si>
    <t xml:space="preserve">cards.4.reversed.signs.1</t>
  </si>
  <si>
    <r>
      <rPr>
        <sz val="10"/>
        <rFont val="Noto Sans CJK SC"/>
        <family val="2"/>
      </rPr>
      <t xml:space="preserve">계획대로 안 된 하루에도 꼭 지키려던 한 가지만 했으면 넘어가요</t>
    </r>
    <r>
      <rPr>
        <sz val="10"/>
        <rFont val="Malgun Gothic"/>
        <family val="0"/>
        <charset val="1"/>
      </rPr>
      <t xml:space="preserve">.</t>
    </r>
  </si>
  <si>
    <t xml:space="preserve">cards.4.reversed.signs.2</t>
  </si>
  <si>
    <r>
      <rPr>
        <sz val="10"/>
        <rFont val="Noto Sans CJK SC"/>
        <family val="2"/>
      </rPr>
      <t xml:space="preserve">정리가 덜 된 책상을 보고도 마음이 크게 불편하지 않아요</t>
    </r>
    <r>
      <rPr>
        <sz val="10"/>
        <rFont val="Malgun Gothic"/>
        <family val="0"/>
        <charset val="1"/>
      </rPr>
      <t xml:space="preserve">.</t>
    </r>
  </si>
  <si>
    <t xml:space="preserve">cards.5.signs.0</t>
  </si>
  <si>
    <r>
      <rPr>
        <sz val="10"/>
        <rFont val="Noto Sans CJK SC"/>
        <family val="2"/>
      </rPr>
      <t xml:space="preserve">고민이 생기면 막막해하기 전에 경험 있는 사람의 글이나 책부터 찾아보게 됩니다</t>
    </r>
    <r>
      <rPr>
        <sz val="10"/>
        <rFont val="Malgun Gothic"/>
        <family val="0"/>
        <charset val="1"/>
      </rPr>
      <t xml:space="preserve">.</t>
    </r>
  </si>
  <si>
    <t xml:space="preserve">cards.5.signs.1</t>
  </si>
  <si>
    <r>
      <rPr>
        <sz val="10"/>
        <rFont val="Noto Sans CJK SC"/>
        <family val="2"/>
      </rPr>
      <t xml:space="preserve">선배의 한마디를 듣고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아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이렇게 해도 되는구나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하고 고개를 끄덕여요</t>
    </r>
    <r>
      <rPr>
        <sz val="10"/>
        <rFont val="Malgun Gothic"/>
        <family val="0"/>
        <charset val="1"/>
      </rPr>
      <t xml:space="preserve">.</t>
    </r>
  </si>
  <si>
    <t xml:space="preserve">cards.5.signs.2</t>
  </si>
  <si>
    <r>
      <rPr>
        <sz val="10"/>
        <rFont val="Noto Sans CJK SC"/>
        <family val="2"/>
      </rPr>
      <t xml:space="preserve">검색창에서 헤매던 시간이 줄고 믿을 만한 곳 한두 군데만 확인합니다</t>
    </r>
    <r>
      <rPr>
        <sz val="10"/>
        <rFont val="Malgun Gothic"/>
        <family val="0"/>
        <charset val="1"/>
      </rPr>
      <t xml:space="preserve">.</t>
    </r>
  </si>
  <si>
    <t xml:space="preserve">cards.5.reversed.signs.0</t>
  </si>
  <si>
    <r>
      <rPr>
        <sz val="10"/>
        <rFont val="Noto Sans CJK SC"/>
        <family val="2"/>
      </rPr>
      <t xml:space="preserve">누가 요즘 어떠냐고 물으면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괜찮아요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대신 있는 그대로 말합니다</t>
    </r>
    <r>
      <rPr>
        <sz val="10"/>
        <rFont val="Malgun Gothic"/>
        <family val="0"/>
        <charset val="1"/>
      </rPr>
      <t xml:space="preserve">.</t>
    </r>
  </si>
  <si>
    <t xml:space="preserve">cards.5.reversed.signs.1</t>
  </si>
  <si>
    <r>
      <rPr>
        <sz val="10"/>
        <rFont val="Noto Sans CJK SC"/>
        <family val="2"/>
      </rPr>
      <t xml:space="preserve">속마음을 말하고 나서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이상하게 보이면 어쩌지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하는 걱정이 금방 가라앉습니다</t>
    </r>
    <r>
      <rPr>
        <sz val="10"/>
        <rFont val="Malgun Gothic"/>
        <family val="0"/>
        <charset val="1"/>
      </rPr>
      <t xml:space="preserve">.</t>
    </r>
  </si>
  <si>
    <t xml:space="preserve">cards.5.reversed.signs.2</t>
  </si>
  <si>
    <r>
      <rPr>
        <sz val="10"/>
        <rFont val="Noto Sans CJK SC"/>
        <family val="2"/>
      </rPr>
      <t xml:space="preserve">혼자 머릿속에서 돌리던 고민이 말로 꺼내고 나면 두세 줄로 정리됩니다</t>
    </r>
    <r>
      <rPr>
        <sz val="10"/>
        <rFont val="Malgun Gothic"/>
        <family val="0"/>
        <charset val="1"/>
      </rPr>
      <t xml:space="preserve">.</t>
    </r>
  </si>
  <si>
    <t xml:space="preserve">cards.6.signs.0</t>
  </si>
  <si>
    <r>
      <rPr>
        <sz val="10"/>
        <rFont val="Noto Sans CJK SC"/>
        <family val="2"/>
      </rPr>
      <t xml:space="preserve">약속을 잡을 때 내가 소중히 여기는 시간을 먼저 떠올리고 답해요</t>
    </r>
    <r>
      <rPr>
        <sz val="10"/>
        <rFont val="Malgun Gothic"/>
        <family val="0"/>
        <charset val="1"/>
      </rPr>
      <t xml:space="preserve">.</t>
    </r>
  </si>
  <si>
    <t xml:space="preserve">cards.6.signs.1</t>
  </si>
  <si>
    <r>
      <rPr>
        <sz val="10"/>
        <rFont val="Noto Sans CJK SC"/>
        <family val="2"/>
      </rPr>
      <t xml:space="preserve">할까 말까 망설이는 일 앞에서 이게 내가 중요하게 여기는 쪽인지 물어요</t>
    </r>
    <r>
      <rPr>
        <sz val="10"/>
        <rFont val="Malgun Gothic"/>
        <family val="0"/>
        <charset val="1"/>
      </rPr>
      <t xml:space="preserve">.</t>
    </r>
  </si>
  <si>
    <t xml:space="preserve">cards.6.signs.2</t>
  </si>
  <si>
    <r>
      <rPr>
        <sz val="10"/>
        <rFont val="Noto Sans CJK SC"/>
        <family val="2"/>
      </rPr>
      <t xml:space="preserve">주변 사람이 권하는 길과 내 바람이 다를 때 그 차이를 알아채요</t>
    </r>
    <r>
      <rPr>
        <sz val="10"/>
        <rFont val="Malgun Gothic"/>
        <family val="0"/>
        <charset val="1"/>
      </rPr>
      <t xml:space="preserve">.</t>
    </r>
  </si>
  <si>
    <t xml:space="preserve">cards.6.reversed.signs.0</t>
  </si>
  <si>
    <r>
      <rPr>
        <sz val="10"/>
        <rFont val="Noto Sans CJK SC"/>
        <family val="2"/>
      </rPr>
      <t xml:space="preserve">상대의 표정 하나에 하루 종일 마음이 흔들리던 일이 줄어요</t>
    </r>
    <r>
      <rPr>
        <sz val="10"/>
        <rFont val="Malgun Gothic"/>
        <family val="0"/>
        <charset val="1"/>
      </rPr>
      <t xml:space="preserve">.</t>
    </r>
  </si>
  <si>
    <t xml:space="preserve">cards.6.reversed.signs.1</t>
  </si>
  <si>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내가 이 관계에서 정말 바라는 게 뭐지</t>
    </r>
    <r>
      <rPr>
        <sz val="10"/>
        <rFont val="Malgun Gothic"/>
        <family val="0"/>
        <charset val="1"/>
      </rPr>
      <t xml:space="preserve">?' </t>
    </r>
    <r>
      <rPr>
        <sz val="10"/>
        <rFont val="Noto Sans CJK SC"/>
        <family val="2"/>
      </rPr>
      <t xml:space="preserve">하고 스스로에게 묻는 밤이 생겨요</t>
    </r>
    <r>
      <rPr>
        <sz val="10"/>
        <rFont val="Malgun Gothic"/>
        <family val="0"/>
        <charset val="1"/>
      </rPr>
      <t xml:space="preserve">.</t>
    </r>
  </si>
  <si>
    <t xml:space="preserve">cards.6.reversed.signs.2</t>
  </si>
  <si>
    <r>
      <rPr>
        <sz val="10"/>
        <rFont val="Noto Sans CJK SC"/>
        <family val="2"/>
      </rPr>
      <t xml:space="preserve">말하고 싶은 것을 돌려 말하지 않고 짧게 내 입장대로 말합니다</t>
    </r>
    <r>
      <rPr>
        <sz val="10"/>
        <rFont val="Malgun Gothic"/>
        <family val="0"/>
        <charset val="1"/>
      </rPr>
      <t xml:space="preserve">.</t>
    </r>
  </si>
  <si>
    <t xml:space="preserve">cards.7.signs.0</t>
  </si>
  <si>
    <r>
      <rPr>
        <sz val="10"/>
        <rFont val="Noto Sans CJK SC"/>
        <family val="2"/>
      </rPr>
      <t xml:space="preserve">이번 달에 가고 싶은 방향을 한 문장으로 말할 수 있습니다</t>
    </r>
    <r>
      <rPr>
        <sz val="10"/>
        <rFont val="Malgun Gothic"/>
        <family val="0"/>
        <charset val="1"/>
      </rPr>
      <t xml:space="preserve">.</t>
    </r>
  </si>
  <si>
    <t xml:space="preserve">cards.7.signs.1</t>
  </si>
  <si>
    <r>
      <rPr>
        <sz val="10"/>
        <rFont val="Noto Sans CJK SC"/>
        <family val="2"/>
      </rPr>
      <t xml:space="preserve">이미 잘 돌아가는 일에 힘을 조금 더 싣고 나머지는 흘려보냅니다</t>
    </r>
    <r>
      <rPr>
        <sz val="10"/>
        <rFont val="Malgun Gothic"/>
        <family val="0"/>
        <charset val="1"/>
      </rPr>
      <t xml:space="preserve">.</t>
    </r>
  </si>
  <si>
    <t xml:space="preserve">cards.7.signs.2</t>
  </si>
  <si>
    <r>
      <rPr>
        <sz val="10"/>
        <rFont val="Noto Sans CJK SC"/>
        <family val="2"/>
      </rPr>
      <t xml:space="preserve">애쓰지 않았는데 수월하게 풀린 일을 알아채고 기억해 두게 됩니다</t>
    </r>
    <r>
      <rPr>
        <sz val="10"/>
        <rFont val="Malgun Gothic"/>
        <family val="0"/>
        <charset val="1"/>
      </rPr>
      <t xml:space="preserve">.</t>
    </r>
  </si>
  <si>
    <t xml:space="preserve">cards.7.reversed.signs.0</t>
  </si>
  <si>
    <r>
      <rPr>
        <sz val="10"/>
        <rFont val="Noto Sans CJK SC"/>
        <family val="2"/>
      </rPr>
      <t xml:space="preserve">바쁘게 움직이다가도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나 지금 어디로 가고 있지</t>
    </r>
    <r>
      <rPr>
        <sz val="10"/>
        <rFont val="Malgun Gothic"/>
        <family val="0"/>
        <charset val="1"/>
      </rPr>
      <t xml:space="preserve">?' </t>
    </r>
    <r>
      <rPr>
        <sz val="10"/>
        <rFont val="Noto Sans CJK SC"/>
        <family val="2"/>
      </rPr>
      <t xml:space="preserve">하고 잠깐 멈춰 서요</t>
    </r>
    <r>
      <rPr>
        <sz val="10"/>
        <rFont val="Malgun Gothic"/>
        <family val="0"/>
        <charset val="1"/>
      </rPr>
      <t xml:space="preserve">.</t>
    </r>
  </si>
  <si>
    <t xml:space="preserve">cards.7.reversed.signs.1</t>
  </si>
  <si>
    <r>
      <rPr>
        <sz val="10"/>
        <rFont val="Noto Sans CJK SC"/>
        <family val="2"/>
      </rPr>
      <t xml:space="preserve">여러 갈래로 흩어졌던 일정 중에서 하나를 가운데에 두고 움직여요</t>
    </r>
    <r>
      <rPr>
        <sz val="10"/>
        <rFont val="Malgun Gothic"/>
        <family val="0"/>
        <charset val="1"/>
      </rPr>
      <t xml:space="preserve">.</t>
    </r>
  </si>
  <si>
    <t xml:space="preserve">cards.7.reversed.signs.2</t>
  </si>
  <si>
    <r>
      <rPr>
        <sz val="10"/>
        <rFont val="Noto Sans CJK SC"/>
        <family val="2"/>
      </rPr>
      <t xml:space="preserve">남들보다 느린 것 같아도 내 방향이 맞다는 생각에 조급함이 줄어요</t>
    </r>
    <r>
      <rPr>
        <sz val="10"/>
        <rFont val="Malgun Gothic"/>
        <family val="0"/>
        <charset val="1"/>
      </rPr>
      <t xml:space="preserve">.</t>
    </r>
  </si>
  <si>
    <t xml:space="preserve">cards.8.signs.0</t>
  </si>
  <si>
    <r>
      <rPr>
        <sz val="10"/>
        <rFont val="Noto Sans CJK SC"/>
        <family val="2"/>
      </rPr>
      <t xml:space="preserve">짜증이 올라올 때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지금 짜증 났구나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하고 이름을 붙여 줘요</t>
    </r>
    <r>
      <rPr>
        <sz val="10"/>
        <rFont val="Malgun Gothic"/>
        <family val="0"/>
        <charset val="1"/>
      </rPr>
      <t xml:space="preserve">.</t>
    </r>
  </si>
  <si>
    <t xml:space="preserve">cards.8.signs.1</t>
  </si>
  <si>
    <r>
      <rPr>
        <sz val="10"/>
        <rFont val="Noto Sans CJK SC"/>
        <family val="2"/>
      </rPr>
      <t xml:space="preserve">불편한 감정이 있어도 밥을 먹고 일을 하는 하루가 이어져요</t>
    </r>
    <r>
      <rPr>
        <sz val="10"/>
        <rFont val="Malgun Gothic"/>
        <family val="0"/>
        <charset val="1"/>
      </rPr>
      <t xml:space="preserve">.</t>
    </r>
  </si>
  <si>
    <t xml:space="preserve">cards.8.signs.2</t>
  </si>
  <si>
    <r>
      <rPr>
        <sz val="10"/>
        <rFont val="Noto Sans CJK SC"/>
        <family val="2"/>
      </rPr>
      <t xml:space="preserve">눈물이 나는 날에도 나를 이상하게 보지 않고 잠깐 그대로 둬요</t>
    </r>
    <r>
      <rPr>
        <sz val="10"/>
        <rFont val="Malgun Gothic"/>
        <family val="0"/>
        <charset val="1"/>
      </rPr>
      <t xml:space="preserve">.</t>
    </r>
  </si>
  <si>
    <t xml:space="preserve">cards.8.reversed.signs.0</t>
  </si>
  <si>
    <r>
      <rPr>
        <sz val="10"/>
        <rFont val="Noto Sans CJK SC"/>
        <family val="2"/>
      </rPr>
      <t xml:space="preserve">힘든 일을 혼자 삼키다가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요즘 좀 버겁다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는 말이 입 밖으로 나와요</t>
    </r>
    <r>
      <rPr>
        <sz val="10"/>
        <rFont val="Malgun Gothic"/>
        <family val="0"/>
        <charset val="1"/>
      </rPr>
      <t xml:space="preserve">.</t>
    </r>
  </si>
  <si>
    <t xml:space="preserve">cards.8.reversed.signs.1</t>
  </si>
  <si>
    <r>
      <rPr>
        <sz val="10"/>
        <rFont val="Noto Sans CJK SC"/>
        <family val="2"/>
      </rPr>
      <t xml:space="preserve">내 무게를 말로 풀어놓은 뒤 어깨가 조금 내려가는 걸 느껴요</t>
    </r>
    <r>
      <rPr>
        <sz val="10"/>
        <rFont val="Malgun Gothic"/>
        <family val="0"/>
        <charset val="1"/>
      </rPr>
      <t xml:space="preserve">.</t>
    </r>
  </si>
  <si>
    <t xml:space="preserve">cards.8.reversed.signs.2</t>
  </si>
  <si>
    <r>
      <rPr>
        <sz val="10"/>
        <rFont val="Noto Sans CJK SC"/>
        <family val="2"/>
      </rPr>
      <t xml:space="preserve">일이 몰릴 때 혼자 끝내려 하지 않고 일부를 맡길 수 있어요</t>
    </r>
    <r>
      <rPr>
        <sz val="10"/>
        <rFont val="Malgun Gothic"/>
        <family val="0"/>
        <charset val="1"/>
      </rPr>
      <t xml:space="preserve">.</t>
    </r>
  </si>
  <si>
    <t xml:space="preserve">cards.9.signs.0</t>
  </si>
  <si>
    <r>
      <rPr>
        <sz val="10"/>
        <rFont val="Noto Sans CJK SC"/>
        <family val="2"/>
      </rPr>
      <t xml:space="preserve">혼자 보내는 저녁 시간이 외롭기보다 나를 돌아보는 시간으로 느껴집니다</t>
    </r>
    <r>
      <rPr>
        <sz val="10"/>
        <rFont val="Malgun Gothic"/>
        <family val="0"/>
        <charset val="1"/>
      </rPr>
      <t xml:space="preserve">.</t>
    </r>
  </si>
  <si>
    <t xml:space="preserve">cards.9.signs.1</t>
  </si>
  <si>
    <r>
      <rPr>
        <sz val="10"/>
        <rFont val="Noto Sans CJK SC"/>
        <family val="2"/>
      </rPr>
      <t xml:space="preserve">믿는 사람과 짧게 나눈 대화가 하루 끝에 떠올라 마음이 든든해집니다</t>
    </r>
    <r>
      <rPr>
        <sz val="10"/>
        <rFont val="Malgun Gothic"/>
        <family val="0"/>
        <charset val="1"/>
      </rPr>
      <t xml:space="preserve">.</t>
    </r>
  </si>
  <si>
    <t xml:space="preserve">cards.9.signs.2</t>
  </si>
  <si>
    <r>
      <rPr>
        <sz val="10"/>
        <rFont val="Noto Sans CJK SC"/>
        <family val="2"/>
      </rPr>
      <t xml:space="preserve">복잡한 생각을 정리하고 싶을 때 산책이나 일기 같은 나만의 자리가 있습니다</t>
    </r>
    <r>
      <rPr>
        <sz val="10"/>
        <rFont val="Malgun Gothic"/>
        <family val="0"/>
        <charset val="1"/>
      </rPr>
      <t xml:space="preserve">.</t>
    </r>
  </si>
  <si>
    <t xml:space="preserve">cards.9.reversed.signs.0</t>
  </si>
  <si>
    <r>
      <rPr>
        <sz val="10"/>
        <rFont val="Noto Sans CJK SC"/>
        <family val="2"/>
      </rPr>
      <t xml:space="preserve">혼자 끙끙대던 생각을 한 사람 앞에서 말하고 나니 가벼워졌다는 걸 알아채요</t>
    </r>
    <r>
      <rPr>
        <sz val="10"/>
        <rFont val="Malgun Gothic"/>
        <family val="0"/>
        <charset val="1"/>
      </rPr>
      <t xml:space="preserve">.</t>
    </r>
  </si>
  <si>
    <t xml:space="preserve">cards.9.reversed.signs.1</t>
  </si>
  <si>
    <r>
      <rPr>
        <sz val="10"/>
        <rFont val="Noto Sans CJK SC"/>
        <family val="2"/>
      </rPr>
      <t xml:space="preserve">밥을 먹다 문득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사실 요즘 이런 일이 있었어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하고 털어놓게 됩니다</t>
    </r>
    <r>
      <rPr>
        <sz val="10"/>
        <rFont val="Malgun Gothic"/>
        <family val="0"/>
        <charset val="1"/>
      </rPr>
      <t xml:space="preserve">.</t>
    </r>
  </si>
  <si>
    <t xml:space="preserve">cards.9.reversed.signs.2</t>
  </si>
  <si>
    <r>
      <rPr>
        <sz val="10"/>
        <rFont val="Noto Sans CJK SC"/>
        <family val="2"/>
      </rPr>
      <t xml:space="preserve">대화가 끝난 뒤 혼자 있는 시간이 다시 편한 쉼으로 느껴집니다</t>
    </r>
    <r>
      <rPr>
        <sz val="10"/>
        <rFont val="Malgun Gothic"/>
        <family val="0"/>
        <charset val="1"/>
      </rPr>
      <t xml:space="preserve">.</t>
    </r>
  </si>
  <si>
    <t xml:space="preserve">cards.10.signs.0</t>
  </si>
  <si>
    <r>
      <rPr>
        <sz val="10"/>
        <rFont val="Noto Sans CJK SC"/>
        <family val="2"/>
      </rPr>
      <t xml:space="preserve">바뀌는 상황 속에서도 내가 고를 수 있는 일이 무엇인지 따져 보게 됩니다</t>
    </r>
    <r>
      <rPr>
        <sz val="10"/>
        <rFont val="Malgun Gothic"/>
        <family val="0"/>
        <charset val="1"/>
      </rPr>
      <t xml:space="preserve">.</t>
    </r>
  </si>
  <si>
    <t xml:space="preserve">cards.10.signs.1</t>
  </si>
  <si>
    <r>
      <rPr>
        <sz val="10"/>
        <rFont val="Noto Sans CJK SC"/>
        <family val="2"/>
      </rPr>
      <t xml:space="preserve">회사 일정이 갑자기 바뀌어도 내 몫의 작은 선택은 내가 합니다</t>
    </r>
    <r>
      <rPr>
        <sz val="10"/>
        <rFont val="Malgun Gothic"/>
        <family val="0"/>
        <charset val="1"/>
      </rPr>
      <t xml:space="preserve">.</t>
    </r>
  </si>
  <si>
    <t xml:space="preserve">cards.10.signs.2</t>
  </si>
  <si>
    <r>
      <rPr>
        <sz val="10"/>
        <rFont val="Noto Sans CJK SC"/>
        <family val="2"/>
      </rPr>
      <t xml:space="preserve">변화 소식을 들어도 가슴이 철렁하기보다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그럼 나는 뭘 하지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하고 생각합니다</t>
    </r>
    <r>
      <rPr>
        <sz val="10"/>
        <rFont val="Malgun Gothic"/>
        <family val="0"/>
        <charset val="1"/>
      </rPr>
      <t xml:space="preserve">.</t>
    </r>
  </si>
  <si>
    <t xml:space="preserve">cards.10.reversed.signs.0</t>
  </si>
  <si>
    <r>
      <rPr>
        <sz val="10"/>
        <rFont val="Noto Sans CJK SC"/>
        <family val="2"/>
      </rPr>
      <t xml:space="preserve">예전 방식을 떠올리는 일이 줄고 지금 상황에서 할 수 있는 일을 찾아요</t>
    </r>
    <r>
      <rPr>
        <sz val="10"/>
        <rFont val="Malgun Gothic"/>
        <family val="0"/>
        <charset val="1"/>
      </rPr>
      <t xml:space="preserve">.</t>
    </r>
  </si>
  <si>
    <t xml:space="preserve">cards.10.reversed.signs.1</t>
  </si>
  <si>
    <r>
      <rPr>
        <sz val="10"/>
        <rFont val="Noto Sans CJK SC"/>
        <family val="2"/>
      </rPr>
      <t xml:space="preserve">낯선 환경에서도 앉을 자리와 쓸 도구를 하나씩 익혀 가고 있어요</t>
    </r>
    <r>
      <rPr>
        <sz val="10"/>
        <rFont val="Malgun Gothic"/>
        <family val="0"/>
        <charset val="1"/>
      </rPr>
      <t xml:space="preserve">.</t>
    </r>
  </si>
  <si>
    <t xml:space="preserve">cards.10.reversed.signs.2</t>
  </si>
  <si>
    <r>
      <rPr>
        <sz val="10"/>
        <rFont val="Noto Sans CJK SC"/>
        <family val="2"/>
      </rPr>
      <t xml:space="preserve">버티느라 굳어 있던 어깨가 새로운 일을 시도할 때 조금 풀려요</t>
    </r>
    <r>
      <rPr>
        <sz val="10"/>
        <rFont val="Malgun Gothic"/>
        <family val="0"/>
        <charset val="1"/>
      </rPr>
      <t xml:space="preserve">.</t>
    </r>
  </si>
  <si>
    <t xml:space="preserve">cards.11.signs.0</t>
  </si>
  <si>
    <r>
      <rPr>
        <sz val="10"/>
        <rFont val="Noto Sans CJK SC"/>
        <family val="2"/>
      </rPr>
      <t xml:space="preserve">화가 나는 일이 생기면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실제로 일어난 일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과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내 생각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을 나눠서 떠올려요</t>
    </r>
    <r>
      <rPr>
        <sz val="10"/>
        <rFont val="Malgun Gothic"/>
        <family val="0"/>
        <charset val="1"/>
      </rPr>
      <t xml:space="preserve">.</t>
    </r>
  </si>
  <si>
    <t xml:space="preserve">cards.11.signs.1</t>
  </si>
  <si>
    <r>
      <rPr>
        <sz val="10"/>
        <rFont val="Noto Sans CJK SC"/>
        <family val="2"/>
      </rPr>
      <t xml:space="preserve">친구의 짧은 답장을 두고 나쁜 쪽으로 해석하던 습관이 줄어요</t>
    </r>
    <r>
      <rPr>
        <sz val="10"/>
        <rFont val="Malgun Gothic"/>
        <family val="0"/>
        <charset val="1"/>
      </rPr>
      <t xml:space="preserve">.</t>
    </r>
  </si>
  <si>
    <t xml:space="preserve">cards.11.signs.2</t>
  </si>
  <si>
    <r>
      <rPr>
        <sz val="10"/>
        <rFont val="Noto Sans CJK SC"/>
        <family val="2"/>
      </rPr>
      <t xml:space="preserve">감정이 가라앉은 다음 날 아침에 상황을 다시 읽으면 덜 날카롭게 느껴져요</t>
    </r>
    <r>
      <rPr>
        <sz val="10"/>
        <rFont val="Malgun Gothic"/>
        <family val="0"/>
        <charset val="1"/>
      </rPr>
      <t xml:space="preserve">.</t>
    </r>
  </si>
  <si>
    <t xml:space="preserve">cards.11.reversed.signs.0</t>
  </si>
  <si>
    <r>
      <rPr>
        <sz val="10"/>
        <rFont val="Noto Sans CJK SC"/>
        <family val="2"/>
      </rPr>
      <t xml:space="preserve">실수했을 때 친구라면 뭐라고 해 줄지 떠올리고 그 말을 나에게도 해 줍니다</t>
    </r>
    <r>
      <rPr>
        <sz val="10"/>
        <rFont val="Malgun Gothic"/>
        <family val="0"/>
        <charset val="1"/>
      </rPr>
      <t xml:space="preserve">.</t>
    </r>
  </si>
  <si>
    <t xml:space="preserve">cards.11.reversed.signs.1</t>
  </si>
  <si>
    <r>
      <rPr>
        <sz val="10"/>
        <rFont val="Noto Sans CJK SC"/>
        <family val="2"/>
      </rPr>
      <t xml:space="preserve">내가 한 일을 평가할 때 점수가 조금 후해집니다</t>
    </r>
    <r>
      <rPr>
        <sz val="10"/>
        <rFont val="Malgun Gothic"/>
        <family val="0"/>
        <charset val="1"/>
      </rPr>
      <t xml:space="preserve">.</t>
    </r>
  </si>
  <si>
    <t xml:space="preserve">cards.11.reversed.signs.2</t>
  </si>
  <si>
    <r>
      <rPr>
        <sz val="10"/>
        <rFont val="Noto Sans CJK SC"/>
        <family val="2"/>
      </rPr>
      <t xml:space="preserve">잘못한 일을 돌아보면서도 나를 몰아붙이는 말투가 부드러워집니다</t>
    </r>
    <r>
      <rPr>
        <sz val="10"/>
        <rFont val="Malgun Gothic"/>
        <family val="0"/>
        <charset val="1"/>
      </rPr>
      <t xml:space="preserve">.</t>
    </r>
  </si>
  <si>
    <t xml:space="preserve">cards.12.signs.0</t>
  </si>
  <si>
    <r>
      <rPr>
        <sz val="10"/>
        <rFont val="Noto Sans CJK SC"/>
        <family val="2"/>
      </rPr>
      <t xml:space="preserve">일을 멈추고 창밖을 보는 시간이 낭비처럼 느껴지지 않습니다</t>
    </r>
    <r>
      <rPr>
        <sz val="10"/>
        <rFont val="Malgun Gothic"/>
        <family val="0"/>
        <charset val="1"/>
      </rPr>
      <t xml:space="preserve">.</t>
    </r>
  </si>
  <si>
    <t xml:space="preserve">cards.12.signs.1</t>
  </si>
  <si>
    <r>
      <rPr>
        <sz val="10"/>
        <rFont val="Noto Sans CJK SC"/>
        <family val="2"/>
      </rPr>
      <t xml:space="preserve">잠시 쉬고 돌아온 뒤 풀리지 않던 문제에 새로운 방법이 떠오릅니다</t>
    </r>
    <r>
      <rPr>
        <sz val="10"/>
        <rFont val="Malgun Gothic"/>
        <family val="0"/>
        <charset val="1"/>
      </rPr>
      <t xml:space="preserve">.</t>
    </r>
  </si>
  <si>
    <t xml:space="preserve">cards.12.signs.2</t>
  </si>
  <si>
    <r>
      <rPr>
        <sz val="10"/>
        <rFont val="Noto Sans CJK SC"/>
        <family val="2"/>
      </rPr>
      <t xml:space="preserve">다른 사람이 앞서가는 것 같아도 지금 쉬는 것도 과정이라고 받아들여요</t>
    </r>
    <r>
      <rPr>
        <sz val="10"/>
        <rFont val="Malgun Gothic"/>
        <family val="0"/>
        <charset val="1"/>
      </rPr>
      <t xml:space="preserve">.</t>
    </r>
  </si>
  <si>
    <t xml:space="preserve">cards.12.reversed.signs.0</t>
  </si>
  <si>
    <r>
      <rPr>
        <sz val="10"/>
        <rFont val="Noto Sans CJK SC"/>
        <family val="2"/>
      </rPr>
      <t xml:space="preserve">쉬는 시간에도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이래도 되나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하는 생각이 따라붙지 않습니다</t>
    </r>
    <r>
      <rPr>
        <sz val="10"/>
        <rFont val="Malgun Gothic"/>
        <family val="0"/>
        <charset val="1"/>
      </rPr>
      <t xml:space="preserve">.</t>
    </r>
  </si>
  <si>
    <t xml:space="preserve">cards.12.reversed.signs.1</t>
  </si>
  <si>
    <r>
      <rPr>
        <sz val="10"/>
        <rFont val="Noto Sans CJK SC"/>
        <family val="2"/>
      </rPr>
      <t xml:space="preserve">소파에 누워 있다가 일어난 뒤 몸이 훨씬 가벼운 걸 느껴요</t>
    </r>
    <r>
      <rPr>
        <sz val="10"/>
        <rFont val="Malgun Gothic"/>
        <family val="0"/>
        <charset val="1"/>
      </rPr>
      <t xml:space="preserve">.</t>
    </r>
  </si>
  <si>
    <t xml:space="preserve">cards.12.reversed.signs.2</t>
  </si>
  <si>
    <r>
      <rPr>
        <sz val="10"/>
        <rFont val="Noto Sans CJK SC"/>
        <family val="2"/>
      </rPr>
      <t xml:space="preserve">오늘 할 일 목록에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쉬기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를 한 줄 넣어 두고 당당하게 체크합니다</t>
    </r>
    <r>
      <rPr>
        <sz val="10"/>
        <rFont val="Malgun Gothic"/>
        <family val="0"/>
        <charset val="1"/>
      </rPr>
      <t xml:space="preserve">.</t>
    </r>
  </si>
  <si>
    <t xml:space="preserve">cards.13.signs.0</t>
  </si>
  <si>
    <r>
      <rPr>
        <sz val="10"/>
        <rFont val="Noto Sans CJK SC"/>
        <family val="2"/>
      </rPr>
      <t xml:space="preserve">오래 쓴 물건이나 지난 일을 정리하며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그동안 고마웠어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하고 인사해요</t>
    </r>
    <r>
      <rPr>
        <sz val="10"/>
        <rFont val="Malgun Gothic"/>
        <family val="0"/>
        <charset val="1"/>
      </rPr>
      <t xml:space="preserve">.</t>
    </r>
  </si>
  <si>
    <t xml:space="preserve">cards.13.signs.1</t>
  </si>
  <si>
    <r>
      <rPr>
        <sz val="10"/>
        <rFont val="Noto Sans CJK SC"/>
        <family val="2"/>
      </rPr>
      <t xml:space="preserve">내려놓은 것에 대한 아쉬움과 홀가분함이 함께 있어요</t>
    </r>
    <r>
      <rPr>
        <sz val="10"/>
        <rFont val="Malgun Gothic"/>
        <family val="0"/>
        <charset val="1"/>
      </rPr>
      <t xml:space="preserve">.</t>
    </r>
  </si>
  <si>
    <t xml:space="preserve">cards.13.signs.2</t>
  </si>
  <si>
    <r>
      <rPr>
        <sz val="10"/>
        <rFont val="Noto Sans CJK SC"/>
        <family val="2"/>
      </rPr>
      <t xml:space="preserve">비워진 자리에 요즘의 나에게 맞는 새 습관이 하나 들어와요</t>
    </r>
    <r>
      <rPr>
        <sz val="10"/>
        <rFont val="Malgun Gothic"/>
        <family val="0"/>
        <charset val="1"/>
      </rPr>
      <t xml:space="preserve">.</t>
    </r>
  </si>
  <si>
    <t xml:space="preserve">cards.13.reversed.signs.0</t>
  </si>
  <si>
    <r>
      <rPr>
        <sz val="10"/>
        <rFont val="Noto Sans CJK SC"/>
        <family val="2"/>
      </rPr>
      <t xml:space="preserve">한꺼번에 정리하려 하지 않고 오늘은 서랍 하나만 비우고 있어요</t>
    </r>
    <r>
      <rPr>
        <sz val="10"/>
        <rFont val="Malgun Gothic"/>
        <family val="0"/>
        <charset val="1"/>
      </rPr>
      <t xml:space="preserve">.</t>
    </r>
  </si>
  <si>
    <t xml:space="preserve">cards.13.reversed.signs.1</t>
  </si>
  <si>
    <r>
      <rPr>
        <sz val="10"/>
        <rFont val="Noto Sans CJK SC"/>
        <family val="2"/>
      </rPr>
      <t xml:space="preserve">무엇을 놓고 싶은지 떠오르는 대로 한 줄씩 말해 볼 수 있어요</t>
    </r>
    <r>
      <rPr>
        <sz val="10"/>
        <rFont val="Malgun Gothic"/>
        <family val="0"/>
        <charset val="1"/>
      </rPr>
      <t xml:space="preserve">.</t>
    </r>
  </si>
  <si>
    <t xml:space="preserve">cards.13.reversed.signs.2</t>
  </si>
  <si>
    <r>
      <rPr>
        <sz val="10"/>
        <rFont val="Noto Sans CJK SC"/>
        <family val="2"/>
      </rPr>
      <t xml:space="preserve">막연히 크게만 느껴지던 변화가 하나씩 쪼개져 보여요</t>
    </r>
    <r>
      <rPr>
        <sz val="10"/>
        <rFont val="Malgun Gothic"/>
        <family val="0"/>
        <charset val="1"/>
      </rPr>
      <t xml:space="preserve">.</t>
    </r>
  </si>
  <si>
    <t xml:space="preserve">cards.14.signs.0</t>
  </si>
  <si>
    <r>
      <rPr>
        <sz val="10"/>
        <rFont val="Noto Sans CJK SC"/>
        <family val="2"/>
      </rPr>
      <t xml:space="preserve">오늘은 일이 일곱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쉼이 셋쯤 맞겠다는 식으로 하루 배분을 가늠합니다</t>
    </r>
    <r>
      <rPr>
        <sz val="10"/>
        <rFont val="Malgun Gothic"/>
        <family val="0"/>
        <charset val="1"/>
      </rPr>
      <t xml:space="preserve">.</t>
    </r>
  </si>
  <si>
    <t xml:space="preserve">cards.14.signs.1</t>
  </si>
  <si>
    <r>
      <rPr>
        <sz val="10"/>
        <rFont val="Noto Sans CJK SC"/>
        <family val="2"/>
      </rPr>
      <t xml:space="preserve">어제와 오늘 필요한 양이 달라도 스스로를 변덕스럽다고 탓하지 않습니다</t>
    </r>
    <r>
      <rPr>
        <sz val="10"/>
        <rFont val="Malgun Gothic"/>
        <family val="0"/>
        <charset val="1"/>
      </rPr>
      <t xml:space="preserve">.</t>
    </r>
  </si>
  <si>
    <t xml:space="preserve">cards.14.signs.2</t>
  </si>
  <si>
    <r>
      <rPr>
        <sz val="10"/>
        <rFont val="Noto Sans CJK SC"/>
        <family val="2"/>
      </rPr>
      <t xml:space="preserve">둘 중 하나만 고르던 고민이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이번 주는 이만큼씩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하는 생각으로 바뀝니다</t>
    </r>
    <r>
      <rPr>
        <sz val="10"/>
        <rFont val="Malgun Gothic"/>
        <family val="0"/>
        <charset val="1"/>
      </rPr>
      <t xml:space="preserve">.</t>
    </r>
  </si>
  <si>
    <t xml:space="preserve">cards.14.reversed.signs.0</t>
  </si>
  <si>
    <r>
      <rPr>
        <sz val="10"/>
        <rFont val="Noto Sans CJK SC"/>
        <family val="2"/>
      </rPr>
      <t xml:space="preserve">일에 쏠려 있던 시간을 조금 덜어 저녁 산책에 쓰고 있어요</t>
    </r>
    <r>
      <rPr>
        <sz val="10"/>
        <rFont val="Malgun Gothic"/>
        <family val="0"/>
        <charset val="1"/>
      </rPr>
      <t xml:space="preserve">.</t>
    </r>
  </si>
  <si>
    <t xml:space="preserve">cards.14.reversed.signs.1</t>
  </si>
  <si>
    <r>
      <rPr>
        <sz val="10"/>
        <rFont val="Noto Sans CJK SC"/>
        <family val="2"/>
      </rPr>
      <t xml:space="preserve">몰아서 하던 습관이 하루에 조금씩 나누어 하는 방식으로 바뀌어요</t>
    </r>
    <r>
      <rPr>
        <sz val="10"/>
        <rFont val="Malgun Gothic"/>
        <family val="0"/>
        <charset val="1"/>
      </rPr>
      <t xml:space="preserve">.</t>
    </r>
  </si>
  <si>
    <t xml:space="preserve">cards.14.reversed.signs.2</t>
  </si>
  <si>
    <r>
      <rPr>
        <sz val="10"/>
        <rFont val="Noto Sans CJK SC"/>
        <family val="2"/>
      </rPr>
      <t xml:space="preserve">지쳐 있던 주말에도 하고 싶은 일이 한 가지쯤 떠올라요</t>
    </r>
    <r>
      <rPr>
        <sz val="10"/>
        <rFont val="Malgun Gothic"/>
        <family val="0"/>
        <charset val="1"/>
      </rPr>
      <t xml:space="preserve">.</t>
    </r>
  </si>
  <si>
    <t xml:space="preserve">cards.15.signs.0</t>
  </si>
  <si>
    <r>
      <rPr>
        <sz val="10"/>
        <rFont val="Noto Sans CJK SC"/>
        <family val="2"/>
      </rPr>
      <t xml:space="preserve">화가 확 올라올 때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지금 내가 예민해졌구나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하고 알아채요</t>
    </r>
    <r>
      <rPr>
        <sz val="10"/>
        <rFont val="Malgun Gothic"/>
        <family val="0"/>
        <charset val="1"/>
      </rPr>
      <t xml:space="preserve">.</t>
    </r>
  </si>
  <si>
    <t xml:space="preserve">cards.15.signs.1</t>
  </si>
  <si>
    <r>
      <rPr>
        <sz val="10"/>
        <rFont val="Noto Sans CJK SC"/>
        <family val="2"/>
      </rPr>
      <t xml:space="preserve">날 선 말이 나오기 전에 한 박자 쉬는 순간이 생겨요</t>
    </r>
    <r>
      <rPr>
        <sz val="10"/>
        <rFont val="Malgun Gothic"/>
        <family val="0"/>
        <charset val="1"/>
      </rPr>
      <t xml:space="preserve">.</t>
    </r>
  </si>
  <si>
    <t xml:space="preserve">cards.15.signs.2</t>
  </si>
  <si>
    <r>
      <rPr>
        <sz val="10"/>
        <rFont val="Noto Sans CJK SC"/>
        <family val="2"/>
      </rPr>
      <t xml:space="preserve">알아차린 뒤에는 같은 일에도 목소리가 조금 낮아져요</t>
    </r>
    <r>
      <rPr>
        <sz val="10"/>
        <rFont val="Malgun Gothic"/>
        <family val="0"/>
        <charset val="1"/>
      </rPr>
      <t xml:space="preserve">.</t>
    </r>
  </si>
  <si>
    <t xml:space="preserve">cards.15.reversed.signs.0</t>
  </si>
  <si>
    <r>
      <rPr>
        <sz val="10"/>
        <rFont val="Noto Sans CJK SC"/>
        <family val="2"/>
      </rPr>
      <t xml:space="preserve">예전 같으면 크게 흔들렸을 일에 오늘은 덜 흔들린 나를 발견합니다</t>
    </r>
    <r>
      <rPr>
        <sz val="10"/>
        <rFont val="Malgun Gothic"/>
        <family val="0"/>
        <charset val="1"/>
      </rPr>
      <t xml:space="preserve">.</t>
    </r>
  </si>
  <si>
    <t xml:space="preserve">cards.15.reversed.signs.1</t>
  </si>
  <si>
    <r>
      <rPr>
        <sz val="10"/>
        <rFont val="Noto Sans CJK SC"/>
        <family val="2"/>
      </rPr>
      <t xml:space="preserve">새로 들인 습관을 하루 빠뜨려도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그래도 이어 가고 있어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하고 넘깁니다</t>
    </r>
    <r>
      <rPr>
        <sz val="10"/>
        <rFont val="Malgun Gothic"/>
        <family val="0"/>
        <charset val="1"/>
      </rPr>
      <t xml:space="preserve">.</t>
    </r>
  </si>
  <si>
    <t xml:space="preserve">cards.15.reversed.signs.2</t>
  </si>
  <si>
    <r>
      <rPr>
        <sz val="10"/>
        <rFont val="Noto Sans CJK SC"/>
        <family val="2"/>
      </rPr>
      <t xml:space="preserve">달라진 점을 인정하는 한마디가 잠들기 전에 스스로 떠오릅니다</t>
    </r>
    <r>
      <rPr>
        <sz val="10"/>
        <rFont val="Malgun Gothic"/>
        <family val="0"/>
        <charset val="1"/>
      </rPr>
      <t xml:space="preserve">.</t>
    </r>
  </si>
  <si>
    <t xml:space="preserve">cards.16.signs.0</t>
  </si>
  <si>
    <r>
      <rPr>
        <sz val="10"/>
        <rFont val="Noto Sans CJK SC"/>
        <family val="2"/>
      </rPr>
      <t xml:space="preserve">잃은 것을 세던 시간이 줄고 아직 남아 있는 것을 하나씩 떠올려요</t>
    </r>
    <r>
      <rPr>
        <sz val="10"/>
        <rFont val="Malgun Gothic"/>
        <family val="0"/>
        <charset val="1"/>
      </rPr>
      <t xml:space="preserve">.</t>
    </r>
  </si>
  <si>
    <t xml:space="preserve">cards.16.signs.1</t>
  </si>
  <si>
    <r>
      <rPr>
        <sz val="10"/>
        <rFont val="Noto Sans CJK SC"/>
        <family val="2"/>
      </rPr>
      <t xml:space="preserve">막막하던 일을 아주 작은 첫 단계로 쪼개어 손을 대고 있습니다</t>
    </r>
    <r>
      <rPr>
        <sz val="10"/>
        <rFont val="Malgun Gothic"/>
        <family val="0"/>
        <charset val="1"/>
      </rPr>
      <t xml:space="preserve">.</t>
    </r>
  </si>
  <si>
    <t xml:space="preserve">cards.16.signs.2</t>
  </si>
  <si>
    <r>
      <rPr>
        <sz val="10"/>
        <rFont val="Noto Sans CJK SC"/>
        <family val="2"/>
      </rPr>
      <t xml:space="preserve">남아 있는 사람과 습관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경험이 다시 시작할 바탕이 된다고 느껴요</t>
    </r>
    <r>
      <rPr>
        <sz val="10"/>
        <rFont val="Malgun Gothic"/>
        <family val="0"/>
        <charset val="1"/>
      </rPr>
      <t xml:space="preserve">.</t>
    </r>
  </si>
  <si>
    <t xml:space="preserve">cards.16.reversed.signs.0</t>
  </si>
  <si>
    <r>
      <rPr>
        <sz val="10"/>
        <rFont val="Noto Sans CJK SC"/>
        <family val="2"/>
      </rPr>
      <t xml:space="preserve">완벽하게 해내야 한다는 생각이 줄고 오늘 할 수 있는 한 조각만 합니다</t>
    </r>
    <r>
      <rPr>
        <sz val="10"/>
        <rFont val="Malgun Gothic"/>
        <family val="0"/>
        <charset val="1"/>
      </rPr>
      <t xml:space="preserve">.</t>
    </r>
  </si>
  <si>
    <t xml:space="preserve">cards.16.reversed.signs.1</t>
  </si>
  <si>
    <r>
      <rPr>
        <sz val="10"/>
        <rFont val="Noto Sans CJK SC"/>
        <family val="2"/>
      </rPr>
      <t xml:space="preserve">버티느라 팽팽하던 몸이 잠깐의 휴식에 풀리고 기운이 천천히 돌아옵니다</t>
    </r>
    <r>
      <rPr>
        <sz val="10"/>
        <rFont val="Malgun Gothic"/>
        <family val="0"/>
        <charset val="1"/>
      </rPr>
      <t xml:space="preserve">.</t>
    </r>
  </si>
  <si>
    <t xml:space="preserve">cards.16.reversed.signs.2</t>
  </si>
  <si>
    <r>
      <rPr>
        <sz val="10"/>
        <rFont val="Noto Sans CJK SC"/>
        <family val="2"/>
      </rPr>
      <t xml:space="preserve">작은 조각 하나를 끝낸 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 정도면 충분하다고 스스로 말합니다</t>
    </r>
    <r>
      <rPr>
        <sz val="10"/>
        <rFont val="Malgun Gothic"/>
        <family val="0"/>
        <charset val="1"/>
      </rPr>
      <t xml:space="preserve">.</t>
    </r>
  </si>
  <si>
    <t xml:space="preserve">cards.17.signs.0</t>
  </si>
  <si>
    <r>
      <rPr>
        <sz val="10"/>
        <rFont val="Noto Sans CJK SC"/>
        <family val="2"/>
      </rPr>
      <t xml:space="preserve">아침에 일어날 때 어제보다 몸이 조금 가볍다는 걸 알아채요</t>
    </r>
    <r>
      <rPr>
        <sz val="10"/>
        <rFont val="Malgun Gothic"/>
        <family val="0"/>
        <charset val="1"/>
      </rPr>
      <t xml:space="preserve">.</t>
    </r>
  </si>
  <si>
    <t xml:space="preserve">cards.17.signs.1</t>
  </si>
  <si>
    <r>
      <rPr>
        <sz val="10"/>
        <rFont val="Noto Sans CJK SC"/>
        <family val="2"/>
      </rPr>
      <t xml:space="preserve">예전에는 하루 종일 걸리던 일이 이제 반나절이면 끝나는 걸 발견해요</t>
    </r>
    <r>
      <rPr>
        <sz val="10"/>
        <rFont val="Malgun Gothic"/>
        <family val="0"/>
        <charset val="1"/>
      </rPr>
      <t xml:space="preserve">.</t>
    </r>
  </si>
  <si>
    <t xml:space="preserve">cards.17.signs.2</t>
  </si>
  <si>
    <r>
      <rPr>
        <sz val="10"/>
        <rFont val="Noto Sans CJK SC"/>
        <family val="2"/>
      </rPr>
      <t xml:space="preserve">남과 비교하던 마음이 줄고 지난달의 나와 견주어 보게 돼요</t>
    </r>
    <r>
      <rPr>
        <sz val="10"/>
        <rFont val="Malgun Gothic"/>
        <family val="0"/>
        <charset val="1"/>
      </rPr>
      <t xml:space="preserve">.</t>
    </r>
  </si>
  <si>
    <t xml:space="preserve">cards.17.reversed.signs.0</t>
  </si>
  <si>
    <r>
      <rPr>
        <sz val="10"/>
        <rFont val="Noto Sans CJK SC"/>
        <family val="2"/>
      </rPr>
      <t xml:space="preserve">느리다고 답답해하다가도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그래도 아까보다 나아졌어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하고 떠올려요</t>
    </r>
    <r>
      <rPr>
        <sz val="10"/>
        <rFont val="Malgun Gothic"/>
        <family val="0"/>
        <charset val="1"/>
      </rPr>
      <t xml:space="preserve">.</t>
    </r>
  </si>
  <si>
    <t xml:space="preserve">cards.17.reversed.signs.1</t>
  </si>
  <si>
    <r>
      <rPr>
        <sz val="10"/>
        <rFont val="Noto Sans CJK SC"/>
        <family val="2"/>
      </rPr>
      <t xml:space="preserve">회복 속도를 재던 일이 줄고 가고 있는 방향이 맞는지만 살펴요</t>
    </r>
    <r>
      <rPr>
        <sz val="10"/>
        <rFont val="Malgun Gothic"/>
        <family val="0"/>
        <charset val="1"/>
      </rPr>
      <t xml:space="preserve">.</t>
    </r>
  </si>
  <si>
    <t xml:space="preserve">cards.17.reversed.signs.2</t>
  </si>
  <si>
    <r>
      <rPr>
        <sz val="10"/>
        <rFont val="Noto Sans CJK SC"/>
        <family val="2"/>
      </rPr>
      <t xml:space="preserve">조급하던 마음이 저녁 무렵에는 훨씬 차분해져 있어요</t>
    </r>
    <r>
      <rPr>
        <sz val="10"/>
        <rFont val="Malgun Gothic"/>
        <family val="0"/>
        <charset val="1"/>
      </rPr>
      <t xml:space="preserve">.</t>
    </r>
  </si>
  <si>
    <t xml:space="preserve">cards.18.signs.0</t>
  </si>
  <si>
    <r>
      <rPr>
        <sz val="10"/>
        <rFont val="Noto Sans CJK SC"/>
        <family val="2"/>
      </rPr>
      <t xml:space="preserve">다 알지 못해도 오늘 할 수 있는 일은 하자고 마음먹습니다</t>
    </r>
    <r>
      <rPr>
        <sz val="10"/>
        <rFont val="Malgun Gothic"/>
        <family val="0"/>
        <charset val="1"/>
      </rPr>
      <t xml:space="preserve">.</t>
    </r>
  </si>
  <si>
    <t xml:space="preserve">cards.18.signs.1</t>
  </si>
  <si>
    <r>
      <rPr>
        <sz val="10"/>
        <rFont val="Noto Sans CJK SC"/>
        <family val="2"/>
      </rPr>
      <t xml:space="preserve">앞날이 궁금한 밤에도 지금 보이는 만큼만 생각하고 잠자리에 들어요</t>
    </r>
    <r>
      <rPr>
        <sz val="10"/>
        <rFont val="Malgun Gothic"/>
        <family val="0"/>
        <charset val="1"/>
      </rPr>
      <t xml:space="preserve">.</t>
    </r>
  </si>
  <si>
    <t xml:space="preserve">cards.18.signs.2</t>
  </si>
  <si>
    <r>
      <rPr>
        <sz val="10"/>
        <rFont val="Noto Sans CJK SC"/>
        <family val="2"/>
      </rPr>
      <t xml:space="preserve">확실한 답이 없다는 말을 들어도 예전만큼 불안해하지 않습니다</t>
    </r>
    <r>
      <rPr>
        <sz val="10"/>
        <rFont val="Malgun Gothic"/>
        <family val="0"/>
        <charset val="1"/>
      </rPr>
      <t xml:space="preserve">.</t>
    </r>
  </si>
  <si>
    <t xml:space="preserve">cards.18.reversed.signs.0</t>
  </si>
  <si>
    <r>
      <rPr>
        <sz val="10"/>
        <rFont val="Noto Sans CJK SC"/>
        <family val="2"/>
      </rPr>
      <t xml:space="preserve">머릿속에서 정리가 끝난 부분부터 먼저 손을 대고 있어요</t>
    </r>
    <r>
      <rPr>
        <sz val="10"/>
        <rFont val="Malgun Gothic"/>
        <family val="0"/>
        <charset val="1"/>
      </rPr>
      <t xml:space="preserve">.</t>
    </r>
  </si>
  <si>
    <t xml:space="preserve">cards.18.reversed.signs.1</t>
  </si>
  <si>
    <r>
      <rPr>
        <sz val="10"/>
        <rFont val="Noto Sans CJK SC"/>
        <family val="2"/>
      </rPr>
      <t xml:space="preserve">남은 물음표를 종이에 옮기니 생각보다 개수가 많지 않다는 걸 알아채요</t>
    </r>
    <r>
      <rPr>
        <sz val="10"/>
        <rFont val="Malgun Gothic"/>
        <family val="0"/>
        <charset val="1"/>
      </rPr>
      <t xml:space="preserve">.</t>
    </r>
  </si>
  <si>
    <t xml:space="preserve">cards.18.reversed.signs.2</t>
  </si>
  <si>
    <r>
      <rPr>
        <sz val="10"/>
        <rFont val="Noto Sans CJK SC"/>
        <family val="2"/>
      </rPr>
      <t xml:space="preserve">이미 알게 된 것이 늘었다는 사실이 마음을 놓이게 해요</t>
    </r>
    <r>
      <rPr>
        <sz val="10"/>
        <rFont val="Malgun Gothic"/>
        <family val="0"/>
        <charset val="1"/>
      </rPr>
      <t xml:space="preserve">.</t>
    </r>
  </si>
  <si>
    <t xml:space="preserve">cards.19.signs.0</t>
  </si>
  <si>
    <r>
      <rPr>
        <sz val="10"/>
        <rFont val="Noto Sans CJK SC"/>
        <family val="2"/>
      </rPr>
      <t xml:space="preserve">맛있는 음식을 먹을 때 다음 일정을 잊고 천천히 맛을 느껴요</t>
    </r>
    <r>
      <rPr>
        <sz val="10"/>
        <rFont val="Malgun Gothic"/>
        <family val="0"/>
        <charset val="1"/>
      </rPr>
      <t xml:space="preserve">.</t>
    </r>
  </si>
  <si>
    <t xml:space="preserve">cards.19.signs.1</t>
  </si>
  <si>
    <r>
      <rPr>
        <sz val="10"/>
        <rFont val="Noto Sans CJK SC"/>
        <family val="2"/>
      </rPr>
      <t xml:space="preserve">좋은 일이 있던 날 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 장면을 한 번 더 떠올리며 웃어요</t>
    </r>
    <r>
      <rPr>
        <sz val="10"/>
        <rFont val="Malgun Gothic"/>
        <family val="0"/>
        <charset val="1"/>
      </rPr>
      <t xml:space="preserve">.</t>
    </r>
  </si>
  <si>
    <t xml:space="preserve">cards.19.signs.2</t>
  </si>
  <si>
    <r>
      <rPr>
        <sz val="10"/>
        <rFont val="Noto Sans CJK SC"/>
        <family val="2"/>
      </rPr>
      <t xml:space="preserve">쉬는 시간에도 쫓기지 않고 햇볕 아래에서 멍하니 앉아 있어요</t>
    </r>
    <r>
      <rPr>
        <sz val="10"/>
        <rFont val="Malgun Gothic"/>
        <family val="0"/>
        <charset val="1"/>
      </rPr>
      <t xml:space="preserve">.</t>
    </r>
  </si>
  <si>
    <t xml:space="preserve">cards.19.reversed.signs.0</t>
  </si>
  <si>
    <r>
      <rPr>
        <sz val="10"/>
        <rFont val="Noto Sans CJK SC"/>
        <family val="2"/>
      </rPr>
      <t xml:space="preserve">좋은 소식을 들으면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곧 안 좋은 일이 오겠지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하는 생각보다 기쁨이 먼저 와요</t>
    </r>
    <r>
      <rPr>
        <sz val="10"/>
        <rFont val="Malgun Gothic"/>
        <family val="0"/>
        <charset val="1"/>
      </rPr>
      <t xml:space="preserve">.</t>
    </r>
  </si>
  <si>
    <t xml:space="preserve">cards.19.reversed.signs.1</t>
  </si>
  <si>
    <r>
      <rPr>
        <sz val="10"/>
        <rFont val="Noto Sans CJK SC"/>
        <family val="2"/>
      </rPr>
      <t xml:space="preserve">칭찬을 들으면 손사래 치지 않고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기뻐요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하고 받습니다</t>
    </r>
    <r>
      <rPr>
        <sz val="10"/>
        <rFont val="Malgun Gothic"/>
        <family val="0"/>
        <charset val="1"/>
      </rPr>
      <t xml:space="preserve">.</t>
    </r>
  </si>
  <si>
    <t xml:space="preserve">cards.19.reversed.signs.2</t>
  </si>
  <si>
    <r>
      <rPr>
        <sz val="10"/>
        <rFont val="Noto Sans CJK SC"/>
        <family val="2"/>
      </rPr>
      <t xml:space="preserve">퇴근길에 사 먹는 간식 하나를 미루지 않고 즐깁니다</t>
    </r>
    <r>
      <rPr>
        <sz val="10"/>
        <rFont val="Malgun Gothic"/>
        <family val="0"/>
        <charset val="1"/>
      </rPr>
      <t xml:space="preserve">.</t>
    </r>
  </si>
  <si>
    <t xml:space="preserve">cards.20.signs.0</t>
  </si>
  <si>
    <r>
      <rPr>
        <sz val="10"/>
        <rFont val="Noto Sans CJK SC"/>
        <family val="2"/>
      </rPr>
      <t xml:space="preserve">오늘 무엇을 할지 고를 때 내가 소중히 여기는 것이 기준이 돼요</t>
    </r>
    <r>
      <rPr>
        <sz val="10"/>
        <rFont val="Malgun Gothic"/>
        <family val="0"/>
        <charset val="1"/>
      </rPr>
      <t xml:space="preserve">.</t>
    </r>
  </si>
  <si>
    <t xml:space="preserve">cards.20.signs.1</t>
  </si>
  <si>
    <r>
      <rPr>
        <sz val="10"/>
        <rFont val="Noto Sans CJK SC"/>
        <family val="2"/>
      </rPr>
      <t xml:space="preserve">작은 선택 앞에서도 이게 내가 바라는 방향인지 한 번 떠올려요</t>
    </r>
    <r>
      <rPr>
        <sz val="10"/>
        <rFont val="Malgun Gothic"/>
        <family val="0"/>
        <charset val="1"/>
      </rPr>
      <t xml:space="preserve">.</t>
    </r>
  </si>
  <si>
    <t xml:space="preserve">cards.20.signs.2</t>
  </si>
  <si>
    <r>
      <rPr>
        <sz val="10"/>
        <rFont val="Noto Sans CJK SC"/>
        <family val="2"/>
      </rPr>
      <t xml:space="preserve">남들이 좋다고 하는 일 중에서도 나에게 맞지 않는 건 내려놓을 수 있어요</t>
    </r>
    <r>
      <rPr>
        <sz val="10"/>
        <rFont val="Malgun Gothic"/>
        <family val="0"/>
        <charset val="1"/>
      </rPr>
      <t xml:space="preserve">.</t>
    </r>
  </si>
  <si>
    <t xml:space="preserve">cards.20.reversed.signs.0</t>
  </si>
  <si>
    <r>
      <rPr>
        <sz val="10"/>
        <rFont val="Noto Sans CJK SC"/>
        <family val="2"/>
      </rPr>
      <t xml:space="preserve">잘해야 한다는 생각 없이 끌리는 취미를 슬쩍 시작합니다</t>
    </r>
    <r>
      <rPr>
        <sz val="10"/>
        <rFont val="Malgun Gothic"/>
        <family val="0"/>
        <charset val="1"/>
      </rPr>
      <t xml:space="preserve">.</t>
    </r>
  </si>
  <si>
    <t xml:space="preserve">cards.20.reversed.signs.1</t>
  </si>
  <si>
    <r>
      <rPr>
        <sz val="10"/>
        <rFont val="Noto Sans CJK SC"/>
        <family val="2"/>
      </rPr>
      <t xml:space="preserve">흐릿하던 바람이 퇴근길에 문득 한 문장으로 떠오릅니다</t>
    </r>
    <r>
      <rPr>
        <sz val="10"/>
        <rFont val="Malgun Gothic"/>
        <family val="0"/>
        <charset val="1"/>
      </rPr>
      <t xml:space="preserve">.</t>
    </r>
  </si>
  <si>
    <t xml:space="preserve">cards.20.reversed.signs.2</t>
  </si>
  <si>
    <r>
      <rPr>
        <sz val="10"/>
        <rFont val="Noto Sans CJK SC"/>
        <family val="2"/>
      </rPr>
      <t xml:space="preserve">남들 눈에 어떨지보다 내가 하고 싶은지를 먼저 물어요</t>
    </r>
    <r>
      <rPr>
        <sz val="10"/>
        <rFont val="Malgun Gothic"/>
        <family val="0"/>
        <charset val="1"/>
      </rPr>
      <t xml:space="preserve">.</t>
    </r>
  </si>
  <si>
    <t xml:space="preserve">cards.21.signs.0</t>
  </si>
  <si>
    <r>
      <rPr>
        <sz val="10"/>
        <rFont val="Noto Sans CJK SC"/>
        <family val="2"/>
      </rPr>
      <t xml:space="preserve">한 해를 돌아보며 나를 도와준 사람들의 이름이 하나씩 떠오릅니다</t>
    </r>
    <r>
      <rPr>
        <sz val="10"/>
        <rFont val="Malgun Gothic"/>
        <family val="0"/>
        <charset val="1"/>
      </rPr>
      <t xml:space="preserve">.</t>
    </r>
  </si>
  <si>
    <t xml:space="preserve">cards.21.signs.1</t>
  </si>
  <si>
    <r>
      <rPr>
        <sz val="10"/>
        <rFont val="Noto Sans CJK SC"/>
        <family val="2"/>
      </rPr>
      <t xml:space="preserve">끝낸 일을 훑어보면서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여기까지 잘 왔네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하는 생각이 들어요</t>
    </r>
    <r>
      <rPr>
        <sz val="10"/>
        <rFont val="Malgun Gothic"/>
        <family val="0"/>
        <charset val="1"/>
      </rPr>
      <t xml:space="preserve">.</t>
    </r>
  </si>
  <si>
    <t xml:space="preserve">cards.21.signs.2</t>
  </si>
  <si>
    <r>
      <rPr>
        <sz val="10"/>
        <rFont val="Noto Sans CJK SC"/>
        <family val="2"/>
      </rPr>
      <t xml:space="preserve">새로운 시작이 부담스럽지 않고 가볍게 기다려집니다</t>
    </r>
    <r>
      <rPr>
        <sz val="10"/>
        <rFont val="Malgun Gothic"/>
        <family val="0"/>
        <charset val="1"/>
      </rPr>
      <t xml:space="preserve">.</t>
    </r>
  </si>
  <si>
    <t xml:space="preserve">cards.21.reversed.signs.0</t>
  </si>
  <si>
    <r>
      <rPr>
        <sz val="10"/>
        <rFont val="Noto Sans CJK SC"/>
        <family val="2"/>
      </rPr>
      <t xml:space="preserve">조금 아쉬워도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이 정도면 됐다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하고 일을 마무리해요</t>
    </r>
    <r>
      <rPr>
        <sz val="10"/>
        <rFont val="Malgun Gothic"/>
        <family val="0"/>
        <charset val="1"/>
      </rPr>
      <t xml:space="preserve">.</t>
    </r>
  </si>
  <si>
    <t xml:space="preserve">cards.21.reversed.signs.1</t>
  </si>
  <si>
    <r>
      <rPr>
        <sz val="10"/>
        <rFont val="Noto Sans CJK SC"/>
        <family val="2"/>
      </rPr>
      <t xml:space="preserve">고치고 또 고치던 습관이 줄고 제출 버튼을 누르는 순간이 빨라져요</t>
    </r>
    <r>
      <rPr>
        <sz val="10"/>
        <rFont val="Malgun Gothic"/>
        <family val="0"/>
        <charset val="1"/>
      </rPr>
      <t xml:space="preserve">.</t>
    </r>
  </si>
  <si>
    <t xml:space="preserve">cards.21.reversed.signs.2</t>
  </si>
  <si>
    <r>
      <rPr>
        <sz val="10"/>
        <rFont val="Noto Sans CJK SC"/>
        <family val="2"/>
      </rPr>
      <t xml:space="preserve">다 끝낸 날 저녁에는 못한 부분보다 끝냈다는 사실이 먼저 떠올라요</t>
    </r>
    <r>
      <rPr>
        <sz val="10"/>
        <rFont val="Malgun Gothic"/>
        <family val="0"/>
        <charset val="1"/>
      </rPr>
      <t xml:space="preserve">.</t>
    </r>
  </si>
  <si>
    <t xml:space="preserve">safety_keywords.urgent</t>
  </si>
  <si>
    <r>
      <rPr>
        <sz val="10"/>
        <rFont val="Noto Sans CJK SC"/>
        <family val="2"/>
      </rPr>
      <t xml:space="preserve">위험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카드 멈추고 안전 안내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</si>
  <si>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쉼표로 구분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띄어쓰기 없이</t>
    </r>
  </si>
  <si>
    <r>
      <rPr>
        <sz val="10"/>
        <rFont val="Noto Sans CJK SC"/>
        <family val="2"/>
      </rPr>
      <t xml:space="preserve">죽고싶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죽어버리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극단적선택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사라지고싶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살기싫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살고싶지않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유서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뛰어내리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목숨을끊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삶을끝내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인생을끝내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세상을떠나고싶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없어지고싶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다끝내고싶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그만살고싶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살이유가없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죽는게나을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죽을것같아서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약을모아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마지막인사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안깼으면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안깨어났으면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눈안떴으면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깨지않았으면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없어지는게맞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없는게나을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없는게낫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없으면다들편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없으면편할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살아있을이유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살이유를모르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살자신없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그만살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안사는게낫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영원히잠들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지워지고싶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따라가고싶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곁으로가고싶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내일이안왔으면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내일이안오길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죽는방법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저를해치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나를해치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저를다치게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나를다치게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나를아프게하는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먼저죽으면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사고라도났으면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사라져버리고싶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없는게다들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없는게주변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없으면다들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없으면오히려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끝내도될것같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다끝낼거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편지를써뒀</t>
    </r>
  </si>
  <si>
    <t xml:space="preserve">safety_keywords.urgent_raw</t>
  </si>
  <si>
    <r>
      <rPr>
        <sz val="10"/>
        <rFont val="Noto Sans CJK SC"/>
        <family val="2"/>
      </rPr>
      <t xml:space="preserve">위험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띄어쓰기 그대로 검사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두 글자 단어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</si>
  <si>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자살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자해</t>
    </r>
  </si>
  <si>
    <t xml:space="preserve">safety_keywords.watch</t>
  </si>
  <si>
    <r>
      <rPr>
        <sz val="10"/>
        <rFont val="Noto Sans CJK SC"/>
        <family val="2"/>
      </rPr>
      <t xml:space="preserve">주의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결과에 안내 박스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</si>
  <si>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너무힘들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버틸수가없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버티기힘들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아무의미없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아무것도못하겠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숨이막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무기력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잠을못자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매일울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혼자인것같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아무도없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지쳐서아무것도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우울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공황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밥을못먹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먹지를못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아무도날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사는게지옥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희망이없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내가없어지면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째못자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다그만두고싶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째못먹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째거의못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째밥이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밥이안넘어가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밥이한숟갈도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방에만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밖에안나가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출근을못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절대안바뀔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절대안생기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절대안바뀌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평생그럴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안마시면못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술없이는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술마셔야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한끼도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눈물만나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텅빈것같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아무것도안느껴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뭘해도안바뀔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해도안바뀔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앞으로도계속이럴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나아질게하나도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한숨도못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밥도못챙기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밥도제대로못챙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약도못챙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토해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게워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하루종일굶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굶기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하루에거의안먹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아무것도못먹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회사를못나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한발짝도</t>
    </r>
  </si>
  <si>
    <t xml:space="preserve">safety_keywords.violence</t>
  </si>
  <si>
    <r>
      <rPr>
        <sz val="10"/>
        <rFont val="Noto Sans CJK SC"/>
        <family val="2"/>
      </rPr>
      <t xml:space="preserve">폭력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통제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다가가기 실천 빼고 안내 박스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</si>
  <si>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때리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때렸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한테맞았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에게맞았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한테맞고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에게맞고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얻어맞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폭력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폭행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협박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위협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감시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휴대폰을검사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핸드폰을검사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폰을뒤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위치를공유하라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위치공유를강요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못만나게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물건을던지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스토킹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따라다니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밀쳤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목을조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가두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돈을뺏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욕설을퍼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벽을쳐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벽을치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물건을던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서류를던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집앞에매일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집앞에서기다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회사앞에서기다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카톡을다보여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폰을보여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폰비번알아야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비번을알아야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비번을다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위치공유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위치앱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어디있는지확인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통장을관리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통장을갖고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카드를가져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돈안주면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돈을안주면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가만안두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손을대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손을올리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밀쳐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뺨을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멍이들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문을부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행패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알리겠대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몰래보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몰래읽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번호바꿔도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새계정까지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찾아내서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만나는걸싫어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죽어버리겠대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하루종일전화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직장에계속전화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들어왔던흔적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눈치봐요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큰일나서</t>
    </r>
  </si>
  <si>
    <t xml:space="preserve">safety_keywords.exclude</t>
  </si>
  <si>
    <r>
      <rPr>
        <sz val="10"/>
        <rFont val="Noto Sans CJK SC"/>
        <family val="2"/>
      </rPr>
      <t xml:space="preserve">오탐 예외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이 표현은 지우고 검사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</si>
  <si>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사라지고싶을만큼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사라지고싶었어요ㅋ</t>
    </r>
  </si>
  <si>
    <t xml:space="preserve">combo.story_p1.START_START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</si>
  <si>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문단 지나온 길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지금의 흐름 시작→시작</t>
    </r>
  </si>
  <si>
    <r>
      <rPr>
        <sz val="10"/>
        <rFont val="Noto Sans CJK SC"/>
        <family val="2"/>
      </rPr>
      <t xml:space="preserve">그동안의 방식 → 지금의 작용</t>
    </r>
    <r>
      <rPr>
        <sz val="10"/>
        <rFont val="Malgun Gothic"/>
        <family val="0"/>
        <charset val="1"/>
      </rPr>
      <t xml:space="preserve">(2~3</t>
    </r>
    <r>
      <rPr>
        <sz val="10"/>
        <rFont val="Noto Sans CJK SC"/>
        <family val="2"/>
      </rPr>
      <t xml:space="preserve">문장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</si>
  <si>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하고 싶은 일이 생겨도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조금 더 준비되면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이라며 뒤로 미루거나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반대로 정리되기 전에 먼저 뛰어들어 온 날이 많았을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방식이 지금은 더 굳어져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시작하지 못한 일이 쌓일수록 답답함과 조급함도 함께 커지는 흐름으로 이어지고 있습니다</t>
    </r>
    <r>
      <rPr>
        <sz val="10"/>
        <rFont val="Malgun Gothic"/>
        <family val="0"/>
        <charset val="1"/>
      </rPr>
      <t xml:space="preserve">.</t>
    </r>
  </si>
  <si>
    <t xml:space="preserve">combo.story_p1.START_CHOOSE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</si>
  <si>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문단 지나온 길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지금의 흐름 시작→선택</t>
    </r>
  </si>
  <si>
    <r>
      <rPr>
        <sz val="10"/>
        <rFont val="Noto Sans CJK SC"/>
        <family val="2"/>
      </rPr>
      <t xml:space="preserve">하고 싶은 일이 생겨도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조금 더 준비되면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이라며 뒤로 미루거나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반대로 정리되기 전에 먼저 뛰어들어 온 날이 많았을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방식이 쌓이면서 지금은 생각이 많아 결정이 자꾸 늦어지고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쌓인 선택지가 오히려 무겁게 느껴지는 흐름으로 이어지고 있어요</t>
    </r>
    <r>
      <rPr>
        <sz val="10"/>
        <rFont val="Malgun Gothic"/>
        <family val="0"/>
        <charset val="1"/>
      </rPr>
      <t xml:space="preserve">.</t>
    </r>
  </si>
  <si>
    <t xml:space="preserve">combo.story_p1.START_CONNECT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</si>
  <si>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문단 지나온 길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지금의 흐름 시작→연결</t>
    </r>
  </si>
  <si>
    <r>
      <rPr>
        <sz val="10"/>
        <rFont val="Noto Sans CJK SC"/>
        <family val="2"/>
      </rPr>
      <t xml:space="preserve">하고 싶은 일이 생겨도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조금 더 준비되면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이라며 뒤로 미루거나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반대로 정리되기 전에 먼저 뛰어들어 온 날이 많았을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방식이 쌓이면서 지금은 서로 기대하는 것이 엇갈리거나 거리가 느껴질 때마다 마음이 크게 흔들리는 흐름으로 이어지고 있어요</t>
    </r>
    <r>
      <rPr>
        <sz val="10"/>
        <rFont val="Malgun Gothic"/>
        <family val="0"/>
        <charset val="1"/>
      </rPr>
      <t xml:space="preserve">.</t>
    </r>
  </si>
  <si>
    <t xml:space="preserve">combo.story_p1.START_REST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</si>
  <si>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문단 지나온 길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지금의 흐름 시작→쉼</t>
    </r>
  </si>
  <si>
    <r>
      <rPr>
        <sz val="10"/>
        <rFont val="Noto Sans CJK SC"/>
        <family val="2"/>
      </rPr>
      <t xml:space="preserve">하고 싶은 일이 생겨도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조금 더 준비되면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이라며 뒤로 미루거나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반대로 정리되기 전에 먼저 뛰어들어 온 날이 많았을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방식이 쌓이면서 지금은 바닥난 힘 때문에 판단도 기분도 무겁게 가라앉는 흐름으로 이어지고 있어요</t>
    </r>
    <r>
      <rPr>
        <sz val="10"/>
        <rFont val="Malgun Gothic"/>
        <family val="0"/>
        <charset val="1"/>
      </rPr>
      <t xml:space="preserve">.</t>
    </r>
  </si>
  <si>
    <t xml:space="preserve">combo.story_p1.START_BOUNDARY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</si>
  <si>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문단 지나온 길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지금의 흐름 시작→경계</t>
    </r>
  </si>
  <si>
    <r>
      <rPr>
        <sz val="10"/>
        <rFont val="Noto Sans CJK SC"/>
        <family val="2"/>
      </rPr>
      <t xml:space="preserve">하고 싶은 일이 생겨도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조금 더 준비되면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이라며 뒤로 미루거나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반대로 정리되기 전에 먼저 뛰어들어 온 날이 많았을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방식이 쌓이면서 지금은 다 내가 챙기고 쥐고 있어야 한다는 마음이 나를 지치게 하는 흐름으로 이어지고 있어요</t>
    </r>
    <r>
      <rPr>
        <sz val="10"/>
        <rFont val="Malgun Gothic"/>
        <family val="0"/>
        <charset val="1"/>
      </rPr>
      <t xml:space="preserve">.</t>
    </r>
  </si>
  <si>
    <t xml:space="preserve">combo.story_p1.START_LETGO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</si>
  <si>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문단 지나온 길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지금의 흐름 시작→놓아주기</t>
    </r>
  </si>
  <si>
    <r>
      <rPr>
        <sz val="10"/>
        <rFont val="Noto Sans CJK SC"/>
        <family val="2"/>
      </rPr>
      <t xml:space="preserve">하고 싶은 일이 생겨도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조금 더 준비되면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이라며 뒤로 미루거나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반대로 정리되기 전에 먼저 뛰어들어 온 날이 많았을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방식이 쌓이면서 지금은 바꿀 수 없는 일에 힘이 자꾸 새어 나가 정작 오늘 쓸 힘이 모자란 흐름으로 이어지고 있습니다</t>
    </r>
    <r>
      <rPr>
        <sz val="10"/>
        <rFont val="Malgun Gothic"/>
        <family val="0"/>
        <charset val="1"/>
      </rPr>
      <t xml:space="preserve">.</t>
    </r>
  </si>
  <si>
    <t xml:space="preserve">combo.story_p1.CHOOSE_START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</si>
  <si>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문단 지나온 길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지금의 흐름 선택→시작</t>
    </r>
  </si>
  <si>
    <r>
      <rPr>
        <sz val="10"/>
        <rFont val="Noto Sans CJK SC"/>
        <family val="2"/>
      </rPr>
      <t xml:space="preserve">메뉴 하나를 고를 때도 이것저것 따져 보다 결정을 내일로 미루거나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남들이 고른 쪽을 따라 온 날이 많았을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방식이 쌓이면서 지금은 시작하지 못한 일이 마음 한쪽에 남아 답답하거나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나만 뒤처지는 것 같아 조급해지는 흐름으로 이어지고 있어요</t>
    </r>
    <r>
      <rPr>
        <sz val="10"/>
        <rFont val="Malgun Gothic"/>
        <family val="0"/>
        <charset val="1"/>
      </rPr>
      <t xml:space="preserve">.</t>
    </r>
  </si>
  <si>
    <t xml:space="preserve">combo.story_p1.CHOOSE_CHOOSE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</si>
  <si>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문단 지나온 길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지금의 흐름 선택→선택</t>
    </r>
  </si>
  <si>
    <r>
      <rPr>
        <sz val="10"/>
        <rFont val="Noto Sans CJK SC"/>
        <family val="2"/>
      </rPr>
      <t xml:space="preserve">메뉴 하나를 고를 때도 이것저것 따져 보다 결정을 내일로 미루거나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남들이 고른 쪽을 따라 온 날이 많았을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방식이 지금은 더 굳어져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따져 볼 것이 늘수록 결정은 더 늦어지고 선택지만 무겁게 쌓이는 흐름으로 이어지고 있어요</t>
    </r>
    <r>
      <rPr>
        <sz val="10"/>
        <rFont val="Malgun Gothic"/>
        <family val="0"/>
        <charset val="1"/>
      </rPr>
      <t xml:space="preserve">.</t>
    </r>
  </si>
  <si>
    <t xml:space="preserve">combo.story_p1.CHOOSE_CONNECT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</si>
  <si>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문단 지나온 길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지금의 흐름 선택→연결</t>
    </r>
  </si>
  <si>
    <r>
      <rPr>
        <sz val="10"/>
        <rFont val="Noto Sans CJK SC"/>
        <family val="2"/>
      </rPr>
      <t xml:space="preserve">메뉴 하나를 고를 때도 이것저것 따져 보다 결정을 내일로 미루거나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남들이 고른 쪽을 따라 온 날이 많았을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방식이 쌓이면서 지금은 서로 기대하는 것이 엇갈리거나 거리가 느껴질 때마다 마음이 크게 흔들리는 흐름으로 이어지고 있습니다</t>
    </r>
    <r>
      <rPr>
        <sz val="10"/>
        <rFont val="Malgun Gothic"/>
        <family val="0"/>
        <charset val="1"/>
      </rPr>
      <t xml:space="preserve">.</t>
    </r>
  </si>
  <si>
    <t xml:space="preserve">combo.story_p1.CHOOSE_REST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</si>
  <si>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문단 지나온 길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지금의 흐름 선택→쉼</t>
    </r>
  </si>
  <si>
    <r>
      <rPr>
        <sz val="10"/>
        <rFont val="Noto Sans CJK SC"/>
        <family val="2"/>
      </rPr>
      <t xml:space="preserve">메뉴 하나를 고를 때도 이것저것 따져 보다 결정을 내일로 미루거나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남들이 고른 쪽을 따라 온 날이 많았을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방식이 쌓이면서 지금은 바닥난 힘 때문에 판단도 기분도 무겁게 가라앉는 흐름으로 이어지고 있습니다</t>
    </r>
    <r>
      <rPr>
        <sz val="10"/>
        <rFont val="Malgun Gothic"/>
        <family val="0"/>
        <charset val="1"/>
      </rPr>
      <t xml:space="preserve">.</t>
    </r>
  </si>
  <si>
    <t xml:space="preserve">combo.story_p1.CHOOSE_BOUNDARY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</si>
  <si>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문단 지나온 길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지금의 흐름 선택→경계</t>
    </r>
  </si>
  <si>
    <r>
      <rPr>
        <sz val="10"/>
        <rFont val="Noto Sans CJK SC"/>
        <family val="2"/>
      </rPr>
      <t xml:space="preserve">메뉴 하나를 고를 때도 이것저것 따져 보다 결정을 내일로 미루거나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남들이 고른 쪽을 따라 온 날이 많았을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방식이 쌓이면서 지금은 다 내가 챙기고 쥐고 있어야 한다는 마음이 나를 지치게 하는 흐름으로 이어지고 있어요</t>
    </r>
    <r>
      <rPr>
        <sz val="10"/>
        <rFont val="Malgun Gothic"/>
        <family val="0"/>
        <charset val="1"/>
      </rPr>
      <t xml:space="preserve">.</t>
    </r>
  </si>
  <si>
    <t xml:space="preserve">combo.story_p1.CHOOSE_LETGO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</si>
  <si>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문단 지나온 길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지금의 흐름 선택→놓아주기</t>
    </r>
  </si>
  <si>
    <r>
      <rPr>
        <sz val="10"/>
        <rFont val="Noto Sans CJK SC"/>
        <family val="2"/>
      </rPr>
      <t xml:space="preserve">메뉴 하나를 고를 때도 이것저것 따져 보다 결정을 내일로 미루거나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남들이 고른 쪽을 따라 온 날이 많았을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방식이 쌓이면서 지금은 바꿀 수 없는 일에 힘이 자꾸 새어 나가 정작 오늘 쓸 힘이 모자란 흐름으로 이어지고 있어요</t>
    </r>
    <r>
      <rPr>
        <sz val="10"/>
        <rFont val="Malgun Gothic"/>
        <family val="0"/>
        <charset val="1"/>
      </rPr>
      <t xml:space="preserve">.</t>
    </r>
  </si>
  <si>
    <t xml:space="preserve">combo.story_p1.CONNECT_START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</si>
  <si>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문단 지나온 길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지금의 흐름 연결→시작</t>
    </r>
  </si>
  <si>
    <r>
      <rPr>
        <sz val="10"/>
        <rFont val="Noto Sans CJK SC"/>
        <family val="2"/>
      </rPr>
      <t xml:space="preserve">상대가 어떻게 받아들일지부터 살피고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보낸 메시지에 답이 없으면 마음에 걸려 하며 관계에 마음을 많이 써 왔을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방식이 쌓이면서 지금은 시작하지 못한 일이 마음 한쪽에 남아 답답하거나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나만 뒤처지는 것 같아 조급해지는 흐름으로 이어지고 있습니다</t>
    </r>
    <r>
      <rPr>
        <sz val="10"/>
        <rFont val="Malgun Gothic"/>
        <family val="0"/>
        <charset val="1"/>
      </rPr>
      <t xml:space="preserve">.</t>
    </r>
  </si>
  <si>
    <t xml:space="preserve">combo.story_p1.CONNECT_CHOOSE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</si>
  <si>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문단 지나온 길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지금의 흐름 연결→선택</t>
    </r>
  </si>
  <si>
    <r>
      <rPr>
        <sz val="10"/>
        <rFont val="Noto Sans CJK SC"/>
        <family val="2"/>
      </rPr>
      <t xml:space="preserve">상대가 어떻게 받아들일지부터 살피고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보낸 메시지에 답이 없으면 마음에 걸려 하며 관계에 마음을 많이 써 왔을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방식이 쌓이면서 지금은 생각이 많아 결정이 자꾸 늦어지고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쌓인 선택지가 오히려 무겁게 느껴지는 흐름으로 이어지고 있어요</t>
    </r>
    <r>
      <rPr>
        <sz val="10"/>
        <rFont val="Malgun Gothic"/>
        <family val="0"/>
        <charset val="1"/>
      </rPr>
      <t xml:space="preserve">.</t>
    </r>
  </si>
  <si>
    <t xml:space="preserve">combo.story_p1.CONNECT_CONNECT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</si>
  <si>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문단 지나온 길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지금의 흐름 연결→연결</t>
    </r>
  </si>
  <si>
    <r>
      <rPr>
        <sz val="10"/>
        <rFont val="Noto Sans CJK SC"/>
        <family val="2"/>
      </rPr>
      <t xml:space="preserve">상대가 어떻게 받아들일지부터 살피고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보낸 메시지에 답이 없으면 마음에 걸려 하며 관계에 마음을 많이 써 왔을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방식이 지금은 더 굳어져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상대 반응 하나에도 마음이 크게 흔들리고 거리감에 더 예민해지는 흐름으로 이어지고 있어요</t>
    </r>
    <r>
      <rPr>
        <sz val="10"/>
        <rFont val="Malgun Gothic"/>
        <family val="0"/>
        <charset val="1"/>
      </rPr>
      <t xml:space="preserve">.</t>
    </r>
  </si>
  <si>
    <t xml:space="preserve">combo.story_p1.CONNECT_REST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</si>
  <si>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문단 지나온 길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지금의 흐름 연결→쉼</t>
    </r>
  </si>
  <si>
    <r>
      <rPr>
        <sz val="10"/>
        <rFont val="Noto Sans CJK SC"/>
        <family val="2"/>
      </rPr>
      <t xml:space="preserve">상대가 어떻게 받아들일지부터 살피고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보낸 메시지에 답이 없으면 마음에 걸려 하며 관계에 마음을 많이 써 왔을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방식이 쌓이면서 지금은 바닥난 힘 때문에 판단도 기분도 무겁게 가라앉는 흐름으로 이어지고 있습니다</t>
    </r>
    <r>
      <rPr>
        <sz val="10"/>
        <rFont val="Malgun Gothic"/>
        <family val="0"/>
        <charset val="1"/>
      </rPr>
      <t xml:space="preserve">.</t>
    </r>
  </si>
  <si>
    <t xml:space="preserve">combo.story_p1.CONNECT_BOUNDARY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</si>
  <si>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문단 지나온 길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지금의 흐름 연결→경계</t>
    </r>
  </si>
  <si>
    <r>
      <rPr>
        <sz val="10"/>
        <rFont val="Noto Sans CJK SC"/>
        <family val="2"/>
      </rPr>
      <t xml:space="preserve">상대가 어떻게 받아들일지부터 살피고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보낸 메시지에 답이 없으면 마음에 걸려 하며 관계에 마음을 많이 써 왔을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방식이 쌓이면서 지금은 다 내가 챙기고 쥐고 있어야 한다는 마음이 나를 지치게 하는 흐름으로 이어지고 있어요</t>
    </r>
    <r>
      <rPr>
        <sz val="10"/>
        <rFont val="Malgun Gothic"/>
        <family val="0"/>
        <charset val="1"/>
      </rPr>
      <t xml:space="preserve">.</t>
    </r>
  </si>
  <si>
    <t xml:space="preserve">combo.story_p1.CONNECT_LETGO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</si>
  <si>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문단 지나온 길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지금의 흐름 연결→놓아주기</t>
    </r>
  </si>
  <si>
    <r>
      <rPr>
        <sz val="10"/>
        <rFont val="Noto Sans CJK SC"/>
        <family val="2"/>
      </rPr>
      <t xml:space="preserve">상대가 어떻게 받아들일지부터 살피고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보낸 메시지에 답이 없으면 마음에 걸려 하며 관계에 마음을 많이 써 왔을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방식이 쌓이면서 지금은 바꿀 수 없는 일에 힘이 자꾸 새어 나가 정작 오늘 쓸 힘이 모자란 흐름으로 이어지고 있습니다</t>
    </r>
    <r>
      <rPr>
        <sz val="10"/>
        <rFont val="Malgun Gothic"/>
        <family val="0"/>
        <charset val="1"/>
      </rPr>
      <t xml:space="preserve">.</t>
    </r>
  </si>
  <si>
    <t xml:space="preserve">combo.story_p1.REST_START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</si>
  <si>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문단 지나온 길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지금의 흐름 쉼→시작</t>
    </r>
  </si>
  <si>
    <r>
      <rPr>
        <sz val="10"/>
        <rFont val="Noto Sans CJK SC"/>
        <family val="2"/>
      </rPr>
      <t xml:space="preserve">쉬는 날에도 메시지를 확인하고 피곤하다는 몸의 신호를 넘기면서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쉬지 않고 버텨 왔을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방식이 쌓이면서 지금은 시작하지 못한 일이 마음 한쪽에 남아 답답하거나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나만 뒤처지는 것 같아 조급해지는 흐름으로 이어지고 있습니다</t>
    </r>
    <r>
      <rPr>
        <sz val="10"/>
        <rFont val="Malgun Gothic"/>
        <family val="0"/>
        <charset val="1"/>
      </rPr>
      <t xml:space="preserve">.</t>
    </r>
  </si>
  <si>
    <t xml:space="preserve">combo.story_p1.REST_CHOOSE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</si>
  <si>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문단 지나온 길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지금의 흐름 쉼→선택</t>
    </r>
  </si>
  <si>
    <r>
      <rPr>
        <sz val="10"/>
        <rFont val="Noto Sans CJK SC"/>
        <family val="2"/>
      </rPr>
      <t xml:space="preserve">쉬는 날에도 메시지를 확인하고 피곤하다는 몸의 신호를 넘기면서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쉬지 않고 버텨 왔을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방식이 쌓이면서 지금은 생각이 많아 결정이 자꾸 늦어지고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쌓인 선택지가 오히려 무겁게 느껴지는 흐름으로 이어지고 있습니다</t>
    </r>
    <r>
      <rPr>
        <sz val="10"/>
        <rFont val="Malgun Gothic"/>
        <family val="0"/>
        <charset val="1"/>
      </rPr>
      <t xml:space="preserve">.</t>
    </r>
  </si>
  <si>
    <t xml:space="preserve">combo.story_p1.REST_CONNECT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</si>
  <si>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문단 지나온 길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지금의 흐름 쉼→연결</t>
    </r>
  </si>
  <si>
    <r>
      <rPr>
        <sz val="10"/>
        <rFont val="Noto Sans CJK SC"/>
        <family val="2"/>
      </rPr>
      <t xml:space="preserve">쉬는 날에도 메시지를 확인하고 피곤하다는 몸의 신호를 넘기면서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쉬지 않고 버텨 왔을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방식이 쌓이면서 지금은 서로 기대하는 것이 엇갈리거나 거리가 느껴질 때마다 마음이 크게 흔들리는 흐름으로 이어지고 있어요</t>
    </r>
    <r>
      <rPr>
        <sz val="10"/>
        <rFont val="Malgun Gothic"/>
        <family val="0"/>
        <charset val="1"/>
      </rPr>
      <t xml:space="preserve">.</t>
    </r>
  </si>
  <si>
    <t xml:space="preserve">combo.story_p1.REST_REST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</si>
  <si>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문단 지나온 길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지금의 흐름 쉼→쉼</t>
    </r>
  </si>
  <si>
    <r>
      <rPr>
        <sz val="10"/>
        <rFont val="Noto Sans CJK SC"/>
        <family val="2"/>
      </rPr>
      <t xml:space="preserve">쉬는 날에도 메시지를 확인하고 피곤하다는 몸의 신호를 넘기면서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쉬지 않고 버텨 왔을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방식이 지금은 더 굳어져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쉬어야 할 때를 놓친 채 바닥난 힘이 판단과 기분까지 무겁게 하는 흐름으로 이어지고 있습니다</t>
    </r>
    <r>
      <rPr>
        <sz val="10"/>
        <rFont val="Malgun Gothic"/>
        <family val="0"/>
        <charset val="1"/>
      </rPr>
      <t xml:space="preserve">.</t>
    </r>
  </si>
  <si>
    <t xml:space="preserve">combo.story_p1.REST_BOUNDARY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</si>
  <si>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문단 지나온 길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지금의 흐름 쉼→경계</t>
    </r>
  </si>
  <si>
    <r>
      <rPr>
        <sz val="10"/>
        <rFont val="Noto Sans CJK SC"/>
        <family val="2"/>
      </rPr>
      <t xml:space="preserve">쉬는 날에도 메시지를 확인하고 피곤하다는 몸의 신호를 넘기면서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쉬지 않고 버텨 왔을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방식이 쌓이면서 지금은 다 내가 챙기고 쥐고 있어야 한다는 마음이 나를 지치게 하는 흐름으로 이어지고 있어요</t>
    </r>
    <r>
      <rPr>
        <sz val="10"/>
        <rFont val="Malgun Gothic"/>
        <family val="0"/>
        <charset val="1"/>
      </rPr>
      <t xml:space="preserve">.</t>
    </r>
  </si>
  <si>
    <t xml:space="preserve">combo.story_p1.REST_LETGO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</si>
  <si>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문단 지나온 길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지금의 흐름 쉼→놓아주기</t>
    </r>
  </si>
  <si>
    <r>
      <rPr>
        <sz val="10"/>
        <rFont val="Noto Sans CJK SC"/>
        <family val="2"/>
      </rPr>
      <t xml:space="preserve">쉬는 날에도 메시지를 확인하고 피곤하다는 몸의 신호를 넘기면서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쉬지 않고 버텨 왔을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방식이 쌓이면서 지금은 바꿀 수 없는 일에 힘이 자꾸 새어 나가 정작 오늘 쓸 힘이 모자란 흐름으로 이어지고 있습니다</t>
    </r>
    <r>
      <rPr>
        <sz val="10"/>
        <rFont val="Malgun Gothic"/>
        <family val="0"/>
        <charset val="1"/>
      </rPr>
      <t xml:space="preserve">.</t>
    </r>
  </si>
  <si>
    <t xml:space="preserve">combo.story_p1.BOUNDARY_START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</si>
  <si>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문단 지나온 길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지금의 흐름 경계→시작</t>
    </r>
  </si>
  <si>
    <r>
      <rPr>
        <sz val="10"/>
        <rFont val="Noto Sans CJK SC"/>
        <family val="2"/>
      </rPr>
      <t xml:space="preserve">부탁을 거절하지 못해 혼자 떠안거나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내 것을 지키려고 모든 걸 꽉 쥐고 있어야 마음이 놓이는 방식으로 지내 왔을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방식이 쌓이면서 지금은 시작하지 못한 일이 마음 한쪽에 남아 답답하거나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나만 뒤처지는 것 같아 조급해지는 흐름으로 이어지고 있습니다</t>
    </r>
    <r>
      <rPr>
        <sz val="10"/>
        <rFont val="Malgun Gothic"/>
        <family val="0"/>
        <charset val="1"/>
      </rPr>
      <t xml:space="preserve">.</t>
    </r>
  </si>
  <si>
    <t xml:space="preserve">combo.story_p1.BOUNDARY_CHOOSE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</si>
  <si>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문단 지나온 길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지금의 흐름 경계→선택</t>
    </r>
  </si>
  <si>
    <r>
      <rPr>
        <sz val="10"/>
        <rFont val="Noto Sans CJK SC"/>
        <family val="2"/>
      </rPr>
      <t xml:space="preserve">부탁을 거절하지 못해 혼자 떠안거나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내 것을 지키려고 모든 걸 꽉 쥐고 있어야 마음이 놓이는 방식으로 지내 왔을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방식이 쌓이면서 지금은 생각이 많아 결정이 자꾸 늦어지고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쌓인 선택지가 오히려 무겁게 느껴지는 흐름으로 이어지고 있어요</t>
    </r>
    <r>
      <rPr>
        <sz val="10"/>
        <rFont val="Malgun Gothic"/>
        <family val="0"/>
        <charset val="1"/>
      </rPr>
      <t xml:space="preserve">.</t>
    </r>
  </si>
  <si>
    <t xml:space="preserve">combo.story_p1.BOUNDARY_CONNECT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</si>
  <si>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문단 지나온 길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지금의 흐름 경계→연결</t>
    </r>
  </si>
  <si>
    <r>
      <rPr>
        <sz val="10"/>
        <rFont val="Noto Sans CJK SC"/>
        <family val="2"/>
      </rPr>
      <t xml:space="preserve">부탁을 거절하지 못해 혼자 떠안거나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내 것을 지키려고 모든 걸 꽉 쥐고 있어야 마음이 놓이는 방식으로 지내 왔을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방식이 쌓이면서 지금은 서로 기대하는 것이 엇갈리거나 거리가 느껴질 때마다 마음이 크게 흔들리는 흐름으로 이어지고 있습니다</t>
    </r>
    <r>
      <rPr>
        <sz val="10"/>
        <rFont val="Malgun Gothic"/>
        <family val="0"/>
        <charset val="1"/>
      </rPr>
      <t xml:space="preserve">.</t>
    </r>
  </si>
  <si>
    <t xml:space="preserve">combo.story_p1.BOUNDARY_REST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</si>
  <si>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문단 지나온 길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지금의 흐름 경계→쉼</t>
    </r>
  </si>
  <si>
    <r>
      <rPr>
        <sz val="10"/>
        <rFont val="Noto Sans CJK SC"/>
        <family val="2"/>
      </rPr>
      <t xml:space="preserve">부탁을 거절하지 못해 혼자 떠안거나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내 것을 지키려고 모든 걸 꽉 쥐고 있어야 마음이 놓이는 방식으로 지내 왔을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방식이 쌓이면서 지금은 바닥난 힘 때문에 판단도 기분도 무겁게 가라앉는 흐름으로 이어지고 있어요</t>
    </r>
    <r>
      <rPr>
        <sz val="10"/>
        <rFont val="Malgun Gothic"/>
        <family val="0"/>
        <charset val="1"/>
      </rPr>
      <t xml:space="preserve">.</t>
    </r>
  </si>
  <si>
    <t xml:space="preserve">combo.story_p1.BOUNDARY_BOUNDARY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</si>
  <si>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문단 지나온 길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지금의 흐름 경계→경계</t>
    </r>
  </si>
  <si>
    <r>
      <rPr>
        <sz val="10"/>
        <rFont val="Noto Sans CJK SC"/>
        <family val="2"/>
      </rPr>
      <t xml:space="preserve">부탁을 거절하지 못해 혼자 떠안거나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내 것을 지키려고 모든 걸 꽉 쥐고 있어야 마음이 놓이는 방식으로 지내 왔을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방식이 지금은 더 굳어져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점점 더 많은 것을 혼자 쥐고 챙기느라 쉽게 지치는 흐름으로 이어지고 있어요</t>
    </r>
    <r>
      <rPr>
        <sz val="10"/>
        <rFont val="Malgun Gothic"/>
        <family val="0"/>
        <charset val="1"/>
      </rPr>
      <t xml:space="preserve">.</t>
    </r>
  </si>
  <si>
    <t xml:space="preserve">combo.story_p1.BOUNDARY_LETGO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</si>
  <si>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문단 지나온 길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지금의 흐름 경계→놓아주기</t>
    </r>
  </si>
  <si>
    <r>
      <rPr>
        <sz val="10"/>
        <rFont val="Noto Sans CJK SC"/>
        <family val="2"/>
      </rPr>
      <t xml:space="preserve">부탁을 거절하지 못해 혼자 떠안거나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내 것을 지키려고 모든 걸 꽉 쥐고 있어야 마음이 놓이는 방식으로 지내 왔을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방식이 쌓이면서 지금은 바꿀 수 없는 일에 힘이 자꾸 새어 나가 정작 오늘 쓸 힘이 모자란 흐름으로 이어지고 있습니다</t>
    </r>
    <r>
      <rPr>
        <sz val="10"/>
        <rFont val="Malgun Gothic"/>
        <family val="0"/>
        <charset val="1"/>
      </rPr>
      <t xml:space="preserve">.</t>
    </r>
  </si>
  <si>
    <t xml:space="preserve">combo.story_p1.LETGO_START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</si>
  <si>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문단 지나온 길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지금의 흐름 놓아주기→시작</t>
    </r>
  </si>
  <si>
    <r>
      <rPr>
        <sz val="10"/>
        <rFont val="Noto Sans CJK SC"/>
        <family val="2"/>
      </rPr>
      <t xml:space="preserve">이미 끝난 일을 두고 그때 왜 그랬을까 되짚어 보며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지난 실패를 쉽게 내려놓지 못해 온 날이 많았을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방식이 쌓이면서 지금은 시작하지 못한 일이 마음 한쪽에 남아 답답하거나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나만 뒤처지는 것 같아 조급해지는 흐름으로 이어지고 있습니다</t>
    </r>
    <r>
      <rPr>
        <sz val="10"/>
        <rFont val="Malgun Gothic"/>
        <family val="0"/>
        <charset val="1"/>
      </rPr>
      <t xml:space="preserve">.</t>
    </r>
  </si>
  <si>
    <t xml:space="preserve">combo.story_p1.LETGO_CHOOSE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</si>
  <si>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문단 지나온 길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지금의 흐름 놓아주기→선택</t>
    </r>
  </si>
  <si>
    <r>
      <rPr>
        <sz val="10"/>
        <rFont val="Noto Sans CJK SC"/>
        <family val="2"/>
      </rPr>
      <t xml:space="preserve">이미 끝난 일을 두고 그때 왜 그랬을까 되짚어 보며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지난 실패를 쉽게 내려놓지 못해 온 날이 많았을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방식이 쌓이면서 지금은 생각이 많아 결정이 자꾸 늦어지고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쌓인 선택지가 오히려 무겁게 느껴지는 흐름으로 이어지고 있습니다</t>
    </r>
    <r>
      <rPr>
        <sz val="10"/>
        <rFont val="Malgun Gothic"/>
        <family val="0"/>
        <charset val="1"/>
      </rPr>
      <t xml:space="preserve">.</t>
    </r>
  </si>
  <si>
    <t xml:space="preserve">combo.story_p1.LETGO_CONNECT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</si>
  <si>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문단 지나온 길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지금의 흐름 놓아주기→연결</t>
    </r>
  </si>
  <si>
    <r>
      <rPr>
        <sz val="10"/>
        <rFont val="Noto Sans CJK SC"/>
        <family val="2"/>
      </rPr>
      <t xml:space="preserve">이미 끝난 일을 두고 그때 왜 그랬을까 되짚어 보며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지난 실패를 쉽게 내려놓지 못해 온 날이 많았을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방식이 쌓이면서 지금은 서로 기대하는 것이 엇갈리거나 거리가 느껴질 때마다 마음이 크게 흔들리는 흐름으로 이어지고 있습니다</t>
    </r>
    <r>
      <rPr>
        <sz val="10"/>
        <rFont val="Malgun Gothic"/>
        <family val="0"/>
        <charset val="1"/>
      </rPr>
      <t xml:space="preserve">.</t>
    </r>
  </si>
  <si>
    <t xml:space="preserve">combo.story_p1.LETGO_REST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</si>
  <si>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문단 지나온 길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지금의 흐름 놓아주기→쉼</t>
    </r>
  </si>
  <si>
    <r>
      <rPr>
        <sz val="10"/>
        <rFont val="Noto Sans CJK SC"/>
        <family val="2"/>
      </rPr>
      <t xml:space="preserve">이미 끝난 일을 두고 그때 왜 그랬을까 되짚어 보며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지난 실패를 쉽게 내려놓지 못해 온 날이 많았을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방식이 쌓이면서 지금은 바닥난 힘 때문에 판단도 기분도 무겁게 가라앉는 흐름으로 이어지고 있습니다</t>
    </r>
    <r>
      <rPr>
        <sz val="10"/>
        <rFont val="Malgun Gothic"/>
        <family val="0"/>
        <charset val="1"/>
      </rPr>
      <t xml:space="preserve">.</t>
    </r>
  </si>
  <si>
    <t xml:space="preserve">combo.story_p1.LETGO_BOUNDARY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</si>
  <si>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문단 지나온 길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지금의 흐름 놓아주기→경계</t>
    </r>
  </si>
  <si>
    <r>
      <rPr>
        <sz val="10"/>
        <rFont val="Noto Sans CJK SC"/>
        <family val="2"/>
      </rPr>
      <t xml:space="preserve">이미 끝난 일을 두고 그때 왜 그랬을까 되짚어 보며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지난 실패를 쉽게 내려놓지 못해 온 날이 많았을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방식이 쌓이면서 지금은 다 내가 챙기고 쥐고 있어야 한다는 마음이 나를 지치게 하는 흐름으로 이어지고 있습니다</t>
    </r>
    <r>
      <rPr>
        <sz val="10"/>
        <rFont val="Malgun Gothic"/>
        <family val="0"/>
        <charset val="1"/>
      </rPr>
      <t xml:space="preserve">.</t>
    </r>
  </si>
  <si>
    <t xml:space="preserve">combo.story_p1.LETGO_LETGO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</si>
  <si>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문단 지나온 길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지금의 흐름 놓아주기→놓아주기</t>
    </r>
  </si>
  <si>
    <r>
      <rPr>
        <sz val="10"/>
        <rFont val="Noto Sans CJK SC"/>
        <family val="2"/>
      </rPr>
      <t xml:space="preserve">이미 끝난 일을 두고 그때 왜 그랬을까 되짚어 보며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지난 실패를 쉽게 내려놓지 못해 온 날이 많았을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방식이 지금은 더 굳어져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지난 일을 되짚을수록 오늘 쓸 힘까지 그쪽으로 새어 나가는 흐름으로 이어지고 있습니다</t>
    </r>
    <r>
      <rPr>
        <sz val="10"/>
        <rFont val="Malgun Gothic"/>
        <family val="0"/>
        <charset val="1"/>
      </rPr>
      <t xml:space="preserve">.</t>
    </r>
  </si>
  <si>
    <t xml:space="preserve">combo.key_vs_present.START_START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</si>
  <si>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문단 앞 지금의 흐름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앞으로의 열쇠 시작→시작</t>
    </r>
  </si>
  <si>
    <r>
      <rPr>
        <sz val="10"/>
        <rFont val="Noto Sans CJK SC"/>
        <family val="2"/>
      </rPr>
      <t xml:space="preserve">열쇠가 지금의 흐름과 겹치는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달라지는 점</t>
    </r>
  </si>
  <si>
    <r>
      <rPr>
        <sz val="10"/>
        <rFont val="Noto Sans CJK SC"/>
        <family val="2"/>
      </rPr>
      <t xml:space="preserve">앞으로의 열쇠는 지금의 흐름과 같은 시작의 문제를 다루지만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답답해하며 바라보던 자리에서 작게라도 직접 해 보는 쪽으로 방향이 바뀌어요</t>
    </r>
    <r>
      <rPr>
        <sz val="10"/>
        <rFont val="Malgun Gothic"/>
        <family val="0"/>
        <charset val="1"/>
      </rPr>
      <t xml:space="preserve">.</t>
    </r>
  </si>
  <si>
    <t xml:space="preserve">combo.key_vs_present.START_CHOOSE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</si>
  <si>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문단 앞 지금의 흐름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앞으로의 열쇠 시작→선택</t>
    </r>
  </si>
  <si>
    <r>
      <rPr>
        <sz val="10"/>
        <rFont val="Noto Sans CJK SC"/>
        <family val="2"/>
      </rPr>
      <t xml:space="preserve">앞으로의 열쇠는 지금의 흐름과 다른 곳을 향해요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시작하지 못한 일을 붙들고 있는 데 쏠린 힘을 고를 것을 정하고 선택지를 줄이는 쪽으로 옮긴다는 점에서 달라집니다</t>
    </r>
    <r>
      <rPr>
        <sz val="10"/>
        <rFont val="Malgun Gothic"/>
        <family val="0"/>
        <charset val="1"/>
      </rPr>
      <t xml:space="preserve">.</t>
    </r>
  </si>
  <si>
    <t xml:space="preserve">combo.key_vs_present.START_CONNECT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</si>
  <si>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문단 앞 지금의 흐름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앞으로의 열쇠 시작→연결</t>
    </r>
  </si>
  <si>
    <r>
      <rPr>
        <sz val="10"/>
        <rFont val="Noto Sans CJK SC"/>
        <family val="2"/>
      </rPr>
      <t xml:space="preserve">앞으로의 열쇠는 지금의 흐름과 다른 곳을 향해요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시작하지 못한 일을 붙들고 있는 데 쏠린 힘을 내가 바라는 관계의 모양을 아는 쪽으로 옮긴다는 점에서 달라집니다</t>
    </r>
    <r>
      <rPr>
        <sz val="10"/>
        <rFont val="Malgun Gothic"/>
        <family val="0"/>
        <charset val="1"/>
      </rPr>
      <t xml:space="preserve">.</t>
    </r>
  </si>
  <si>
    <t xml:space="preserve">combo.key_vs_present.START_REST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</si>
  <si>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문단 앞 지금의 흐름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앞으로의 열쇠 시작→쉼</t>
    </r>
  </si>
  <si>
    <r>
      <rPr>
        <sz val="10"/>
        <rFont val="Noto Sans CJK SC"/>
        <family val="2"/>
      </rPr>
      <t xml:space="preserve">앞으로의 열쇠는 지금의 흐름과 다른 곳을 향합니다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시작하지 못한 일을 붙들고 있는 데 쏠린 힘을 먼저 채우고 제대로 쉬는 쪽으로 옮긴다는 점에서 달라져요</t>
    </r>
    <r>
      <rPr>
        <sz val="10"/>
        <rFont val="Malgun Gothic"/>
        <family val="0"/>
        <charset val="1"/>
      </rPr>
      <t xml:space="preserve">.</t>
    </r>
  </si>
  <si>
    <t xml:space="preserve">combo.key_vs_present.START_BOUNDARY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</si>
  <si>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문단 앞 지금의 흐름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앞으로의 열쇠 시작→경계</t>
    </r>
  </si>
  <si>
    <r>
      <rPr>
        <sz val="10"/>
        <rFont val="Noto Sans CJK SC"/>
        <family val="2"/>
      </rPr>
      <t xml:space="preserve">앞으로의 열쇠는 지금의 흐름과 다른 곳을 향합니다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시작하지 못한 일을 붙들고 있는 데 쏠린 힘을 지킬 것과 내려놓을 것 사이에 선을 긋는 쪽으로 옮긴다는 점에서 달라져요</t>
    </r>
    <r>
      <rPr>
        <sz val="10"/>
        <rFont val="Malgun Gothic"/>
        <family val="0"/>
        <charset val="1"/>
      </rPr>
      <t xml:space="preserve">.</t>
    </r>
  </si>
  <si>
    <t xml:space="preserve">combo.key_vs_present.START_LETGO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</si>
  <si>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문단 앞 지금의 흐름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앞으로의 열쇠 시작→놓아주기</t>
    </r>
  </si>
  <si>
    <r>
      <rPr>
        <sz val="10"/>
        <rFont val="Noto Sans CJK SC"/>
        <family val="2"/>
      </rPr>
      <t xml:space="preserve">앞으로의 열쇠는 지금의 흐름과 다른 곳을 향해요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시작하지 못한 일을 붙들고 있는 데 쏠린 힘을 받아들이고 다음으로 넘어가는 쪽으로 옮긴다는 점에서 달라집니다</t>
    </r>
    <r>
      <rPr>
        <sz val="10"/>
        <rFont val="Malgun Gothic"/>
        <family val="0"/>
        <charset val="1"/>
      </rPr>
      <t xml:space="preserve">.</t>
    </r>
  </si>
  <si>
    <t xml:space="preserve">combo.key_vs_present.CHOOSE_START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</si>
  <si>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문단 앞 지금의 흐름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앞으로의 열쇠 선택→시작</t>
    </r>
  </si>
  <si>
    <r>
      <rPr>
        <sz val="10"/>
        <rFont val="Noto Sans CJK SC"/>
        <family val="2"/>
      </rPr>
      <t xml:space="preserve">앞으로의 열쇠는 지금의 흐름과 다른 곳을 향해요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이것저것 따져 보는 데 쏠린 힘을 작게라도 직접 해 보는 쪽으로 옮긴다는 점에서 달라집니다</t>
    </r>
    <r>
      <rPr>
        <sz val="10"/>
        <rFont val="Malgun Gothic"/>
        <family val="0"/>
        <charset val="1"/>
      </rPr>
      <t xml:space="preserve">.</t>
    </r>
  </si>
  <si>
    <t xml:space="preserve">combo.key_vs_present.CHOOSE_CHOOSE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</si>
  <si>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문단 앞 지금의 흐름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앞으로의 열쇠 선택→선택</t>
    </r>
  </si>
  <si>
    <r>
      <rPr>
        <sz val="10"/>
        <rFont val="Noto Sans CJK SC"/>
        <family val="2"/>
      </rPr>
      <t xml:space="preserve">앞으로의 열쇠는 지금의 흐름과 같은 선택의 문제를 다루지만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따지고 비교하던 데서 하나를 고르고 선택지를 줄이는 쪽으로 방향이 바뀌어요</t>
    </r>
    <r>
      <rPr>
        <sz val="10"/>
        <rFont val="Malgun Gothic"/>
        <family val="0"/>
        <charset val="1"/>
      </rPr>
      <t xml:space="preserve">.</t>
    </r>
  </si>
  <si>
    <t xml:space="preserve">combo.key_vs_present.CHOOSE_CONNECT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</si>
  <si>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문단 앞 지금의 흐름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앞으로의 열쇠 선택→연결</t>
    </r>
  </si>
  <si>
    <r>
      <rPr>
        <sz val="10"/>
        <rFont val="Noto Sans CJK SC"/>
        <family val="2"/>
      </rPr>
      <t xml:space="preserve">앞으로의 열쇠는 지금의 흐름과 다른 곳을 향해요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이것저것 따져 보는 데 쏠린 힘을 내가 바라는 관계의 모양을 아는 쪽으로 옮긴다는 점에서 달라집니다</t>
    </r>
    <r>
      <rPr>
        <sz val="10"/>
        <rFont val="Malgun Gothic"/>
        <family val="0"/>
        <charset val="1"/>
      </rPr>
      <t xml:space="preserve">.</t>
    </r>
  </si>
  <si>
    <t xml:space="preserve">combo.key_vs_present.CHOOSE_REST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</si>
  <si>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문단 앞 지금의 흐름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앞으로의 열쇠 선택→쉼</t>
    </r>
  </si>
  <si>
    <r>
      <rPr>
        <sz val="10"/>
        <rFont val="Noto Sans CJK SC"/>
        <family val="2"/>
      </rPr>
      <t xml:space="preserve">앞으로의 열쇠는 지금의 흐름과 다른 곳을 향해요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이것저것 따져 보는 데 쏠린 힘을 먼저 채우고 제대로 쉬는 쪽으로 옮긴다는 점에서 달라집니다</t>
    </r>
    <r>
      <rPr>
        <sz val="10"/>
        <rFont val="Malgun Gothic"/>
        <family val="0"/>
        <charset val="1"/>
      </rPr>
      <t xml:space="preserve">.</t>
    </r>
  </si>
  <si>
    <t xml:space="preserve">combo.key_vs_present.CHOOSE_BOUNDARY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</si>
  <si>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문단 앞 지금의 흐름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앞으로의 열쇠 선택→경계</t>
    </r>
  </si>
  <si>
    <r>
      <rPr>
        <sz val="10"/>
        <rFont val="Noto Sans CJK SC"/>
        <family val="2"/>
      </rPr>
      <t xml:space="preserve">앞으로의 열쇠는 지금의 흐름과 다른 곳을 향합니다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이것저것 따져 보는 데 쏠린 힘을 지킬 것과 내려놓을 것 사이에 선을 긋는 쪽으로 옮긴다는 점에서 달라져요</t>
    </r>
    <r>
      <rPr>
        <sz val="10"/>
        <rFont val="Malgun Gothic"/>
        <family val="0"/>
        <charset val="1"/>
      </rPr>
      <t xml:space="preserve">.</t>
    </r>
  </si>
  <si>
    <t xml:space="preserve">combo.key_vs_present.CHOOSE_LETGO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</si>
  <si>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문단 앞 지금의 흐름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앞으로의 열쇠 선택→놓아주기</t>
    </r>
  </si>
  <si>
    <r>
      <rPr>
        <sz val="10"/>
        <rFont val="Noto Sans CJK SC"/>
        <family val="2"/>
      </rPr>
      <t xml:space="preserve">앞으로의 열쇠는 지금의 흐름과 다른 곳을 향해요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이것저것 따져 보는 데 쏠린 힘을 받아들이고 다음으로 넘어가는 쪽으로 옮긴다는 점에서 달라집니다</t>
    </r>
    <r>
      <rPr>
        <sz val="10"/>
        <rFont val="Malgun Gothic"/>
        <family val="0"/>
        <charset val="1"/>
      </rPr>
      <t xml:space="preserve">.</t>
    </r>
  </si>
  <si>
    <t xml:space="preserve">combo.key_vs_present.CONNECT_START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</si>
  <si>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문단 앞 지금의 흐름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앞으로의 열쇠 연결→시작</t>
    </r>
  </si>
  <si>
    <r>
      <rPr>
        <sz val="10"/>
        <rFont val="Noto Sans CJK SC"/>
        <family val="2"/>
      </rPr>
      <t xml:space="preserve">앞으로의 열쇠는 지금의 흐름과 다른 곳을 향합니다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상대 반응을 살피는 데 쏠린 힘을 작게라도 직접 해 보는 쪽으로 옮긴다는 점에서 달라져요</t>
    </r>
    <r>
      <rPr>
        <sz val="10"/>
        <rFont val="Malgun Gothic"/>
        <family val="0"/>
        <charset val="1"/>
      </rPr>
      <t xml:space="preserve">.</t>
    </r>
  </si>
  <si>
    <t xml:space="preserve">combo.key_vs_present.CONNECT_CHOOSE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</si>
  <si>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문단 앞 지금의 흐름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앞으로의 열쇠 연결→선택</t>
    </r>
  </si>
  <si>
    <r>
      <rPr>
        <sz val="10"/>
        <rFont val="Noto Sans CJK SC"/>
        <family val="2"/>
      </rPr>
      <t xml:space="preserve">앞으로의 열쇠는 지금의 흐름과 다른 곳을 향합니다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상대 반응을 살피는 데 쏠린 힘을 고를 것을 정하고 선택지를 줄이는 쪽으로 옮긴다는 점에서 달라져요</t>
    </r>
    <r>
      <rPr>
        <sz val="10"/>
        <rFont val="Malgun Gothic"/>
        <family val="0"/>
        <charset val="1"/>
      </rPr>
      <t xml:space="preserve">.</t>
    </r>
  </si>
  <si>
    <t xml:space="preserve">combo.key_vs_present.CONNECT_CONNECT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</si>
  <si>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문단 앞 지금의 흐름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앞으로의 열쇠 연결→연결</t>
    </r>
  </si>
  <si>
    <r>
      <rPr>
        <sz val="10"/>
        <rFont val="Noto Sans CJK SC"/>
        <family val="2"/>
      </rPr>
      <t xml:space="preserve">앞으로의 열쇠는 지금의 흐름과 같은 관계를 다루지만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상대 반응에 흔들리던 데서 내가 바라는 관계의 모양을 아는 쪽으로 방향이 바뀝니다</t>
    </r>
    <r>
      <rPr>
        <sz val="10"/>
        <rFont val="Malgun Gothic"/>
        <family val="0"/>
        <charset val="1"/>
      </rPr>
      <t xml:space="preserve">.</t>
    </r>
  </si>
  <si>
    <t xml:space="preserve">combo.key_vs_present.CONNECT_REST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</si>
  <si>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문단 앞 지금의 흐름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앞으로의 열쇠 연결→쉼</t>
    </r>
  </si>
  <si>
    <r>
      <rPr>
        <sz val="10"/>
        <rFont val="Noto Sans CJK SC"/>
        <family val="2"/>
      </rPr>
      <t xml:space="preserve">앞으로의 열쇠는 지금의 흐름과 다른 곳을 향합니다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상대 반응을 살피는 데 쏠린 힘을 먼저 채우고 제대로 쉬는 쪽으로 옮긴다는 점에서 달라져요</t>
    </r>
    <r>
      <rPr>
        <sz val="10"/>
        <rFont val="Malgun Gothic"/>
        <family val="0"/>
        <charset val="1"/>
      </rPr>
      <t xml:space="preserve">.</t>
    </r>
  </si>
  <si>
    <t xml:space="preserve">combo.key_vs_present.CONNECT_BOUNDARY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</si>
  <si>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문단 앞 지금의 흐름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앞으로의 열쇠 연결→경계</t>
    </r>
  </si>
  <si>
    <r>
      <rPr>
        <sz val="10"/>
        <rFont val="Noto Sans CJK SC"/>
        <family val="2"/>
      </rPr>
      <t xml:space="preserve">앞으로의 열쇠는 지금의 흐름과 다른 곳을 향합니다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상대 반응을 살피는 데 쏠린 힘을 지킬 것과 내려놓을 것 사이에 선을 긋는 쪽으로 옮긴다는 점에서 달라져요</t>
    </r>
    <r>
      <rPr>
        <sz val="10"/>
        <rFont val="Malgun Gothic"/>
        <family val="0"/>
        <charset val="1"/>
      </rPr>
      <t xml:space="preserve">.</t>
    </r>
  </si>
  <si>
    <t xml:space="preserve">combo.key_vs_present.CONNECT_LETGO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</si>
  <si>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문단 앞 지금의 흐름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앞으로의 열쇠 연결→놓아주기</t>
    </r>
  </si>
  <si>
    <r>
      <rPr>
        <sz val="10"/>
        <rFont val="Noto Sans CJK SC"/>
        <family val="2"/>
      </rPr>
      <t xml:space="preserve">앞으로의 열쇠는 지금의 흐름과 다른 곳을 향합니다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상대 반응을 살피는 데 쏠린 힘을 받아들이고 다음으로 넘어가는 쪽으로 옮긴다는 점에서 달라져요</t>
    </r>
    <r>
      <rPr>
        <sz val="10"/>
        <rFont val="Malgun Gothic"/>
        <family val="0"/>
        <charset val="1"/>
      </rPr>
      <t xml:space="preserve">.</t>
    </r>
  </si>
  <si>
    <t xml:space="preserve">combo.key_vs_present.REST_START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</si>
  <si>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문단 앞 지금의 흐름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앞으로의 열쇠 쉼→시작</t>
    </r>
  </si>
  <si>
    <r>
      <rPr>
        <sz val="10"/>
        <rFont val="Noto Sans CJK SC"/>
        <family val="2"/>
      </rPr>
      <t xml:space="preserve">앞으로의 열쇠는 지금의 흐름과 다른 곳을 향해요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바닥난 채로 버티는 데 쏠린 힘을 작게라도 직접 해 보는 쪽으로 옮긴다는 점에서 달라집니다</t>
    </r>
    <r>
      <rPr>
        <sz val="10"/>
        <rFont val="Malgun Gothic"/>
        <family val="0"/>
        <charset val="1"/>
      </rPr>
      <t xml:space="preserve">.</t>
    </r>
  </si>
  <si>
    <t xml:space="preserve">combo.key_vs_present.REST_CHOOSE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</si>
  <si>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문단 앞 지금의 흐름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앞으로의 열쇠 쉼→선택</t>
    </r>
  </si>
  <si>
    <r>
      <rPr>
        <sz val="10"/>
        <rFont val="Noto Sans CJK SC"/>
        <family val="2"/>
      </rPr>
      <t xml:space="preserve">앞으로의 열쇠는 지금의 흐름과 다른 곳을 향해요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바닥난 채로 버티는 데 쏠린 힘을 고를 것을 정하고 선택지를 줄이는 쪽으로 옮긴다는 점에서 달라집니다</t>
    </r>
    <r>
      <rPr>
        <sz val="10"/>
        <rFont val="Malgun Gothic"/>
        <family val="0"/>
        <charset val="1"/>
      </rPr>
      <t xml:space="preserve">.</t>
    </r>
  </si>
  <si>
    <t xml:space="preserve">combo.key_vs_present.REST_CONNECT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</si>
  <si>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문단 앞 지금의 흐름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앞으로의 열쇠 쉼→연결</t>
    </r>
  </si>
  <si>
    <r>
      <rPr>
        <sz val="10"/>
        <rFont val="Noto Sans CJK SC"/>
        <family val="2"/>
      </rPr>
      <t xml:space="preserve">앞으로의 열쇠는 지금의 흐름과 다른 곳을 향해요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바닥난 채로 버티는 데 쏠린 힘을 내가 바라는 관계의 모양을 아는 쪽으로 옮긴다는 점에서 달라집니다</t>
    </r>
    <r>
      <rPr>
        <sz val="10"/>
        <rFont val="Malgun Gothic"/>
        <family val="0"/>
        <charset val="1"/>
      </rPr>
      <t xml:space="preserve">.</t>
    </r>
  </si>
  <si>
    <t xml:space="preserve">combo.key_vs_present.REST_REST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</si>
  <si>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문단 앞 지금의 흐름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앞으로의 열쇠 쉼→쉼</t>
    </r>
  </si>
  <si>
    <r>
      <rPr>
        <sz val="10"/>
        <rFont val="Noto Sans CJK SC"/>
        <family val="2"/>
      </rPr>
      <t xml:space="preserve">앞으로의 열쇠는 지금의 흐름과 같은 힘의 문제를 다루지만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바닥난 채 버티던 데서 먼저 채우고 제대로 쉬는 쪽으로 방향이 바뀝니다</t>
    </r>
    <r>
      <rPr>
        <sz val="10"/>
        <rFont val="Malgun Gothic"/>
        <family val="0"/>
        <charset val="1"/>
      </rPr>
      <t xml:space="preserve">.</t>
    </r>
  </si>
  <si>
    <t xml:space="preserve">combo.key_vs_present.REST_BOUNDARY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</si>
  <si>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문단 앞 지금의 흐름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앞으로의 열쇠 쉼→경계</t>
    </r>
  </si>
  <si>
    <r>
      <rPr>
        <sz val="10"/>
        <rFont val="Noto Sans CJK SC"/>
        <family val="2"/>
      </rPr>
      <t xml:space="preserve">앞으로의 열쇠는 지금의 흐름과 다른 곳을 향해요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바닥난 채로 버티는 데 쏠린 힘을 지킬 것과 내려놓을 것 사이에 선을 긋는 쪽으로 옮긴다는 점에서 달라집니다</t>
    </r>
    <r>
      <rPr>
        <sz val="10"/>
        <rFont val="Malgun Gothic"/>
        <family val="0"/>
        <charset val="1"/>
      </rPr>
      <t xml:space="preserve">.</t>
    </r>
  </si>
  <si>
    <t xml:space="preserve">combo.key_vs_present.REST_LETGO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</si>
  <si>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문단 앞 지금의 흐름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앞으로의 열쇠 쉼→놓아주기</t>
    </r>
  </si>
  <si>
    <r>
      <rPr>
        <sz val="10"/>
        <rFont val="Noto Sans CJK SC"/>
        <family val="2"/>
      </rPr>
      <t xml:space="preserve">앞으로의 열쇠는 지금의 흐름과 다른 곳을 향해요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바닥난 채로 버티는 데 쏠린 힘을 받아들이고 다음으로 넘어가는 쪽으로 옮긴다는 점에서 달라집니다</t>
    </r>
    <r>
      <rPr>
        <sz val="10"/>
        <rFont val="Malgun Gothic"/>
        <family val="0"/>
        <charset val="1"/>
      </rPr>
      <t xml:space="preserve">.</t>
    </r>
  </si>
  <si>
    <t xml:space="preserve">combo.key_vs_present.BOUNDARY_START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</si>
  <si>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문단 앞 지금의 흐름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앞으로의 열쇠 경계→시작</t>
    </r>
  </si>
  <si>
    <r>
      <rPr>
        <sz val="10"/>
        <rFont val="Noto Sans CJK SC"/>
        <family val="2"/>
      </rPr>
      <t xml:space="preserve">앞으로의 열쇠는 지금의 흐름과 다른 곳을 향해요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다 쥐고 있으려는 데 쏠린 힘을 작게라도 직접 해 보는 쪽으로 옮긴다는 점에서 달라집니다</t>
    </r>
    <r>
      <rPr>
        <sz val="10"/>
        <rFont val="Malgun Gothic"/>
        <family val="0"/>
        <charset val="1"/>
      </rPr>
      <t xml:space="preserve">.</t>
    </r>
  </si>
  <si>
    <t xml:space="preserve">combo.key_vs_present.BOUNDARY_CHOOSE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</si>
  <si>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문단 앞 지금의 흐름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앞으로의 열쇠 경계→선택</t>
    </r>
  </si>
  <si>
    <r>
      <rPr>
        <sz val="10"/>
        <rFont val="Noto Sans CJK SC"/>
        <family val="2"/>
      </rPr>
      <t xml:space="preserve">앞으로의 열쇠는 지금의 흐름과 다른 곳을 향합니다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다 쥐고 있으려는 데 쏠린 힘을 고를 것을 정하고 선택지를 줄이는 쪽으로 옮긴다는 점에서 달라져요</t>
    </r>
    <r>
      <rPr>
        <sz val="10"/>
        <rFont val="Malgun Gothic"/>
        <family val="0"/>
        <charset val="1"/>
      </rPr>
      <t xml:space="preserve">.</t>
    </r>
  </si>
  <si>
    <t xml:space="preserve">combo.key_vs_present.BOUNDARY_CONNECT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</si>
  <si>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문단 앞 지금의 흐름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앞으로의 열쇠 경계→연결</t>
    </r>
  </si>
  <si>
    <r>
      <rPr>
        <sz val="10"/>
        <rFont val="Noto Sans CJK SC"/>
        <family val="2"/>
      </rPr>
      <t xml:space="preserve">앞으로의 열쇠는 지금의 흐름과 다른 곳을 향해요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다 쥐고 있으려는 데 쏠린 힘을 내가 바라는 관계의 모양을 아는 쪽으로 옮긴다는 점에서 달라집니다</t>
    </r>
    <r>
      <rPr>
        <sz val="10"/>
        <rFont val="Malgun Gothic"/>
        <family val="0"/>
        <charset val="1"/>
      </rPr>
      <t xml:space="preserve">.</t>
    </r>
  </si>
  <si>
    <t xml:space="preserve">combo.key_vs_present.BOUNDARY_REST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</si>
  <si>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문단 앞 지금의 흐름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앞으로의 열쇠 경계→쉼</t>
    </r>
  </si>
  <si>
    <r>
      <rPr>
        <sz val="10"/>
        <rFont val="Noto Sans CJK SC"/>
        <family val="2"/>
      </rPr>
      <t xml:space="preserve">앞으로의 열쇠는 지금의 흐름과 다른 곳을 향해요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다 쥐고 있으려는 데 쏠린 힘을 먼저 채우고 제대로 쉬는 쪽으로 옮긴다는 점에서 달라집니다</t>
    </r>
    <r>
      <rPr>
        <sz val="10"/>
        <rFont val="Malgun Gothic"/>
        <family val="0"/>
        <charset val="1"/>
      </rPr>
      <t xml:space="preserve">.</t>
    </r>
  </si>
  <si>
    <t xml:space="preserve">combo.key_vs_present.BOUNDARY_BOUNDARY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</si>
  <si>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문단 앞 지금의 흐름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앞으로의 열쇠 경계→경계</t>
    </r>
  </si>
  <si>
    <r>
      <rPr>
        <sz val="10"/>
        <rFont val="Noto Sans CJK SC"/>
        <family val="2"/>
      </rPr>
      <t xml:space="preserve">앞으로의 열쇠는 지금의 흐름과 같은 선의 문제를 다루지만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다 쥐고 있던 데서 지킬 것과 내려놓을 것을 가르는 쪽으로 방향이 바뀌어요</t>
    </r>
    <r>
      <rPr>
        <sz val="10"/>
        <rFont val="Malgun Gothic"/>
        <family val="0"/>
        <charset val="1"/>
      </rPr>
      <t xml:space="preserve">.</t>
    </r>
  </si>
  <si>
    <t xml:space="preserve">combo.key_vs_present.BOUNDARY_LETGO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</si>
  <si>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문단 앞 지금의 흐름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앞으로의 열쇠 경계→놓아주기</t>
    </r>
  </si>
  <si>
    <r>
      <rPr>
        <sz val="10"/>
        <rFont val="Noto Sans CJK SC"/>
        <family val="2"/>
      </rPr>
      <t xml:space="preserve">앞으로의 열쇠는 지금의 흐름과 다른 곳을 향해요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다 쥐고 있으려는 데 쏠린 힘을 받아들이고 다음으로 넘어가는 쪽으로 옮긴다는 점에서 달라집니다</t>
    </r>
    <r>
      <rPr>
        <sz val="10"/>
        <rFont val="Malgun Gothic"/>
        <family val="0"/>
        <charset val="1"/>
      </rPr>
      <t xml:space="preserve">.</t>
    </r>
  </si>
  <si>
    <t xml:space="preserve">combo.key_vs_present.LETGO_START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</si>
  <si>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문단 앞 지금의 흐름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앞으로의 열쇠 놓아주기→시작</t>
    </r>
  </si>
  <si>
    <r>
      <rPr>
        <sz val="10"/>
        <rFont val="Noto Sans CJK SC"/>
        <family val="2"/>
      </rPr>
      <t xml:space="preserve">앞으로의 열쇠는 지금의 흐름과 다른 곳을 향해요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지난 일에 매여 있는 데 쏠린 힘을 작게라도 직접 해 보는 쪽으로 옮긴다는 점에서 달라집니다</t>
    </r>
    <r>
      <rPr>
        <sz val="10"/>
        <rFont val="Malgun Gothic"/>
        <family val="0"/>
        <charset val="1"/>
      </rPr>
      <t xml:space="preserve">.</t>
    </r>
  </si>
  <si>
    <t xml:space="preserve">combo.key_vs_present.LETGO_CHOOSE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</si>
  <si>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문단 앞 지금의 흐름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앞으로의 열쇠 놓아주기→선택</t>
    </r>
  </si>
  <si>
    <r>
      <rPr>
        <sz val="10"/>
        <rFont val="Noto Sans CJK SC"/>
        <family val="2"/>
      </rPr>
      <t xml:space="preserve">앞으로의 열쇠는 지금의 흐름과 다른 곳을 향합니다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지난 일에 매여 있는 데 쏠린 힘을 고를 것을 정하고 선택지를 줄이는 쪽으로 옮긴다는 점에서 달라져요</t>
    </r>
    <r>
      <rPr>
        <sz val="10"/>
        <rFont val="Malgun Gothic"/>
        <family val="0"/>
        <charset val="1"/>
      </rPr>
      <t xml:space="preserve">.</t>
    </r>
  </si>
  <si>
    <t xml:space="preserve">combo.key_vs_present.LETGO_CONNECT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</si>
  <si>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문단 앞 지금의 흐름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앞으로의 열쇠 놓아주기→연결</t>
    </r>
  </si>
  <si>
    <r>
      <rPr>
        <sz val="10"/>
        <rFont val="Noto Sans CJK SC"/>
        <family val="2"/>
      </rPr>
      <t xml:space="preserve">앞으로의 열쇠는 지금의 흐름과 다른 곳을 향합니다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지난 일에 매여 있는 데 쏠린 힘을 내가 바라는 관계의 모양을 아는 쪽으로 옮긴다는 점에서 달라져요</t>
    </r>
    <r>
      <rPr>
        <sz val="10"/>
        <rFont val="Malgun Gothic"/>
        <family val="0"/>
        <charset val="1"/>
      </rPr>
      <t xml:space="preserve">.</t>
    </r>
  </si>
  <si>
    <t xml:space="preserve">combo.key_vs_present.LETGO_REST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</si>
  <si>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문단 앞 지금의 흐름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앞으로의 열쇠 놓아주기→쉼</t>
    </r>
  </si>
  <si>
    <r>
      <rPr>
        <sz val="10"/>
        <rFont val="Noto Sans CJK SC"/>
        <family val="2"/>
      </rPr>
      <t xml:space="preserve">앞으로의 열쇠는 지금의 흐름과 다른 곳을 향해요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지난 일에 매여 있는 데 쏠린 힘을 먼저 채우고 제대로 쉬는 쪽으로 옮긴다는 점에서 달라집니다</t>
    </r>
    <r>
      <rPr>
        <sz val="10"/>
        <rFont val="Malgun Gothic"/>
        <family val="0"/>
        <charset val="1"/>
      </rPr>
      <t xml:space="preserve">.</t>
    </r>
  </si>
  <si>
    <t xml:space="preserve">combo.key_vs_present.LETGO_BOUNDARY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</si>
  <si>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문단 앞 지금의 흐름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앞으로의 열쇠 놓아주기→경계</t>
    </r>
  </si>
  <si>
    <r>
      <rPr>
        <sz val="10"/>
        <rFont val="Noto Sans CJK SC"/>
        <family val="2"/>
      </rPr>
      <t xml:space="preserve">앞으로의 열쇠는 지금의 흐름과 다른 곳을 향해요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지난 일에 매여 있는 데 쏠린 힘을 지킬 것과 내려놓을 것 사이에 선을 긋는 쪽으로 옮긴다는 점에서 달라집니다</t>
    </r>
    <r>
      <rPr>
        <sz val="10"/>
        <rFont val="Malgun Gothic"/>
        <family val="0"/>
        <charset val="1"/>
      </rPr>
      <t xml:space="preserve">.</t>
    </r>
  </si>
  <si>
    <t xml:space="preserve">combo.key_vs_present.LETGO_LETGO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</si>
  <si>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문단 앞 지금의 흐름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앞으로의 열쇠 놓아주기→놓아주기</t>
    </r>
  </si>
  <si>
    <r>
      <rPr>
        <sz val="10"/>
        <rFont val="Noto Sans CJK SC"/>
        <family val="2"/>
      </rPr>
      <t xml:space="preserve">앞으로의 열쇠는 지금의 흐름과 같은 지난 일을 다루지만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붙들고 있던 데서 받아들이고 다음으로 넘어가는 쪽으로 방향이 바뀌어요</t>
    </r>
    <r>
      <rPr>
        <sz val="10"/>
        <rFont val="Malgun Gothic"/>
        <family val="0"/>
        <charset val="1"/>
      </rPr>
      <t xml:space="preserve">.</t>
    </r>
  </si>
  <si>
    <t xml:space="preserve">combo.key_vs_past.START_START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</si>
  <si>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문단 뒤 지나온 길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앞으로의 열쇠 시작→시작</t>
    </r>
  </si>
  <si>
    <r>
      <rPr>
        <sz val="10"/>
        <rFont val="Noto Sans CJK SC"/>
        <family val="2"/>
      </rPr>
      <t xml:space="preserve">열쇠가 지나온 길과 겹치는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달라지는 점</t>
    </r>
  </si>
  <si>
    <r>
      <rPr>
        <sz val="10"/>
        <rFont val="Noto Sans CJK SC"/>
        <family val="2"/>
      </rPr>
      <t xml:space="preserve">지나온 길과 견주면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같은 곳을 오래 다뤄 온 만큼 겹치는 부분이 많습니다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다만 미루거나 서둘러 뛰어들던 방식이 아니라 작게라도 직접 해 보는 쪽으로 향한다는 점이 달라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이 열쇠가 시작을 막던 부담을 줄여 줘요</t>
    </r>
    <r>
      <rPr>
        <sz val="10"/>
        <rFont val="Malgun Gothic"/>
        <family val="0"/>
        <charset val="1"/>
      </rPr>
      <t xml:space="preserve">.</t>
    </r>
  </si>
  <si>
    <t xml:space="preserve">combo.key_vs_past.START_CHOOSE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</si>
  <si>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문단 뒤 지나온 길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앞으로의 열쇠 시작→선택</t>
    </r>
  </si>
  <si>
    <r>
      <rPr>
        <sz val="10"/>
        <rFont val="Noto Sans CJK SC"/>
        <family val="2"/>
      </rPr>
      <t xml:space="preserve">지나온 길과 견주면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미루거나 서둘러 뛰어들던 방식에서 고를 것을 정하고 선택지를 줄이는 쪽으로 옮겨 가는 셈이에요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 열쇠가 결정을 미루던 습관을 가볍게 해 줍니다</t>
    </r>
    <r>
      <rPr>
        <sz val="10"/>
        <rFont val="Malgun Gothic"/>
        <family val="0"/>
        <charset val="1"/>
      </rPr>
      <t xml:space="preserve">.</t>
    </r>
  </si>
  <si>
    <t xml:space="preserve">combo.key_vs_past.START_CONNECT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</si>
  <si>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문단 뒤 지나온 길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앞으로의 열쇠 시작→연결</t>
    </r>
  </si>
  <si>
    <r>
      <rPr>
        <sz val="10"/>
        <rFont val="Noto Sans CJK SC"/>
        <family val="2"/>
      </rPr>
      <t xml:space="preserve">지나온 길과 견주면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미루거나 서둘러 뛰어들던 방식에서 내가 바라는 관계의 모양을 아는 쪽으로 옮겨 가는 셈이에요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 열쇠가 눈치를 살피던 마음에 기준을 만들어 줍니다</t>
    </r>
    <r>
      <rPr>
        <sz val="10"/>
        <rFont val="Malgun Gothic"/>
        <family val="0"/>
        <charset val="1"/>
      </rPr>
      <t xml:space="preserve">.</t>
    </r>
  </si>
  <si>
    <t xml:space="preserve">combo.key_vs_past.START_REST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</si>
  <si>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문단 뒤 지나온 길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앞으로의 열쇠 시작→쉼</t>
    </r>
  </si>
  <si>
    <r>
      <rPr>
        <sz val="10"/>
        <rFont val="Noto Sans CJK SC"/>
        <family val="2"/>
      </rPr>
      <t xml:space="preserve">지나온 길과 견주면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미루거나 서둘러 뛰어들던 방식에서 먼저 채우고 제대로 쉬는 쪽으로 옮겨 가는 셈입니다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 열쇠가 버티던 방식에 쉴 자리를 만들어 줘요</t>
    </r>
    <r>
      <rPr>
        <sz val="10"/>
        <rFont val="Malgun Gothic"/>
        <family val="0"/>
        <charset val="1"/>
      </rPr>
      <t xml:space="preserve">.</t>
    </r>
  </si>
  <si>
    <t xml:space="preserve">combo.key_vs_past.START_BOUNDARY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</si>
  <si>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문단 뒤 지나온 길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앞으로의 열쇠 시작→경계</t>
    </r>
  </si>
  <si>
    <r>
      <rPr>
        <sz val="10"/>
        <rFont val="Noto Sans CJK SC"/>
        <family val="2"/>
      </rPr>
      <t xml:space="preserve">지나온 길과 견주면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미루거나 서둘러 뛰어들던 방식에서 지킬 것과 내려놓을 것 사이에 선을 긋는 쪽으로 옮겨 가는 셈입니다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 열쇠가 혼자 다 지던 짐을 덜어 줘요</t>
    </r>
    <r>
      <rPr>
        <sz val="10"/>
        <rFont val="Malgun Gothic"/>
        <family val="0"/>
        <charset val="1"/>
      </rPr>
      <t xml:space="preserve">.</t>
    </r>
  </si>
  <si>
    <t xml:space="preserve">combo.key_vs_past.START_LETGO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</si>
  <si>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문단 뒤 지나온 길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앞으로의 열쇠 시작→놓아주기</t>
    </r>
  </si>
  <si>
    <r>
      <rPr>
        <sz val="10"/>
        <rFont val="Noto Sans CJK SC"/>
        <family val="2"/>
      </rPr>
      <t xml:space="preserve">지나온 길과 견주면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미루거나 서둘러 뛰어들던 방식에서 받아들이고 다음으로 넘어가는 쪽으로 옮겨 가는 셈입니다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 열쇠가 지난 일에 쓰던 힘을 오늘로 돌려줘요</t>
    </r>
    <r>
      <rPr>
        <sz val="10"/>
        <rFont val="Malgun Gothic"/>
        <family val="0"/>
        <charset val="1"/>
      </rPr>
      <t xml:space="preserve">.</t>
    </r>
  </si>
  <si>
    <t xml:space="preserve">combo.key_vs_past.CHOOSE_START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</si>
  <si>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문단 뒤 지나온 길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앞으로의 열쇠 선택→시작</t>
    </r>
  </si>
  <si>
    <r>
      <rPr>
        <sz val="10"/>
        <rFont val="Noto Sans CJK SC"/>
        <family val="2"/>
      </rPr>
      <t xml:space="preserve">지나온 길과 견주면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따지며 결정을 미루던 방식에서 작게라도 직접 해 보는 쪽으로 옮겨 가는 셈이에요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 열쇠가 시작을 막던 부담을 줄여 줍니다</t>
    </r>
    <r>
      <rPr>
        <sz val="10"/>
        <rFont val="Malgun Gothic"/>
        <family val="0"/>
        <charset val="1"/>
      </rPr>
      <t xml:space="preserve">.</t>
    </r>
  </si>
  <si>
    <t xml:space="preserve">combo.key_vs_past.CHOOSE_CHOOSE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</si>
  <si>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문단 뒤 지나온 길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앞으로의 열쇠 선택→선택</t>
    </r>
  </si>
  <si>
    <r>
      <rPr>
        <sz val="10"/>
        <rFont val="Noto Sans CJK SC"/>
        <family val="2"/>
      </rPr>
      <t xml:space="preserve">지나온 길과 견주면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같은 곳을 오래 다뤄 온 만큼 겹치는 부분이 많아요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다만 따지며 결정을 미루던 방식이 아니라 고를 것을 정하고 선택지를 줄이는 쪽으로 향한다는 점이 달라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이 열쇠가 결정을 미루던 습관을 가볍게 해 줍니다</t>
    </r>
    <r>
      <rPr>
        <sz val="10"/>
        <rFont val="Malgun Gothic"/>
        <family val="0"/>
        <charset val="1"/>
      </rPr>
      <t xml:space="preserve">.</t>
    </r>
  </si>
  <si>
    <t xml:space="preserve">combo.key_vs_past.CHOOSE_CONNECT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</si>
  <si>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문단 뒤 지나온 길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앞으로의 열쇠 선택→연결</t>
    </r>
  </si>
  <si>
    <r>
      <rPr>
        <sz val="10"/>
        <rFont val="Noto Sans CJK SC"/>
        <family val="2"/>
      </rPr>
      <t xml:space="preserve">지나온 길과 견주면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따지며 결정을 미루던 방식에서 내가 바라는 관계의 모양을 아는 쪽으로 옮겨 가는 셈이에요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 열쇠가 눈치를 살피던 마음에 기준을 만들어 줍니다</t>
    </r>
    <r>
      <rPr>
        <sz val="10"/>
        <rFont val="Malgun Gothic"/>
        <family val="0"/>
        <charset val="1"/>
      </rPr>
      <t xml:space="preserve">.</t>
    </r>
  </si>
  <si>
    <t xml:space="preserve">combo.key_vs_past.CHOOSE_REST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</si>
  <si>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문단 뒤 지나온 길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앞으로의 열쇠 선택→쉼</t>
    </r>
  </si>
  <si>
    <r>
      <rPr>
        <sz val="10"/>
        <rFont val="Noto Sans CJK SC"/>
        <family val="2"/>
      </rPr>
      <t xml:space="preserve">지나온 길과 견주면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따지며 결정을 미루던 방식에서 먼저 채우고 제대로 쉬는 쪽으로 옮겨 가는 셈입니다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 열쇠가 버티던 방식에 쉴 자리를 만들어 줘요</t>
    </r>
    <r>
      <rPr>
        <sz val="10"/>
        <rFont val="Malgun Gothic"/>
        <family val="0"/>
        <charset val="1"/>
      </rPr>
      <t xml:space="preserve">.</t>
    </r>
  </si>
  <si>
    <t xml:space="preserve">combo.key_vs_past.CHOOSE_BOUNDARY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</si>
  <si>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문단 뒤 지나온 길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앞으로의 열쇠 선택→경계</t>
    </r>
  </si>
  <si>
    <r>
      <rPr>
        <sz val="10"/>
        <rFont val="Noto Sans CJK SC"/>
        <family val="2"/>
      </rPr>
      <t xml:space="preserve">지나온 길과 견주면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따지며 결정을 미루던 방식에서 지킬 것과 내려놓을 것 사이에 선을 긋는 쪽으로 옮겨 가는 셈이에요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 열쇠가 혼자 다 지던 짐을 덜어 줍니다</t>
    </r>
    <r>
      <rPr>
        <sz val="10"/>
        <rFont val="Malgun Gothic"/>
        <family val="0"/>
        <charset val="1"/>
      </rPr>
      <t xml:space="preserve">.</t>
    </r>
  </si>
  <si>
    <t xml:space="preserve">combo.key_vs_past.CHOOSE_LETGO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</si>
  <si>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문단 뒤 지나온 길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앞으로의 열쇠 선택→놓아주기</t>
    </r>
  </si>
  <si>
    <r>
      <rPr>
        <sz val="10"/>
        <rFont val="Noto Sans CJK SC"/>
        <family val="2"/>
      </rPr>
      <t xml:space="preserve">지나온 길과 견주면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따지며 결정을 미루던 방식에서 받아들이고 다음으로 넘어가는 쪽으로 옮겨 가는 셈이에요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 열쇠가 지난 일에 쓰던 힘을 오늘로 돌려줍니다</t>
    </r>
    <r>
      <rPr>
        <sz val="10"/>
        <rFont val="Malgun Gothic"/>
        <family val="0"/>
        <charset val="1"/>
      </rPr>
      <t xml:space="preserve">.</t>
    </r>
  </si>
  <si>
    <t xml:space="preserve">combo.key_vs_past.CONNECT_START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</si>
  <si>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문단 뒤 지나온 길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앞으로의 열쇠 연결→시작</t>
    </r>
  </si>
  <si>
    <r>
      <rPr>
        <sz val="10"/>
        <rFont val="Noto Sans CJK SC"/>
        <family val="2"/>
      </rPr>
      <t xml:space="preserve">지나온 길과 견주면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상대 반응부터 살피던 방식에서 작게라도 직접 해 보는 쪽으로 옮겨 가는 셈입니다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 열쇠가 시작을 막던 부담을 줄여 줘요</t>
    </r>
    <r>
      <rPr>
        <sz val="10"/>
        <rFont val="Malgun Gothic"/>
        <family val="0"/>
        <charset val="1"/>
      </rPr>
      <t xml:space="preserve">.</t>
    </r>
  </si>
  <si>
    <t xml:space="preserve">combo.key_vs_past.CONNECT_CHOOSE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</si>
  <si>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문단 뒤 지나온 길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앞으로의 열쇠 연결→선택</t>
    </r>
  </si>
  <si>
    <r>
      <rPr>
        <sz val="10"/>
        <rFont val="Noto Sans CJK SC"/>
        <family val="2"/>
      </rPr>
      <t xml:space="preserve">지나온 길과 견주면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상대 반응부터 살피던 방식에서 고를 것을 정하고 선택지를 줄이는 쪽으로 옮겨 가는 셈입니다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 열쇠가 결정을 미루던 습관을 가볍게 해 줘요</t>
    </r>
    <r>
      <rPr>
        <sz val="10"/>
        <rFont val="Malgun Gothic"/>
        <family val="0"/>
        <charset val="1"/>
      </rPr>
      <t xml:space="preserve">.</t>
    </r>
  </si>
  <si>
    <t xml:space="preserve">combo.key_vs_past.CONNECT_CONNECT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</si>
  <si>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문단 뒤 지나온 길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앞으로의 열쇠 연결→연결</t>
    </r>
  </si>
  <si>
    <r>
      <rPr>
        <sz val="10"/>
        <rFont val="Noto Sans CJK SC"/>
        <family val="2"/>
      </rPr>
      <t xml:space="preserve">지나온 길과 견주면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같은 곳을 오래 다뤄 온 만큼 겹치는 부분이 많아요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다만 상대 반응부터 살피던 방식이 아니라 내가 바라는 관계의 모양을 아는 쪽으로 향한다는 점이 달라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이 열쇠가 눈치를 살피던 마음에 기준을 만들어 줍니다</t>
    </r>
    <r>
      <rPr>
        <sz val="10"/>
        <rFont val="Malgun Gothic"/>
        <family val="0"/>
        <charset val="1"/>
      </rPr>
      <t xml:space="preserve">.</t>
    </r>
  </si>
  <si>
    <t xml:space="preserve">combo.key_vs_past.CONNECT_REST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</si>
  <si>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문단 뒤 지나온 길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앞으로의 열쇠 연결→쉼</t>
    </r>
  </si>
  <si>
    <r>
      <rPr>
        <sz val="10"/>
        <rFont val="Noto Sans CJK SC"/>
        <family val="2"/>
      </rPr>
      <t xml:space="preserve">지나온 길과 견주면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상대 반응부터 살피던 방식에서 먼저 채우고 제대로 쉬는 쪽으로 옮겨 가는 셈입니다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 열쇠가 버티던 방식에 쉴 자리를 만들어 줘요</t>
    </r>
    <r>
      <rPr>
        <sz val="10"/>
        <rFont val="Malgun Gothic"/>
        <family val="0"/>
        <charset val="1"/>
      </rPr>
      <t xml:space="preserve">.</t>
    </r>
  </si>
  <si>
    <t xml:space="preserve">combo.key_vs_past.CONNECT_BOUNDARY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</si>
  <si>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문단 뒤 지나온 길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앞으로의 열쇠 연결→경계</t>
    </r>
  </si>
  <si>
    <r>
      <rPr>
        <sz val="10"/>
        <rFont val="Noto Sans CJK SC"/>
        <family val="2"/>
      </rPr>
      <t xml:space="preserve">지나온 길과 견주면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상대 반응부터 살피던 방식에서 지킬 것과 내려놓을 것 사이에 선을 긋는 쪽으로 옮겨 가는 셈이에요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 열쇠가 혼자 다 지던 짐을 덜어 줍니다</t>
    </r>
    <r>
      <rPr>
        <sz val="10"/>
        <rFont val="Malgun Gothic"/>
        <family val="0"/>
        <charset val="1"/>
      </rPr>
      <t xml:space="preserve">.</t>
    </r>
  </si>
  <si>
    <t xml:space="preserve">combo.key_vs_past.CONNECT_LETGO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</si>
  <si>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문단 뒤 지나온 길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앞으로의 열쇠 연결→놓아주기</t>
    </r>
  </si>
  <si>
    <r>
      <rPr>
        <sz val="10"/>
        <rFont val="Noto Sans CJK SC"/>
        <family val="2"/>
      </rPr>
      <t xml:space="preserve">지나온 길과 견주면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상대 반응부터 살피던 방식에서 받아들이고 다음으로 넘어가는 쪽으로 옮겨 가는 셈입니다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 열쇠가 지난 일에 쓰던 힘을 오늘로 돌려줘요</t>
    </r>
    <r>
      <rPr>
        <sz val="10"/>
        <rFont val="Malgun Gothic"/>
        <family val="0"/>
        <charset val="1"/>
      </rPr>
      <t xml:space="preserve">.</t>
    </r>
  </si>
  <si>
    <t xml:space="preserve">combo.key_vs_past.REST_START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</si>
  <si>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문단 뒤 지나온 길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앞으로의 열쇠 쉼→시작</t>
    </r>
  </si>
  <si>
    <r>
      <rPr>
        <sz val="10"/>
        <rFont val="Noto Sans CJK SC"/>
        <family val="2"/>
      </rPr>
      <t xml:space="preserve">지나온 길과 견주면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쉬지 않고 버티던 방식에서 작게라도 직접 해 보는 쪽으로 옮겨 가는 셈이에요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 열쇠가 시작을 막던 부담을 줄여 줍니다</t>
    </r>
    <r>
      <rPr>
        <sz val="10"/>
        <rFont val="Malgun Gothic"/>
        <family val="0"/>
        <charset val="1"/>
      </rPr>
      <t xml:space="preserve">.</t>
    </r>
  </si>
  <si>
    <t xml:space="preserve">combo.key_vs_past.REST_CHOOSE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</si>
  <si>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문단 뒤 지나온 길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앞으로의 열쇠 쉼→선택</t>
    </r>
  </si>
  <si>
    <r>
      <rPr>
        <sz val="10"/>
        <rFont val="Noto Sans CJK SC"/>
        <family val="2"/>
      </rPr>
      <t xml:space="preserve">지나온 길과 견주면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쉬지 않고 버티던 방식에서 고를 것을 정하고 선택지를 줄이는 쪽으로 옮겨 가는 셈입니다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 열쇠가 결정을 미루던 습관을 가볍게 해 줘요</t>
    </r>
    <r>
      <rPr>
        <sz val="10"/>
        <rFont val="Malgun Gothic"/>
        <family val="0"/>
        <charset val="1"/>
      </rPr>
      <t xml:space="preserve">.</t>
    </r>
  </si>
  <si>
    <t xml:space="preserve">combo.key_vs_past.REST_CONNECT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</si>
  <si>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문단 뒤 지나온 길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앞으로의 열쇠 쉼→연결</t>
    </r>
  </si>
  <si>
    <r>
      <rPr>
        <sz val="10"/>
        <rFont val="Noto Sans CJK SC"/>
        <family val="2"/>
      </rPr>
      <t xml:space="preserve">지나온 길과 견주면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쉬지 않고 버티던 방식에서 내가 바라는 관계의 모양을 아는 쪽으로 옮겨 가는 셈이에요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 열쇠가 눈치를 살피던 마음에 기준을 만들어 줍니다</t>
    </r>
    <r>
      <rPr>
        <sz val="10"/>
        <rFont val="Malgun Gothic"/>
        <family val="0"/>
        <charset val="1"/>
      </rPr>
      <t xml:space="preserve">.</t>
    </r>
  </si>
  <si>
    <t xml:space="preserve">combo.key_vs_past.REST_REST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</si>
  <si>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문단 뒤 지나온 길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앞으로의 열쇠 쉼→쉼</t>
    </r>
  </si>
  <si>
    <r>
      <rPr>
        <sz val="10"/>
        <rFont val="Noto Sans CJK SC"/>
        <family val="2"/>
      </rPr>
      <t xml:space="preserve">지나온 길과 견주면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같은 곳을 오래 다뤄 온 만큼 겹치는 부분이 많아요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다만 쉬지 않고 버티던 방식이 아니라 먼저 채우고 제대로 쉬는 쪽으로 향한다는 점이 달라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이 열쇠가 버티던 방식에 쉴 자리를 만들어 줍니다</t>
    </r>
    <r>
      <rPr>
        <sz val="10"/>
        <rFont val="Malgun Gothic"/>
        <family val="0"/>
        <charset val="1"/>
      </rPr>
      <t xml:space="preserve">.</t>
    </r>
  </si>
  <si>
    <t xml:space="preserve">combo.key_vs_past.REST_BOUNDARY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</si>
  <si>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문단 뒤 지나온 길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앞으로의 열쇠 쉼→경계</t>
    </r>
  </si>
  <si>
    <r>
      <rPr>
        <sz val="10"/>
        <rFont val="Noto Sans CJK SC"/>
        <family val="2"/>
      </rPr>
      <t xml:space="preserve">지나온 길과 견주면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쉬지 않고 버티던 방식에서 지킬 것과 내려놓을 것 사이에 선을 긋는 쪽으로 옮겨 가는 셈이에요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 열쇠가 혼자 다 지던 짐을 덜어 줍니다</t>
    </r>
    <r>
      <rPr>
        <sz val="10"/>
        <rFont val="Malgun Gothic"/>
        <family val="0"/>
        <charset val="1"/>
      </rPr>
      <t xml:space="preserve">.</t>
    </r>
  </si>
  <si>
    <t xml:space="preserve">combo.key_vs_past.REST_LETGO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</si>
  <si>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문단 뒤 지나온 길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앞으로의 열쇠 쉼→놓아주기</t>
    </r>
  </si>
  <si>
    <r>
      <rPr>
        <sz val="10"/>
        <rFont val="Noto Sans CJK SC"/>
        <family val="2"/>
      </rPr>
      <t xml:space="preserve">지나온 길과 견주면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쉬지 않고 버티던 방식에서 받아들이고 다음으로 넘어가는 쪽으로 옮겨 가는 셈이에요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 열쇠가 지난 일에 쓰던 힘을 오늘로 돌려줍니다</t>
    </r>
    <r>
      <rPr>
        <sz val="10"/>
        <rFont val="Malgun Gothic"/>
        <family val="0"/>
        <charset val="1"/>
      </rPr>
      <t xml:space="preserve">.</t>
    </r>
  </si>
  <si>
    <t xml:space="preserve">combo.key_vs_past.BOUNDARY_START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</si>
  <si>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문단 뒤 지나온 길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앞으로의 열쇠 경계→시작</t>
    </r>
  </si>
  <si>
    <r>
      <rPr>
        <sz val="10"/>
        <rFont val="Noto Sans CJK SC"/>
        <family val="2"/>
      </rPr>
      <t xml:space="preserve">지나온 길과 견주면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혼자 떠안거나 꽉 쥐고 있던 방식에서 작게라도 직접 해 보는 쪽으로 옮겨 가는 셈이에요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 열쇠가 시작을 막던 부담을 줄여 줍니다</t>
    </r>
    <r>
      <rPr>
        <sz val="10"/>
        <rFont val="Malgun Gothic"/>
        <family val="0"/>
        <charset val="1"/>
      </rPr>
      <t xml:space="preserve">.</t>
    </r>
  </si>
  <si>
    <t xml:space="preserve">combo.key_vs_past.BOUNDARY_CHOOSE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</si>
  <si>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문단 뒤 지나온 길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앞으로의 열쇠 경계→선택</t>
    </r>
  </si>
  <si>
    <r>
      <rPr>
        <sz val="10"/>
        <rFont val="Noto Sans CJK SC"/>
        <family val="2"/>
      </rPr>
      <t xml:space="preserve">지나온 길과 견주면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혼자 떠안거나 꽉 쥐고 있던 방식에서 고를 것을 정하고 선택지를 줄이는 쪽으로 옮겨 가는 셈이에요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 열쇠가 결정을 미루던 습관을 가볍게 해 줍니다</t>
    </r>
    <r>
      <rPr>
        <sz val="10"/>
        <rFont val="Malgun Gothic"/>
        <family val="0"/>
        <charset val="1"/>
      </rPr>
      <t xml:space="preserve">.</t>
    </r>
  </si>
  <si>
    <t xml:space="preserve">combo.key_vs_past.BOUNDARY_CONNECT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</si>
  <si>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문단 뒤 지나온 길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앞으로의 열쇠 경계→연결</t>
    </r>
  </si>
  <si>
    <r>
      <rPr>
        <sz val="10"/>
        <rFont val="Noto Sans CJK SC"/>
        <family val="2"/>
      </rPr>
      <t xml:space="preserve">지나온 길과 견주면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혼자 떠안거나 꽉 쥐고 있던 방식에서 내가 바라는 관계의 모양을 아는 쪽으로 옮겨 가는 셈입니다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 열쇠가 눈치를 살피던 마음에 기준을 만들어 줘요</t>
    </r>
    <r>
      <rPr>
        <sz val="10"/>
        <rFont val="Malgun Gothic"/>
        <family val="0"/>
        <charset val="1"/>
      </rPr>
      <t xml:space="preserve">.</t>
    </r>
  </si>
  <si>
    <t xml:space="preserve">combo.key_vs_past.BOUNDARY_REST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</si>
  <si>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문단 뒤 지나온 길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앞으로의 열쇠 경계→쉼</t>
    </r>
  </si>
  <si>
    <r>
      <rPr>
        <sz val="10"/>
        <rFont val="Noto Sans CJK SC"/>
        <family val="2"/>
      </rPr>
      <t xml:space="preserve">지나온 길과 견주면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혼자 떠안거나 꽉 쥐고 있던 방식에서 먼저 채우고 제대로 쉬는 쪽으로 옮겨 가는 셈이에요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 열쇠가 버티던 방식에 쉴 자리를 만들어 줍니다</t>
    </r>
    <r>
      <rPr>
        <sz val="10"/>
        <rFont val="Malgun Gothic"/>
        <family val="0"/>
        <charset val="1"/>
      </rPr>
      <t xml:space="preserve">.</t>
    </r>
  </si>
  <si>
    <t xml:space="preserve">combo.key_vs_past.BOUNDARY_BOUNDARY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</si>
  <si>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문단 뒤 지나온 길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앞으로의 열쇠 경계→경계</t>
    </r>
  </si>
  <si>
    <r>
      <rPr>
        <sz val="10"/>
        <rFont val="Noto Sans CJK SC"/>
        <family val="2"/>
      </rPr>
      <t xml:space="preserve">지나온 길과 견주면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같은 곳을 오래 다뤄 온 만큼 겹치는 부분이 많습니다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다만 혼자 떠안거나 꽉 쥐고 있던 방식이 아니라 지킬 것과 내려놓을 것 사이에 선을 긋는 쪽으로 향한다는 점이 달라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이 열쇠가 혼자 다 지던 짐을 덜어 줘요</t>
    </r>
    <r>
      <rPr>
        <sz val="10"/>
        <rFont val="Malgun Gothic"/>
        <family val="0"/>
        <charset val="1"/>
      </rPr>
      <t xml:space="preserve">.</t>
    </r>
  </si>
  <si>
    <t xml:space="preserve">combo.key_vs_past.BOUNDARY_LETGO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</si>
  <si>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문단 뒤 지나온 길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앞으로의 열쇠 경계→놓아주기</t>
    </r>
  </si>
  <si>
    <r>
      <rPr>
        <sz val="10"/>
        <rFont val="Noto Sans CJK SC"/>
        <family val="2"/>
      </rPr>
      <t xml:space="preserve">지나온 길과 견주면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혼자 떠안거나 꽉 쥐고 있던 방식에서 받아들이고 다음으로 넘어가는 쪽으로 옮겨 가는 셈이에요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 열쇠가 지난 일에 쓰던 힘을 오늘로 돌려줍니다</t>
    </r>
    <r>
      <rPr>
        <sz val="10"/>
        <rFont val="Malgun Gothic"/>
        <family val="0"/>
        <charset val="1"/>
      </rPr>
      <t xml:space="preserve">.</t>
    </r>
  </si>
  <si>
    <t xml:space="preserve">combo.key_vs_past.LETGO_START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</si>
  <si>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문단 뒤 지나온 길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앞으로의 열쇠 놓아주기→시작</t>
    </r>
  </si>
  <si>
    <r>
      <rPr>
        <sz val="10"/>
        <rFont val="Noto Sans CJK SC"/>
        <family val="2"/>
      </rPr>
      <t xml:space="preserve">지나온 길과 견주면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지난 일을 붙잡던 방식에서 작게라도 직접 해 보는 쪽으로 옮겨 가는 셈입니다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 열쇠가 시작을 막던 부담을 줄여 줘요</t>
    </r>
    <r>
      <rPr>
        <sz val="10"/>
        <rFont val="Malgun Gothic"/>
        <family val="0"/>
        <charset val="1"/>
      </rPr>
      <t xml:space="preserve">.</t>
    </r>
  </si>
  <si>
    <t xml:space="preserve">combo.key_vs_past.LETGO_CHOOSE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</si>
  <si>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문단 뒤 지나온 길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앞으로의 열쇠 놓아주기→선택</t>
    </r>
  </si>
  <si>
    <r>
      <rPr>
        <sz val="10"/>
        <rFont val="Noto Sans CJK SC"/>
        <family val="2"/>
      </rPr>
      <t xml:space="preserve">지나온 길과 견주면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지난 일을 붙잡던 방식에서 고를 것을 정하고 선택지를 줄이는 쪽으로 옮겨 가는 셈입니다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 열쇠가 결정을 미루던 습관을 가볍게 해 줘요</t>
    </r>
    <r>
      <rPr>
        <sz val="10"/>
        <rFont val="Malgun Gothic"/>
        <family val="0"/>
        <charset val="1"/>
      </rPr>
      <t xml:space="preserve">.</t>
    </r>
  </si>
  <si>
    <t xml:space="preserve">combo.key_vs_past.LETGO_CONNECT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</si>
  <si>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문단 뒤 지나온 길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앞으로의 열쇠 놓아주기→연결</t>
    </r>
  </si>
  <si>
    <r>
      <rPr>
        <sz val="10"/>
        <rFont val="Noto Sans CJK SC"/>
        <family val="2"/>
      </rPr>
      <t xml:space="preserve">지나온 길과 견주면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지난 일을 붙잡던 방식에서 내가 바라는 관계의 모양을 아는 쪽으로 옮겨 가는 셈입니다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 열쇠가 눈치를 살피던 마음에 기준을 만들어 줘요</t>
    </r>
    <r>
      <rPr>
        <sz val="10"/>
        <rFont val="Malgun Gothic"/>
        <family val="0"/>
        <charset val="1"/>
      </rPr>
      <t xml:space="preserve">.</t>
    </r>
  </si>
  <si>
    <t xml:space="preserve">combo.key_vs_past.LETGO_REST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</si>
  <si>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문단 뒤 지나온 길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앞으로의 열쇠 놓아주기→쉼</t>
    </r>
  </si>
  <si>
    <r>
      <rPr>
        <sz val="10"/>
        <rFont val="Noto Sans CJK SC"/>
        <family val="2"/>
      </rPr>
      <t xml:space="preserve">지나온 길과 견주면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지난 일을 붙잡던 방식에서 먼저 채우고 제대로 쉬는 쪽으로 옮겨 가는 셈이에요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 열쇠가 버티던 방식에 쉴 자리를 만들어 줍니다</t>
    </r>
    <r>
      <rPr>
        <sz val="10"/>
        <rFont val="Malgun Gothic"/>
        <family val="0"/>
        <charset val="1"/>
      </rPr>
      <t xml:space="preserve">.</t>
    </r>
  </si>
  <si>
    <t xml:space="preserve">combo.key_vs_past.LETGO_BOUNDARY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</si>
  <si>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문단 뒤 지나온 길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앞으로의 열쇠 놓아주기→경계</t>
    </r>
  </si>
  <si>
    <r>
      <rPr>
        <sz val="10"/>
        <rFont val="Noto Sans CJK SC"/>
        <family val="2"/>
      </rPr>
      <t xml:space="preserve">지나온 길과 견주면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지난 일을 붙잡던 방식에서 지킬 것과 내려놓을 것 사이에 선을 긋는 쪽으로 옮겨 가는 셈이에요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 열쇠가 혼자 다 지던 짐을 덜어 줍니다</t>
    </r>
    <r>
      <rPr>
        <sz val="10"/>
        <rFont val="Malgun Gothic"/>
        <family val="0"/>
        <charset val="1"/>
      </rPr>
      <t xml:space="preserve">.</t>
    </r>
  </si>
  <si>
    <t xml:space="preserve">combo.key_vs_past.LETGO_LETGO</t>
  </si>
  <si>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쪽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문단 뒤 지나온 길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앞으로의 열쇠 놓아주기→놓아주기</t>
    </r>
  </si>
  <si>
    <r>
      <rPr>
        <sz val="10"/>
        <rFont val="Noto Sans CJK SC"/>
        <family val="2"/>
      </rPr>
      <t xml:space="preserve">지나온 길과 견주면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같은 곳을 오래 다뤄 온 만큼 겹치는 부분이 많습니다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다만 지난 일을 붙잡던 방식이 아니라 받아들이고 다음으로 넘어가는 쪽으로 향한다는 점이 달라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이 열쇠가 지난 일에 쓰던 힘을 오늘로 돌려줘요</t>
    </r>
    <r>
      <rPr>
        <sz val="10"/>
        <rFont val="Malgun Gothic"/>
        <family val="0"/>
        <charset val="1"/>
      </rPr>
      <t xml:space="preserve">.</t>
    </r>
  </si>
  <si>
    <t xml:space="preserve">combo.apply_head.START</t>
  </si>
  <si>
    <r>
      <rPr>
        <sz val="10"/>
        <rFont val="Malgun Gothic"/>
        <family val="0"/>
        <charset val="1"/>
      </rPr>
      <t xml:space="preserve">6</t>
    </r>
    <r>
      <rPr>
        <sz val="10"/>
        <rFont val="Noto Sans CJK SC"/>
        <family val="2"/>
      </rPr>
      <t xml:space="preserve">쪽 요약 한 줄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굵게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</si>
  <si>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앞으로의 열쇠 성격 시작 — </t>
    </r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요약이 없을 때</t>
    </r>
  </si>
  <si>
    <r>
      <rPr>
        <sz val="10"/>
        <rFont val="Noto Sans CJK SC"/>
        <family val="2"/>
      </rPr>
      <t xml:space="preserve">이 고민은 작게라도 직접 해 보는 데서 풀리기 시작해요</t>
    </r>
    <r>
      <rPr>
        <sz val="10"/>
        <rFont val="Malgun Gothic"/>
        <family val="0"/>
        <charset val="1"/>
      </rPr>
      <t xml:space="preserve">.</t>
    </r>
  </si>
  <si>
    <t xml:space="preserve">combo.apply_head.CHOOSE</t>
  </si>
  <si>
    <r>
      <rPr>
        <sz val="10"/>
        <rFont val="Noto Sans CJK SC"/>
        <family val="2"/>
      </rPr>
      <t xml:space="preserve">앞으로의 열쇠 성격 선택 — </t>
    </r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요약이 없을 때</t>
    </r>
  </si>
  <si>
    <r>
      <rPr>
        <sz val="10"/>
        <rFont val="Noto Sans CJK SC"/>
        <family val="2"/>
      </rPr>
      <t xml:space="preserve">이 고민은 고를 것을 정하는 데서 풀리기 시작합니다</t>
    </r>
    <r>
      <rPr>
        <sz val="10"/>
        <rFont val="Malgun Gothic"/>
        <family val="0"/>
        <charset val="1"/>
      </rPr>
      <t xml:space="preserve">.</t>
    </r>
  </si>
  <si>
    <t xml:space="preserve">combo.apply_head.CONNECT</t>
  </si>
  <si>
    <r>
      <rPr>
        <sz val="10"/>
        <rFont val="Noto Sans CJK SC"/>
        <family val="2"/>
      </rPr>
      <t xml:space="preserve">앞으로의 열쇠 성격 연결 — </t>
    </r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요약이 없을 때</t>
    </r>
  </si>
  <si>
    <r>
      <rPr>
        <sz val="10"/>
        <rFont val="Noto Sans CJK SC"/>
        <family val="2"/>
      </rPr>
      <t xml:space="preserve">이 고민은 내가 바라는 관계를 아는 데서 풀리기 시작해요</t>
    </r>
    <r>
      <rPr>
        <sz val="10"/>
        <rFont val="Malgun Gothic"/>
        <family val="0"/>
        <charset val="1"/>
      </rPr>
      <t xml:space="preserve">.</t>
    </r>
  </si>
  <si>
    <t xml:space="preserve">combo.apply_head.REST</t>
  </si>
  <si>
    <r>
      <rPr>
        <sz val="10"/>
        <rFont val="Noto Sans CJK SC"/>
        <family val="2"/>
      </rPr>
      <t xml:space="preserve">앞으로의 열쇠 성격 쉼 — </t>
    </r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요약이 없을 때</t>
    </r>
  </si>
  <si>
    <r>
      <rPr>
        <sz val="10"/>
        <rFont val="Noto Sans CJK SC"/>
        <family val="2"/>
      </rPr>
      <t xml:space="preserve">이 고민은 나를 먼저 채우는 데서 풀리기 시작해요</t>
    </r>
    <r>
      <rPr>
        <sz val="10"/>
        <rFont val="Malgun Gothic"/>
        <family val="0"/>
        <charset val="1"/>
      </rPr>
      <t xml:space="preserve">.</t>
    </r>
  </si>
  <si>
    <t xml:space="preserve">combo.apply_head.BOUNDARY</t>
  </si>
  <si>
    <r>
      <rPr>
        <sz val="10"/>
        <rFont val="Noto Sans CJK SC"/>
        <family val="2"/>
      </rPr>
      <t xml:space="preserve">앞으로의 열쇠 성격 경계 — </t>
    </r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요약이 없을 때</t>
    </r>
  </si>
  <si>
    <r>
      <rPr>
        <sz val="10"/>
        <rFont val="Noto Sans CJK SC"/>
        <family val="2"/>
      </rPr>
      <t xml:space="preserve">이 고민은 지킬 것과 놓을 것을 가르는 데서 풀리기 시작합니다</t>
    </r>
    <r>
      <rPr>
        <sz val="10"/>
        <rFont val="Malgun Gothic"/>
        <family val="0"/>
        <charset val="1"/>
      </rPr>
      <t xml:space="preserve">.</t>
    </r>
  </si>
  <si>
    <t xml:space="preserve">combo.apply_head.LETGO</t>
  </si>
  <si>
    <r>
      <rPr>
        <sz val="10"/>
        <rFont val="Noto Sans CJK SC"/>
        <family val="2"/>
      </rPr>
      <t xml:space="preserve">앞으로의 열쇠 성격 놓아주기 — </t>
    </r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요약이 없을 때</t>
    </r>
  </si>
  <si>
    <r>
      <rPr>
        <sz val="10"/>
        <rFont val="Noto Sans CJK SC"/>
        <family val="2"/>
      </rPr>
      <t xml:space="preserve">이 고민은 지난 일을 받아들이는 데서 풀리기 시작해요</t>
    </r>
    <r>
      <rPr>
        <sz val="10"/>
        <rFont val="Malgun Gothic"/>
        <family val="0"/>
        <charset val="1"/>
      </rPr>
      <t xml:space="preserve">.</t>
    </r>
  </si>
  <si>
    <t xml:space="preserve">combo.apply_fallback.CAR_START</t>
  </si>
  <si>
    <r>
      <rPr>
        <sz val="10"/>
        <rFont val="Noto Sans CJK SC"/>
        <family val="2"/>
      </rPr>
      <t xml:space="preserve">직업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커리어</t>
    </r>
  </si>
  <si>
    <r>
      <rPr>
        <sz val="10"/>
        <rFont val="Malgun Gothic"/>
        <family val="0"/>
        <charset val="1"/>
      </rPr>
      <t xml:space="preserve">6</t>
    </r>
    <r>
      <rPr>
        <sz val="10"/>
        <rFont val="Noto Sans CJK SC"/>
        <family val="2"/>
      </rPr>
      <t xml:space="preserve">쪽 내 고민에 대어 보면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앞으로의 열쇠 시작 </t>
    </r>
    <r>
      <rPr>
        <sz val="10"/>
        <rFont val="Malgun Gothic"/>
        <family val="0"/>
        <charset val="1"/>
      </rPr>
      <t xml:space="preserve">(AI </t>
    </r>
    <r>
      <rPr>
        <sz val="10"/>
        <rFont val="Noto Sans CJK SC"/>
        <family val="2"/>
      </rPr>
      <t xml:space="preserve">실패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미작성 때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</si>
  <si>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예를 들어 새로 해 보고 싶은 업무가 떠올라도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지금은 바쁘니까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하며 다음 분기로 미뤄 온 순간이 있었을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반대로 준비 없이 일부터 맡았다가 허둥댄 기억이 남아 있을 수도 있고요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지금은 같은 보고서를 반복해서 쓰다가 문득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이대로 괜찮을까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하는 조급함이 드는 순간처럼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미뤄 둔 마음이 답답함으로 나타나기 쉬워요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이렇게 일터에서 시작을 미루는 시간이 길어질수록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해 보고 싶던 마음보다 하지 못한 아쉬움이 더 크게 남을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 고민에서 열쇠는 이직 같은 큰 변화보다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지금 자리에서 작은 일 하나를 직접 해 보는 경험에 있어요</t>
    </r>
    <r>
      <rPr>
        <sz val="10"/>
        <rFont val="Malgun Gothic"/>
        <family val="0"/>
        <charset val="1"/>
      </rPr>
      <t xml:space="preserve">.</t>
    </r>
  </si>
  <si>
    <t xml:space="preserve">combo.apply_fallback.CAR_CHOOSE</t>
  </si>
  <si>
    <r>
      <rPr>
        <sz val="10"/>
        <rFont val="Malgun Gothic"/>
        <family val="0"/>
        <charset val="1"/>
      </rPr>
      <t xml:space="preserve">6</t>
    </r>
    <r>
      <rPr>
        <sz val="10"/>
        <rFont val="Noto Sans CJK SC"/>
        <family val="2"/>
      </rPr>
      <t xml:space="preserve">쪽 내 고민에 대어 보면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앞으로의 열쇠 선택 </t>
    </r>
    <r>
      <rPr>
        <sz val="10"/>
        <rFont val="Malgun Gothic"/>
        <family val="0"/>
        <charset val="1"/>
      </rPr>
      <t xml:space="preserve">(AI </t>
    </r>
    <r>
      <rPr>
        <sz val="10"/>
        <rFont val="Noto Sans CJK SC"/>
        <family val="2"/>
      </rPr>
      <t xml:space="preserve">실패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미작성 때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</si>
  <si>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예를 들어 이직 제안이 왔을 때 연봉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업무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사람을 표로 만들어 비교하면서도 선뜻 답하지 못한 순간이 있었을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선배나 가족이 좋다고 하는 쪽에 기대어 정한 적도 있었을 거예요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지금은 남을지 옮길지 생각할수록 비교할 항목만 늘어나서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퇴근길에도 같은 고민이 머리를 떠나지 않는 순간이 이어지기 쉽습니다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이렇게 일터에서 선택이 계속 미뤄지면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정하지 않은 채로 지나가는 시간이 오히려 마음을 더 지치게 할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 고민에서 열쇠는 모든 조건을 맞추는 답보다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일에서 가장 지키고 싶은 한 가지를 정하고 선택지를 줄이는 데 있습니다</t>
    </r>
    <r>
      <rPr>
        <sz val="10"/>
        <rFont val="Malgun Gothic"/>
        <family val="0"/>
        <charset val="1"/>
      </rPr>
      <t xml:space="preserve">.</t>
    </r>
  </si>
  <si>
    <t xml:space="preserve">combo.apply_fallback.CAR_CONNECT</t>
  </si>
  <si>
    <r>
      <rPr>
        <sz val="10"/>
        <rFont val="Malgun Gothic"/>
        <family val="0"/>
        <charset val="1"/>
      </rPr>
      <t xml:space="preserve">6</t>
    </r>
    <r>
      <rPr>
        <sz val="10"/>
        <rFont val="Noto Sans CJK SC"/>
        <family val="2"/>
      </rPr>
      <t xml:space="preserve">쪽 내 고민에 대어 보면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앞으로의 열쇠 연결 </t>
    </r>
    <r>
      <rPr>
        <sz val="10"/>
        <rFont val="Malgun Gothic"/>
        <family val="0"/>
        <charset val="1"/>
      </rPr>
      <t xml:space="preserve">(AI </t>
    </r>
    <r>
      <rPr>
        <sz val="10"/>
        <rFont val="Noto Sans CJK SC"/>
        <family val="2"/>
      </rPr>
      <t xml:space="preserve">실패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미작성 때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</si>
  <si>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예를 들어 회의에서 상사의 표정을 먼저 살피고 나서 내 의견의 수위를 조절해 온 순간이 있었을 거예요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동료의 메신저 말투가 평소와 다르면 내가 뭘 잘못했나 되짚어 본 적도 있을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지금은 서로 기대하는 바가 엇갈리거나 점심 약속에서 거리감이 느껴질 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일보다 사람 때문에 마음이 흔들리기 쉬워요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이렇게 일터에서 상대의 반응에 마음을 맞추는 일이 이어지면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내가 정말 바라는 것이 점점 흐릿해질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 고민에서 열쇠는 모두와 잘 지내는 것보다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일터에서 내가 바라는 관계의 모양을 아는 데 있어요</t>
    </r>
    <r>
      <rPr>
        <sz val="10"/>
        <rFont val="Malgun Gothic"/>
        <family val="0"/>
        <charset val="1"/>
      </rPr>
      <t xml:space="preserve">.</t>
    </r>
  </si>
  <si>
    <t xml:space="preserve">combo.apply_fallback.CAR_REST</t>
  </si>
  <si>
    <r>
      <rPr>
        <sz val="10"/>
        <rFont val="Malgun Gothic"/>
        <family val="0"/>
        <charset val="1"/>
      </rPr>
      <t xml:space="preserve">6</t>
    </r>
    <r>
      <rPr>
        <sz val="10"/>
        <rFont val="Noto Sans CJK SC"/>
        <family val="2"/>
      </rPr>
      <t xml:space="preserve">쪽 내 고민에 대어 보면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앞으로의 열쇠 쉼 </t>
    </r>
    <r>
      <rPr>
        <sz val="10"/>
        <rFont val="Malgun Gothic"/>
        <family val="0"/>
        <charset val="1"/>
      </rPr>
      <t xml:space="preserve">(AI </t>
    </r>
    <r>
      <rPr>
        <sz val="10"/>
        <rFont val="Noto Sans CJK SC"/>
        <family val="2"/>
      </rPr>
      <t xml:space="preserve">실패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미작성 때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</si>
  <si>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예를 들어 마감 전날 밤을 새우고도 다음 날 아무렇지 않은 얼굴로 출근해 온 순간이 있었을 거예요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주말에도 머릿속으로 업무 목록을 정리하느라 쉬는 느낌이 들지 않은 적도 있을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지금은 퇴근하고 소파에 앉아도 아무것도 하기 싫고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간단한 업무 판단도 평소보다 오래 걸리는 모습으로 나타나기 쉬워요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이렇게 일터에서 쉬지 못한 채 버티는 시간이 이어지면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같은 일도 점점 더 크고 힘겹게 느껴질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 고민에서 열쇠는 일을 더 잘하는 방법보다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다시 일할 힘을 먼저 채우는 진짜 쉼에 있어요</t>
    </r>
    <r>
      <rPr>
        <sz val="10"/>
        <rFont val="Malgun Gothic"/>
        <family val="0"/>
        <charset val="1"/>
      </rPr>
      <t xml:space="preserve">.</t>
    </r>
  </si>
  <si>
    <t xml:space="preserve">combo.apply_fallback.CAR_BOUNDARY</t>
  </si>
  <si>
    <r>
      <rPr>
        <sz val="10"/>
        <rFont val="Malgun Gothic"/>
        <family val="0"/>
        <charset val="1"/>
      </rPr>
      <t xml:space="preserve">6</t>
    </r>
    <r>
      <rPr>
        <sz val="10"/>
        <rFont val="Noto Sans CJK SC"/>
        <family val="2"/>
      </rPr>
      <t xml:space="preserve">쪽 내 고민에 대어 보면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앞으로의 열쇠 경계 </t>
    </r>
    <r>
      <rPr>
        <sz val="10"/>
        <rFont val="Malgun Gothic"/>
        <family val="0"/>
        <charset val="1"/>
      </rPr>
      <t xml:space="preserve">(AI </t>
    </r>
    <r>
      <rPr>
        <sz val="10"/>
        <rFont val="Noto Sans CJK SC"/>
        <family val="2"/>
      </rPr>
      <t xml:space="preserve">실패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미작성 때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</si>
  <si>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예를 들어 동료가 부탁한 일을 거절하지 못하고 내 일과 함께 떠안아 온 순간이 있었을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팀원에게 맡기면 불안해서 끝내 내가 처음부터 다시 확인한 적도 있을 거예요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지금은 퇴근 후에도 메신저 알림이 오면 바로 답장을 쓰게 되면서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업무량보다 놓지 못하는 마음이 더 큰 피로로 쌓이기 쉽습니다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이렇게 일터에서 혼자 쥐고 있는 것이 많아지면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정작 내가 소중히 하고 싶은 것에 쓸 힘이 줄어들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 고민에서 열쇠는 더 많이 해내는 것보다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내가 지킬 일과 내려놓을 일 사이의 선을 아는 데 있습니다</t>
    </r>
    <r>
      <rPr>
        <sz val="10"/>
        <rFont val="Malgun Gothic"/>
        <family val="0"/>
        <charset val="1"/>
      </rPr>
      <t xml:space="preserve">.</t>
    </r>
  </si>
  <si>
    <t xml:space="preserve">combo.apply_fallback.CAR_LETGO</t>
  </si>
  <si>
    <r>
      <rPr>
        <sz val="10"/>
        <rFont val="Malgun Gothic"/>
        <family val="0"/>
        <charset val="1"/>
      </rPr>
      <t xml:space="preserve">6</t>
    </r>
    <r>
      <rPr>
        <sz val="10"/>
        <rFont val="Noto Sans CJK SC"/>
        <family val="2"/>
      </rPr>
      <t xml:space="preserve">쪽 내 고민에 대어 보면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앞으로의 열쇠 놓아주기 </t>
    </r>
    <r>
      <rPr>
        <sz val="10"/>
        <rFont val="Malgun Gothic"/>
        <family val="0"/>
        <charset val="1"/>
      </rPr>
      <t xml:space="preserve">(AI </t>
    </r>
    <r>
      <rPr>
        <sz val="10"/>
        <rFont val="Noto Sans CJK SC"/>
        <family val="2"/>
      </rPr>
      <t xml:space="preserve">실패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미작성 때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</si>
  <si>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예를 들어 지난 인사 평가에서 기대에 못 미친 점수를 받고 그 면담 장면을 오래 곱씹어 온 순간이 있었을 것입니다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놓친 승진이나 무산된 프로젝트를 떠올리며 그때 다르게 했다면 하고 생각한 적도 있을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지금은 새 업무를 맡아도 이미 끝난 일이 먼저 떠올라서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바꿀 수 없는 일에 힘이 새어 나가기 쉽습니다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이렇게 일터에서 지난 일에 마음이 머무는 시간이 길어지면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지금 눈앞의 일을 볼 여유가 줄어들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 고민에서 열쇠는 지난 평가를 뒤집는 것보다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 일을 받아들이고 다음 일로 넘어가는 데 있습니다</t>
    </r>
    <r>
      <rPr>
        <sz val="10"/>
        <rFont val="Malgun Gothic"/>
        <family val="0"/>
        <charset val="1"/>
      </rPr>
      <t xml:space="preserve">.</t>
    </r>
  </si>
  <si>
    <t xml:space="preserve">combo.apply_fallback.DIR_START</t>
  </si>
  <si>
    <r>
      <rPr>
        <sz val="10"/>
        <rFont val="Noto Sans CJK SC"/>
        <family val="2"/>
      </rPr>
      <t xml:space="preserve">진로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자기계발</t>
    </r>
  </si>
  <si>
    <r>
      <rPr>
        <sz val="10"/>
        <rFont val="Noto Sans CJK SC"/>
        <family val="2"/>
      </rPr>
      <t xml:space="preserve">예를 들어 하고 싶은 분야의 강의나 모임을 찾아 놓고도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아직 준비가 덜 됐어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라며 창을 닫아 온 순간이 있었을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반대로 이것저것 급하게 등록했다가 흐지부지된 경험이 있을 수도 있고요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지금은 소셜 미디어에서 또래의 근황을 볼 때 나만 제자리인 것 같은 답답함과 늦었다는 조급함이 함께 올라오기 쉬워요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이렇게 내 길 앞에서 시작을 미루는 시간이 길어질수록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해 보고 싶던 마음보다 하지 못한 아쉬움이 더 크게 남을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 고민에서 열쇠는 완벽한 방향을 찾는 것보다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작게라도 직접 해 보며 나에게 맞는지 확인하는 데 있어요</t>
    </r>
    <r>
      <rPr>
        <sz val="10"/>
        <rFont val="Malgun Gothic"/>
        <family val="0"/>
        <charset val="1"/>
      </rPr>
      <t xml:space="preserve">.</t>
    </r>
  </si>
  <si>
    <t xml:space="preserve">combo.apply_fallback.DIR_CHOOSE</t>
  </si>
  <si>
    <r>
      <rPr>
        <sz val="10"/>
        <rFont val="Noto Sans CJK SC"/>
        <family val="2"/>
      </rPr>
      <t xml:space="preserve">예를 들어 진로를 앞두고 학과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직무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연봉을 하나하나 저울질하며 밤새 검색해 온 순간이 있었을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부모님이나 선배가 권하는 길을 안전해 보여서 따라간 적도 있을 것입니다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지금은 갈 수 있는 길이 많아 보일수록 어느 쪽도 고르지 못한 채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같은 비교를 처음부터 다시 하는 순간이 이어지기 쉬워요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이렇게 내 길 앞에서 선택이 계속 미뤄지면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정하지 않은 채로 지나가는 시간이 오히려 마음을 더 지치게 할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 고민에서 열쇠는 더 많은 정보보다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내가 고를 것을 정하고 선택지를 줄여 가는 데 있어요</t>
    </r>
    <r>
      <rPr>
        <sz val="10"/>
        <rFont val="Malgun Gothic"/>
        <family val="0"/>
        <charset val="1"/>
      </rPr>
      <t xml:space="preserve">.</t>
    </r>
  </si>
  <si>
    <t xml:space="preserve">combo.apply_fallback.DIR_CONNECT</t>
  </si>
  <si>
    <r>
      <rPr>
        <sz val="10"/>
        <rFont val="Noto Sans CJK SC"/>
        <family val="2"/>
      </rPr>
      <t xml:space="preserve">예를 들어 친구들 앞에서 나를 소개할 때 상대가 기대하는 모습에 맞춰 말을 고르던 순간이 있었을 것입니다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가족이 바라는 모습과 내가 바라는 모습이 다를 때 조용히 앞쪽을 택한 적도 있을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지금은 남이 바라는 나와 내가 바라는 나 사이가 엇갈리면서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내가 어떤 사람인지조차 흔들리기 쉽습니다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이렇게 내 길 앞에서 상대의 반응에 마음을 맞추는 일이 이어지면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내가 정말 바라는 것이 점점 흐릿해질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 고민에서 열쇠는 남의 기대에 맞추는 것보다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내가 바라는 관계의 모양과 그 안의 내 자리를 아는 데 있습니다</t>
    </r>
    <r>
      <rPr>
        <sz val="10"/>
        <rFont val="Malgun Gothic"/>
        <family val="0"/>
        <charset val="1"/>
      </rPr>
      <t xml:space="preserve">.</t>
    </r>
  </si>
  <si>
    <t xml:space="preserve">combo.apply_fallback.DIR_REST</t>
  </si>
  <si>
    <r>
      <rPr>
        <sz val="10"/>
        <rFont val="Noto Sans CJK SC"/>
        <family val="2"/>
      </rPr>
      <t xml:space="preserve">예를 들어 더 나은 내가 되려고 쉬는 날에도 자격증 공부나 자기계발 목록을 채워 온 순간이 있었을 거예요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잠깐 누워 있다가도 시간을 낭비했다는 생각에 스스로를 다그친 적도 있을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지금은 무엇을 원하는지 물어봐도 아무 대답이 떠오르지 않고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기분도 쉽게 가라앉는 모습으로 나타나기 쉬워요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이렇게 내 길 앞에서 쉬지 못한 채 버티는 시간이 이어지면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같은 일도 점점 더 크고 힘겹게 느껴질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 고민에서 열쇠는 방향을 서둘러 정하는 것보다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원하는 것을 다시 느낄 수 있도록 먼저 나를 채우는 데 있어요</t>
    </r>
    <r>
      <rPr>
        <sz val="10"/>
        <rFont val="Malgun Gothic"/>
        <family val="0"/>
        <charset val="1"/>
      </rPr>
      <t xml:space="preserve">.</t>
    </r>
  </si>
  <si>
    <t xml:space="preserve">combo.apply_fallback.DIR_BOUNDARY</t>
  </si>
  <si>
    <r>
      <rPr>
        <sz val="10"/>
        <rFont val="Noto Sans CJK SC"/>
        <family val="2"/>
      </rPr>
      <t xml:space="preserve">예를 들어 한 해의 계획을 시간 단위로 짜 두고 어긋나면 불안해지던 순간이 있었을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가족의 걱정과 부탁까지 내 일처럼 안고 내 계획을 뒤로 미룬 적도 있을 거예요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지금은 모든 걸 통제하려는 마음이 오히려 나를 지치게 하고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어디까지가 내 몫인지 헷갈리는 순간이 늘기 쉽습니다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이렇게 내 길 앞에서 혼자 쥐고 있는 것이 많아지면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정작 내가 소중히 하고 싶은 것에 쓸 힘이 줄어들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 고민에서 열쇠는 더 철저한 계획보다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내 삶에서 지킬 것과 내려놓을 것 사이의 선을 아는 데 있습니다</t>
    </r>
    <r>
      <rPr>
        <sz val="10"/>
        <rFont val="Malgun Gothic"/>
        <family val="0"/>
        <charset val="1"/>
      </rPr>
      <t xml:space="preserve">.</t>
    </r>
  </si>
  <si>
    <t xml:space="preserve">combo.apply_fallback.DIR_LETGO</t>
  </si>
  <si>
    <r>
      <rPr>
        <sz val="10"/>
        <rFont val="Noto Sans CJK SC"/>
        <family val="2"/>
      </rPr>
      <t xml:space="preserve">예를 들어 지난 입시나 취업에서 다른 선택을 했다면 어땠을까를 잠들기 전에 몇 번씩 떠올려 온 순간이 있었을 것입니다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이루지 못한 목표를 다른 사람이 이룬 소식을 들으며 마음이 가라앉은 적도 있을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지금은 그때 다른 길을 갔다면 하는 생각에 힘이 새어 나가서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지금의 나를 제대로 보기 어려워지기 쉽습니다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이렇게 내 길 앞에서 지난 일에 마음이 머무는 시간이 길어지면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지금 눈앞의 일을 볼 여유가 줄어들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 고민에서 열쇠는 지난 선택을 다시 따지는 것보다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 시간을 받아들이고 다음으로 넘어가는 데 있습니다</t>
    </r>
    <r>
      <rPr>
        <sz val="10"/>
        <rFont val="Malgun Gothic"/>
        <family val="0"/>
        <charset val="1"/>
      </rPr>
      <t xml:space="preserve">.</t>
    </r>
  </si>
  <si>
    <t xml:space="preserve">combo.apply_fallback.LOV_START</t>
  </si>
  <si>
    <t xml:space="preserve">연애</t>
  </si>
  <si>
    <r>
      <rPr>
        <sz val="10"/>
        <rFont val="Noto Sans CJK SC"/>
        <family val="2"/>
      </rPr>
      <t xml:space="preserve">예를 들어 마음이 가는 사람에게 먼저 말을 걸고 싶다가도 부담스러워할까 봐 대화창만 열었다 닫아 온 순간이 있었을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반대로 마음이 앞서 관계를 서둘러 시작했다가 금방 어색해진 경험이 있을 수도 있고요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지금은 아직 아무것도 시작되지 않았다는 답답함이나 빨리 확인하고 싶은 조급함이 마음을 흔들기 쉬워요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이렇게 연애 속에서 시작을 미루는 시간이 길어질수록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해 보고 싶던 마음보다 하지 못한 아쉬움이 더 크게 남을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 고민에서 열쇠는 상대의 반응을 기다리는 것보다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내 일상에서 작게라도 직접 할 수 있는 일에 있어요</t>
    </r>
    <r>
      <rPr>
        <sz val="10"/>
        <rFont val="Malgun Gothic"/>
        <family val="0"/>
        <charset val="1"/>
      </rPr>
      <t xml:space="preserve">.</t>
    </r>
  </si>
  <si>
    <t xml:space="preserve">combo.apply_fallback.LOV_CHOOSE</t>
  </si>
  <si>
    <r>
      <rPr>
        <sz val="10"/>
        <rFont val="Noto Sans CJK SC"/>
        <family val="2"/>
      </rPr>
      <t xml:space="preserve">예를 들어 이 사람이 맞는지 장점과 단점을 머릿속으로 나열하며 몇 달째 저울질해 온 순간이 있었을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친구들에게 상황을 설명하고 누구 말이 맞는지 따져 본 적도 있을 것입니다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지금은 생각할수록 이어 갈지 말지 정하는 일이 늦어지고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마음이 어느 쪽에도 머물지 못하는 순간이 이어지기 쉬워요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이렇게 연애 속에서 선택이 계속 미뤄지면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정하지 않은 채로 지나가는 시간이 오히려 마음을 더 지치게 할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 고민에서 열쇠는 상대를 더 분석하는 것보다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관계에서 내가 고를 것을 정하고 선택지를 줄이는 데 있어요</t>
    </r>
    <r>
      <rPr>
        <sz val="10"/>
        <rFont val="Malgun Gothic"/>
        <family val="0"/>
        <charset val="1"/>
      </rPr>
      <t xml:space="preserve">.</t>
    </r>
  </si>
  <si>
    <t xml:space="preserve">combo.apply_fallback.LOV_CONNECT</t>
  </si>
  <si>
    <r>
      <rPr>
        <sz val="10"/>
        <rFont val="Noto Sans CJK SC"/>
        <family val="2"/>
      </rPr>
      <t xml:space="preserve">예를 들어 답장이 늦어질 때마다 마지막에 보낸 말을 다시 읽어 보며 내가 뭘 잘못 말했는지 살펴 온 순간이 있었을 것입니다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내 기분보다 상대의 기분에 맞춰 약속 장소와 메뉴를 고른 적도 있을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지금은 서로 바라는 것이 엇갈리거나 연락 빈도가 조금만 달라져도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작은 거리감에 마음이 크게 흔들리기 쉽습니다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이렇게 연애 속에서 상대의 반응에 마음을 맞추는 일이 이어지면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내가 정말 바라는 것이 점점 흐릿해질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 고민에서 열쇠는 상대의 마음을 읽는 것보다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내가 바라는 관계의 모양을 먼저 아는 데 있습니다</t>
    </r>
    <r>
      <rPr>
        <sz val="10"/>
        <rFont val="Malgun Gothic"/>
        <family val="0"/>
        <charset val="1"/>
      </rPr>
      <t xml:space="preserve">.</t>
    </r>
  </si>
  <si>
    <t xml:space="preserve">combo.apply_fallback.LOV_REST</t>
  </si>
  <si>
    <r>
      <rPr>
        <sz val="10"/>
        <rFont val="Noto Sans CJK SC"/>
        <family val="2"/>
      </rPr>
      <t xml:space="preserve">예를 들어 상대의 기분이 안 좋아 보이면 내 피곤함은 뒤로 미루고 먼저 달래 온 순간이 있었을 것입니다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쉬고 싶은 주말에도 약속을 잡으며 관계를 지키려 애쓴 적도 있을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지금은 지친 마음이 상대의 작은 말 한마디에도 서운함을 크게 만들고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이 관계가 맞는지에 대한 판단까지 무겁게 하기 쉽습니다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이렇게 연애 속에서 쉬지 못한 채 버티는 시간이 이어지면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같은 일도 점점 더 크고 힘겹게 느껴질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 고민에서 열쇠는 관계를 바로 정리하는 것보다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먼저 나를 채워 흔들리지 않는 상태로 돌아오는 데 있습니다</t>
    </r>
    <r>
      <rPr>
        <sz val="10"/>
        <rFont val="Malgun Gothic"/>
        <family val="0"/>
        <charset val="1"/>
      </rPr>
      <t xml:space="preserve">.</t>
    </r>
  </si>
  <si>
    <t xml:space="preserve">combo.apply_fallback.LOV_BOUNDARY</t>
  </si>
  <si>
    <r>
      <rPr>
        <sz val="10"/>
        <rFont val="Noto Sans CJK SC"/>
        <family val="2"/>
      </rPr>
      <t xml:space="preserve">예를 들어 다툼이 생길까 봐 서운한 마음을 삼키고 상대에게 먼저 맞춰 준 순간이 있었을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상대가 어디에 있는지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누구와 있는지 궁금해 마음을 꽉 쥐고 지낸 적도 있을 것입니다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지금은 통제하려는 마음과 혼자 떠안은 역할이 연애를 즐거운 일보다 버거운 일로 만들기 쉬워요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이렇게 연애 속에서 혼자 쥐고 있는 것이 많아지면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정작 내가 소중히 하고 싶은 것에 쓸 힘이 줄어들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 고민에서 열쇠는 관계를 더 지키는 것보다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내가 지킬 것과 상대에게 맡길 것 사이의 선을 아는 데 있어요</t>
    </r>
    <r>
      <rPr>
        <sz val="10"/>
        <rFont val="Malgun Gothic"/>
        <family val="0"/>
        <charset val="1"/>
      </rPr>
      <t xml:space="preserve">.</t>
    </r>
  </si>
  <si>
    <t xml:space="preserve">combo.apply_fallback.LOV_LETGO</t>
  </si>
  <si>
    <r>
      <rPr>
        <sz val="10"/>
        <rFont val="Noto Sans CJK SC"/>
        <family val="2"/>
      </rPr>
      <t xml:space="preserve">예를 들어 헤어진 사람의 소셜 미디어를 한 번씩 열어 보거나 함께 갔던 장소를 지날 때 마음이 멈춰 온 순간이 있었을 것입니다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그때 이렇게 말했다면 하는 장면을 계속 되감아 본 적도 있을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지금은 이미 바꿀 수 없는 그 시간에 마음이 머물면서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오늘의 감정이나 새로운 인연에 쓸 힘이 새어 나가기 쉽습니다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이렇게 연애 속에서 지난 일에 마음이 머무는 시간이 길어지면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지금 눈앞의 일을 볼 여유가 줄어들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 고민에서 열쇠는 지난 관계의 이유를 다 찾는 것보다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 시간을 받아들이고 다음으로 넘어가는 데 있습니다</t>
    </r>
    <r>
      <rPr>
        <sz val="10"/>
        <rFont val="Malgun Gothic"/>
        <family val="0"/>
        <charset val="1"/>
      </rPr>
      <t xml:space="preserve">.</t>
    </r>
  </si>
  <si>
    <t xml:space="preserve">combo.apply_fallback.FAM_START</t>
  </si>
  <si>
    <t xml:space="preserve">가족</t>
  </si>
  <si>
    <r>
      <rPr>
        <sz val="10"/>
        <rFont val="Noto Sans CJK SC"/>
        <family val="2"/>
      </rPr>
      <t xml:space="preserve">예를 들어 독립이나 새로운 일을 생각하다가도 부모님 사정이 먼저 떠올라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나중에 하자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며 접어 온 순간이 있었을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가족 행사와 집안일을 챙기느라 내 일정이 계속 뒤로 밀린 적도 있을 거예요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지금은 집안 사정과 내 계획 사이에서 아무것도 시작하지 못한 답답함이 쌓이기 쉽습니다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이렇게 집 안에서 시작을 미루는 시간이 길어질수록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해 보고 싶던 마음보다 하지 못한 아쉬움이 더 크게 남을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 고민에서 열쇠는 가족의 상황이 정리되기를 기다리는 것보다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 안에서도 작게라도 내 일을 직접 해 보는 데 있습니다</t>
    </r>
    <r>
      <rPr>
        <sz val="10"/>
        <rFont val="Malgun Gothic"/>
        <family val="0"/>
        <charset val="1"/>
      </rPr>
      <t xml:space="preserve">.</t>
    </r>
  </si>
  <si>
    <t xml:space="preserve">combo.apply_fallback.FAM_CHOOSE</t>
  </si>
  <si>
    <r>
      <rPr>
        <sz val="10"/>
        <rFont val="Noto Sans CJK SC"/>
        <family val="2"/>
      </rPr>
      <t xml:space="preserve">예를 들어 진로나 독립 같은 큰 일을 앞두고 부모님의 기대와 내 바람을 번갈아 떠올리며 오래 저울질해 온 순간이 있었을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집안의 오랜 기준을 따르는 쪽이 편해서 그대로 고른 적도 있을 것입니다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지금은 누구의 마음도 다치지 않을 답을 찾느라 생각이 많아지고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정하는 일이 더 무거워지기 쉬워요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이렇게 집 안에서 선택이 계속 미뤄지면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정하지 않은 채로 지나가는 시간이 오히려 마음을 더 지치게 할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 고민에서 열쇠는 모두를 만족시키는 답보다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내가 고를 것을 정하고 선택지를 줄이는 데 있어요</t>
    </r>
    <r>
      <rPr>
        <sz val="10"/>
        <rFont val="Malgun Gothic"/>
        <family val="0"/>
        <charset val="1"/>
      </rPr>
      <t xml:space="preserve">.</t>
    </r>
  </si>
  <si>
    <t xml:space="preserve">combo.apply_fallback.FAM_CONNECT</t>
  </si>
  <si>
    <r>
      <rPr>
        <sz val="10"/>
        <rFont val="Noto Sans CJK SC"/>
        <family val="2"/>
      </rPr>
      <t xml:space="preserve">예를 들어 집에 들어서기 전에 가족의 표정과 목소리부터 살피며 분위기를 맞춰 온 순간이 있었을 거예요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식사 자리에서 불편한 이야기가 나올 것 같으면 먼저 화제를 돌린 적도 있을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지금은 서로 바라는 것이 엇갈리고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가까운 사이인 만큼 서운함도 커서 작은 말에도 마음이 흔들리기 쉬워요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이렇게 집 안에서 상대의 반응에 마음을 맞추는 일이 이어지면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내가 정말 바라는 것이 점점 흐릿해질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 고민에서 열쇠는 가족을 바꾸는 것보다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내가 바라는 가족 관계의 모양과 알맞은 거리를 아는 데 있어요</t>
    </r>
    <r>
      <rPr>
        <sz val="10"/>
        <rFont val="Malgun Gothic"/>
        <family val="0"/>
        <charset val="1"/>
      </rPr>
      <t xml:space="preserve">.</t>
    </r>
  </si>
  <si>
    <t xml:space="preserve">combo.apply_fallback.FAM_REST</t>
  </si>
  <si>
    <r>
      <rPr>
        <sz val="10"/>
        <rFont val="Noto Sans CJK SC"/>
        <family val="2"/>
      </rPr>
      <t xml:space="preserve">예를 들어 퇴근하고 돌아와 가족의 식사와 집안일까지 챙기며 내 쉬는 시간을 계속 뒤로 미뤄 온 순간이 있었을 거예요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가족이 아플 때 며칠씩 돌보면서 정작 내 몸은 살피지 못한 적도 있을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지금은 바닥난 힘 때문에 가족의 작은 말에도 예민해지고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해야 할 일 앞에서 판단이 무거워지기 쉬워요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이렇게 집 안에서 쉬지 못한 채 버티는 시간이 이어지면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같은 일도 점점 더 크고 힘겹게 느껴질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 고민에서 열쇠는 더 잘 챙기는 것보다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가족을 위해서라도 나를 먼저 채우는 진짜 쉼에 있어요</t>
    </r>
    <r>
      <rPr>
        <sz val="10"/>
        <rFont val="Malgun Gothic"/>
        <family val="0"/>
        <charset val="1"/>
      </rPr>
      <t xml:space="preserve">.</t>
    </r>
  </si>
  <si>
    <t xml:space="preserve">combo.apply_fallback.FAM_BOUNDARY</t>
  </si>
  <si>
    <r>
      <rPr>
        <sz val="10"/>
        <rFont val="Noto Sans CJK SC"/>
        <family val="2"/>
      </rPr>
      <t xml:space="preserve">예를 들어 가족의 돈 문제나 갈등 중재를 내 일처럼 혼자 맡아 온 순간이 있었을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집안이 흔들리지 않도록 모든 일을 내가 먼저 챙기고 알아서 정리해 온 적도 있을 것입니다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지금은 그 떠안음이 쌓여 가족을 아끼는 마음과 별개로 나를 지치게 하기 쉬워요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이렇게 집 안에서 혼자 쥐고 있는 것이 많아지면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정작 내가 소중히 하고 싶은 것에 쓸 힘이 줄어들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 고민에서 열쇠는 더 책임지는 것보다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내가 지킬 몫과 내려놓을 몫 사이의 선을 아는 데 있어요</t>
    </r>
    <r>
      <rPr>
        <sz val="10"/>
        <rFont val="Malgun Gothic"/>
        <family val="0"/>
        <charset val="1"/>
      </rPr>
      <t xml:space="preserve">.</t>
    </r>
  </si>
  <si>
    <t xml:space="preserve">combo.apply_fallback.FAM_LETGO</t>
  </si>
  <si>
    <r>
      <rPr>
        <sz val="10"/>
        <rFont val="Noto Sans CJK SC"/>
        <family val="2"/>
      </rPr>
      <t xml:space="preserve">예를 들어 어릴 적 부모님에게 들은 말이나 지난 명절의 다툼을 말로 꺼내지 못한 채 속으로 되새겨 온 순간이 있었을 것입니다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그때 내가 다르게 반응했다면 하는 장면이 불쑥 떠오른 적도 있을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지금은 이미 지나간 일과 바꿀 수 없는 가족의 모습에 마음을 쓰느라 힘이 새어 나가기 쉽습니다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이렇게 집 안에서 지난 일에 마음이 머무는 시간이 길어지면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지금 눈앞의 일을 볼 여유가 줄어들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 고민에서 열쇠는 지난 일을 바로잡는 것보다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 일을 받아들이고 지금의 나로 넘어가는 데 있습니다</t>
    </r>
    <r>
      <rPr>
        <sz val="10"/>
        <rFont val="Malgun Gothic"/>
        <family val="0"/>
        <charset val="1"/>
      </rPr>
      <t xml:space="preserve">.</t>
    </r>
  </si>
  <si>
    <t xml:space="preserve">combo.apply_fallback.SOC_START</t>
  </si>
  <si>
    <r>
      <rPr>
        <sz val="10"/>
        <rFont val="Noto Sans CJK SC"/>
        <family val="2"/>
      </rPr>
      <t xml:space="preserve">교우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사회관계</t>
    </r>
  </si>
  <si>
    <r>
      <rPr>
        <sz val="10"/>
        <rFont val="Noto Sans CJK SC"/>
        <family val="2"/>
      </rPr>
      <t xml:space="preserve">예를 들어 친구들 모임에서 하고 싶은 말이 있어도 분위기가 깨질까 봐 삼키고 지나온 순간이 있었을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반대로 분위기에 휩쓸려 가고 싶지 않은 모임에 서둘러 합류한 적도 있을 것입니다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지금은 친구들의 근황을 보면서 나만 뒤처진 것 같은 답답함과 비교에서 오는 조급함이 마음을 누르기 쉬워요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이렇게 친구 사이에서 시작을 미루는 시간이 길어질수록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해 보고 싶던 마음보다 하지 못한 아쉬움이 더 크게 남을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 고민에서 열쇠는 친구들의 속도를 따라가는 것보다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작게라도 내 일을 직접 해 보는 데 있어요</t>
    </r>
    <r>
      <rPr>
        <sz val="10"/>
        <rFont val="Malgun Gothic"/>
        <family val="0"/>
        <charset val="1"/>
      </rPr>
      <t xml:space="preserve">.</t>
    </r>
  </si>
  <si>
    <t xml:space="preserve">combo.apply_fallback.SOC_CHOOSE</t>
  </si>
  <si>
    <r>
      <rPr>
        <sz val="10"/>
        <rFont val="Noto Sans CJK SC"/>
        <family val="2"/>
      </rPr>
      <t xml:space="preserve">예를 들어 단체 대화방에서 어느 쪽 편에 설지 고민하며 답장을 쓰다 지우기를 반복해 온 순간이 있었을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다수가 정한 쪽에 따라가는 편이 안전해서 그대로 정한 적도 있을 것입니다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지금은 이 모임을 계속 이어 갈지 이것저것 따지느라 정하는 일이 늦어지고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 사이 마음의 부담이 더 커지기 쉬워요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이렇게 친구 사이에서 선택이 계속 미뤄지면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정하지 않은 채로 지나가는 시간이 오히려 마음을 더 지치게 할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 고민에서 열쇠는 모두에게 좋은 답을 찾는 것보다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내가 고를 것을 정하고 선택지를 줄이는 데 있어요</t>
    </r>
    <r>
      <rPr>
        <sz val="10"/>
        <rFont val="Malgun Gothic"/>
        <family val="0"/>
        <charset val="1"/>
      </rPr>
      <t xml:space="preserve">.</t>
    </r>
  </si>
  <si>
    <t xml:space="preserve">combo.apply_fallback.SOC_CONNECT</t>
  </si>
  <si>
    <r>
      <rPr>
        <sz val="10"/>
        <rFont val="Noto Sans CJK SC"/>
        <family val="2"/>
      </rPr>
      <t xml:space="preserve">예를 들어 친구에게 보낸 메시지의 읽음 표시가 오래 사라지지 않을 때 내가 실수한 건 아닌지 되짚어 온 순간이 있었을 거예요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친구의 말투가 평소와 다르면 분위기가 어긋나지 않도록 먼저 농담을 던진 적도 있을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지금은 서로의 기대가 엇갈리거나 예전 같지 않은 거리감이 느껴질 때 마음이 크게 흔들리기 쉬워요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이렇게 친구 사이에서 상대의 반응에 마음을 맞추는 일이 이어지면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내가 정말 바라는 것이 점점 흐릿해질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 고민에서 열쇠는 친구의 마음을 짐작하는 것보다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내가 바라는 우정의 모양을 아는 데 있어요</t>
    </r>
    <r>
      <rPr>
        <sz val="10"/>
        <rFont val="Malgun Gothic"/>
        <family val="0"/>
        <charset val="1"/>
      </rPr>
      <t xml:space="preserve">.</t>
    </r>
  </si>
  <si>
    <t xml:space="preserve">combo.apply_fallback.SOC_REST</t>
  </si>
  <si>
    <r>
      <rPr>
        <sz val="10"/>
        <rFont val="Noto Sans CJK SC"/>
        <family val="2"/>
      </rPr>
      <t xml:space="preserve">예를 들어 피곤한 날에도 친구의 이야기를 끝까지 들어 주고 모임에 빠지지 않으려 애써 온 순간이 있었을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약속이 겹친 주말에도 혼자 쉬는 시간을 만들지 못한 적도 있을 것입니다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지금은 바닥난 힘 때문에 사람을 만나는 일 자체가 무겁게 느껴지고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작은 일에도 기분이 가라앉기 쉬워요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이렇게 친구 사이에서 쉬지 못한 채 버티는 시간이 이어지면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같은 일도 점점 더 크고 힘겹게 느껴질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 고민에서 열쇠는 관계를 더 잘 챙기는 것보다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나를 먼저 채우는 진짜 쉼에 있어요</t>
    </r>
    <r>
      <rPr>
        <sz val="10"/>
        <rFont val="Malgun Gothic"/>
        <family val="0"/>
        <charset val="1"/>
      </rPr>
      <t xml:space="preserve">.</t>
    </r>
  </si>
  <si>
    <t xml:space="preserve">combo.apply_fallback.SOC_BOUNDARY</t>
  </si>
  <si>
    <r>
      <rPr>
        <sz val="10"/>
        <rFont val="Noto Sans CJK SC"/>
        <family val="2"/>
      </rPr>
      <t xml:space="preserve">예를 들어 친구가 밤늦게 고민을 털어놓을 때 내 사정은 접어 두고 끝까지 받아 준 순간이 있었을 것입니다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돈이나 시간이 걸린 부탁도 거절하지 못해 혼자 떠안은 적이 있을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지금은 그 떠안음이 쌓여서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친구를 만나고 돌아온 뒤 오히려 지쳐 있는 모습으로 나타나기 쉽습니다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이렇게 친구 사이에서 혼자 쥐고 있는 것이 많아지면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정작 내가 소중히 하고 싶은 것에 쓸 힘이 줄어들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 고민에서 열쇠는 더 좋은 친구가 되는 것보다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내가 지킬 것과 내려놓을 것 사이의 선을 아는 데 있습니다</t>
    </r>
    <r>
      <rPr>
        <sz val="10"/>
        <rFont val="Malgun Gothic"/>
        <family val="0"/>
        <charset val="1"/>
      </rPr>
      <t xml:space="preserve">.</t>
    </r>
  </si>
  <si>
    <t xml:space="preserve">combo.apply_fallback.SOC_LETGO</t>
  </si>
  <si>
    <r>
      <rPr>
        <sz val="10"/>
        <rFont val="Noto Sans CJK SC"/>
        <family val="2"/>
      </rPr>
      <t xml:space="preserve">예를 들어 멀어진 친구의 소셜 미디어에 올라온 사진을 보며 우리는 왜 이렇게 됐을까를 되짚어 온 순간이 있었을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서운했던 일을 겉으로는 웃어넘겼지만 속으로는 오래 간직한 적도 있을 것입니다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지금은 이미 달라진 관계를 되짚느라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지금 곁에 있는 사람들에게 쓸 힘이 새어 나가기 쉬워요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이렇게 친구 사이에서 지난 일에 마음이 머무는 시간이 길어지면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지금 눈앞의 일을 볼 여유가 줄어들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 고민에서 열쇠는 그때의 이유를 다 찾는 것보다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달라진 관계를 받아들이고 다음으로 넘어가는 데 있어요</t>
    </r>
    <r>
      <rPr>
        <sz val="10"/>
        <rFont val="Malgun Gothic"/>
        <family val="0"/>
        <charset val="1"/>
      </rPr>
      <t xml:space="preserve">.</t>
    </r>
  </si>
  <si>
    <t xml:space="preserve">combo.apply_fallback.LIF_START</t>
  </si>
  <si>
    <r>
      <rPr>
        <sz val="10"/>
        <rFont val="Noto Sans CJK SC"/>
        <family val="2"/>
      </rPr>
      <t xml:space="preserve">재정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생활안정</t>
    </r>
  </si>
  <si>
    <r>
      <rPr>
        <sz val="10"/>
        <rFont val="Noto Sans CJK SC"/>
        <family val="2"/>
      </rPr>
      <t xml:space="preserve">예를 들어 월급날마다 이번 달부터 저축을 시작하겠다고 마음먹고도 다음 달로 미뤄 온 순간이 있었을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반대로 가계부와 투자 계획부터 크게 세웠다가 보름 만에 멈춘 적도 있을 것입니다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지금은 시작하지 못한 마음이 통장 잔액을 볼 때마다 답답함과 조급함으로 쌓이기 쉬워요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이렇게 생활 속에서 시작을 미루는 시간이 길어질수록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해 보고 싶던 마음보다 하지 못한 아쉬움이 더 크게 남을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 고민에서 열쇠는 한 번에 크게 바꾸는 것보다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작게라도 직접 해 보며 생활의 감을 잡는 데 있어요</t>
    </r>
    <r>
      <rPr>
        <sz val="10"/>
        <rFont val="Malgun Gothic"/>
        <family val="0"/>
        <charset val="1"/>
      </rPr>
      <t xml:space="preserve">.</t>
    </r>
  </si>
  <si>
    <t xml:space="preserve">combo.apply_fallback.LIF_CHOOSE</t>
  </si>
  <si>
    <r>
      <rPr>
        <sz val="10"/>
        <rFont val="Noto Sans CJK SC"/>
        <family val="2"/>
      </rPr>
      <t xml:space="preserve">예를 들어 이사나 큰 지출을 앞두고 조건을 하나씩 비교하며 계약 날짜를 계속 미뤄 온 순간이 있었을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후기를 더 찾아보고 나서 정하자며 장바구니만 채워 둔 적도 있을 거예요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지금은 따질 것이 늘어날수록 정하는 일이 늦어지고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정하지 못한 일들이 쌓여 생활 전체가 무겁게 느껴지기 쉽습니다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이렇게 생활 속에서 선택이 계속 미뤄지면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정하지 않은 채로 지나가는 시간이 오히려 마음을 더 지치게 할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 고민에서 열쇠는 가장 좋은 선택을 찾는 것보다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내가 우선할 것을 정하고 선택지를 줄이는 데 있습니다</t>
    </r>
    <r>
      <rPr>
        <sz val="10"/>
        <rFont val="Malgun Gothic"/>
        <family val="0"/>
        <charset val="1"/>
      </rPr>
      <t xml:space="preserve">.</t>
    </r>
  </si>
  <si>
    <t xml:space="preserve">combo.apply_fallback.LIF_CONNECT</t>
  </si>
  <si>
    <r>
      <rPr>
        <sz val="10"/>
        <rFont val="Noto Sans CJK SC"/>
        <family val="2"/>
      </rPr>
      <t xml:space="preserve">예를 들어 모임에서 계산을 나눌 때 분위기가 어색해질까 봐 내 몫보다 더 내고 넘어간 순간이 있었을 것입니다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가족이나 연인과 돈 이야기가 나오면 상대의 눈치를 먼저 살핀 적도 있을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지금은 돈을 둘러싼 서로의 기대가 엇갈리면서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생활보다 관계 때문에 마음이 흔들리기 쉽습니다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이렇게 생활 속에서 상대의 반응에 마음을 맞추는 일이 이어지면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내가 정말 바라는 것이 점점 흐릿해질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 고민에서 열쇠는 상대에게 맞추는 것보다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생활 속에서 내가 바라는 관계의 모양을 아는 데 있습니다</t>
    </r>
    <r>
      <rPr>
        <sz val="10"/>
        <rFont val="Malgun Gothic"/>
        <family val="0"/>
        <charset val="1"/>
      </rPr>
      <t xml:space="preserve">.</t>
    </r>
  </si>
  <si>
    <t xml:space="preserve">combo.apply_fallback.LIF_REST</t>
  </si>
  <si>
    <r>
      <rPr>
        <sz val="10"/>
        <rFont val="Noto Sans CJK SC"/>
        <family val="2"/>
      </rPr>
      <t xml:space="preserve">예를 들어 생활비를 맞추려고 쉬는 날에도 부업이나 추가 근무를 이어 온 순간이 있었을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피곤해도 지출을 줄이려고 쉬는 데 드는 비용을 아까워한 적도 있을 것입니다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지금은 바닥난 힘 때문에 돈에 대한 판단이 흐려지고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작은 지출에도 기분이 크게 흔들리기 쉬워요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이렇게 생활 속에서 쉬지 못한 채 버티는 시간이 이어지면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같은 일도 점점 더 크고 힘겹게 느껴질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 고민에서 열쇠는 더 아끼고 더 버는 것보다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생활을 버틸 힘을 먼저 채우는 진짜 쉼에 있어요</t>
    </r>
    <r>
      <rPr>
        <sz val="10"/>
        <rFont val="Malgun Gothic"/>
        <family val="0"/>
        <charset val="1"/>
      </rPr>
      <t xml:space="preserve">.</t>
    </r>
  </si>
  <si>
    <t xml:space="preserve">combo.apply_fallback.LIF_BOUNDARY</t>
  </si>
  <si>
    <r>
      <rPr>
        <sz val="10"/>
        <rFont val="Noto Sans CJK SC"/>
        <family val="2"/>
      </rPr>
      <t xml:space="preserve">예를 들어 생활비와 공과금을 혼자 책임지며 돈이 새지 않도록 모든 내역을 직접 관리해 온 순간이 있었을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가족의 용돈이나 경조사비까지 내 몫으로 떠안은 적도 있을 거예요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지금은 통제하려는 마음과 떠안은 책임이 돈 문제 자체보다 더 큰 피로로 쌓이기 쉽습니다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이렇게 생활 속에서 혼자 쥐고 있는 것이 많아지면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정작 내가 소중히 하고 싶은 것에 쓸 힘이 줄어들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 고민에서 열쇠는 더 철저하게 관리하는 것보다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내가 지킬 것과 내려놓을 것 사이의 선을 아는 데 있습니다</t>
    </r>
    <r>
      <rPr>
        <sz val="10"/>
        <rFont val="Malgun Gothic"/>
        <family val="0"/>
        <charset val="1"/>
      </rPr>
      <t xml:space="preserve">.</t>
    </r>
  </si>
  <si>
    <t xml:space="preserve">combo.apply_fallback.LIF_LETGO</t>
  </si>
  <si>
    <r>
      <rPr>
        <sz val="10"/>
        <rFont val="Noto Sans CJK SC"/>
        <family val="2"/>
      </rPr>
      <t xml:space="preserve">예를 들어 지난번에 샀던 물건이나 놓친 투자 기회를 그때 왜 그랬을까 하며 되새겨 온 순간이 있었을 거예요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손해를 본 계약이나 아쉬웠던 다짐을 계좌 앱을 열 때마다 다시 떠올린 적도 있을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지금은 이미 지나간 돈 문제를 되짚느라 지금의 생활을 꾸릴 힘이 새어 나가기 쉬워요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이렇게 생활 속에서 지난 일에 마음이 머무는 시간이 길어지면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지금 눈앞의 일을 볼 여유가 줄어들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 고민에서 열쇠는 지난 손해를 되찾는 것보다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 일을 받아들이고 다음 생활로 넘어가는 데 있어요</t>
    </r>
    <r>
      <rPr>
        <sz val="10"/>
        <rFont val="Malgun Gothic"/>
        <family val="0"/>
        <charset val="1"/>
      </rPr>
      <t xml:space="preserve">.</t>
    </r>
  </si>
  <si>
    <t xml:space="preserve">combo.apply_fallback.NONE_START</t>
  </si>
  <si>
    <t xml:space="preserve">고민 미작성</t>
  </si>
  <si>
    <r>
      <rPr>
        <sz val="10"/>
        <rFont val="Noto Sans CJK SC"/>
        <family val="2"/>
      </rPr>
      <t xml:space="preserve">예를 들어 마음속 그 고민을 떠올리면서 더 좋은 때가 오면 시작하자며 같은 생각을 잠들기 전 몇 번씩 미뤄 온 순간이 있었을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반대로 마음이 급해 이것저것 뛰어들었다가 지친 경험이 있을 수도 있고요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지금은 시작하지 못한 마음이 일상 곳곳에서 답답함과 조급함으로 나타나기 쉬워요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이렇게 그 고민 앞에서 시작을 미루는 시간이 길어질수록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해 보고 싶던 마음보다 하지 못한 아쉬움이 더 크게 남을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마음속에 떠올린 그 고민에서 열쇠는 완벽한 때를 기다리는 것보다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작게라도 직접 해 보는 데 있어요</t>
    </r>
    <r>
      <rPr>
        <sz val="10"/>
        <rFont val="Malgun Gothic"/>
        <family val="0"/>
        <charset val="1"/>
      </rPr>
      <t xml:space="preserve">.</t>
    </r>
  </si>
  <si>
    <t xml:space="preserve">combo.apply_fallback.NONE_CHOOSE</t>
  </si>
  <si>
    <r>
      <rPr>
        <sz val="10"/>
        <rFont val="Noto Sans CJK SC"/>
        <family val="2"/>
      </rPr>
      <t xml:space="preserve">예를 들어 마음속 그 고민을 두고 이쪽과 저쪽의 장단점을 머릿속으로 몇 번씩 나열해 온 순간이 있었을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내 기준보다 주변 사람들이 하는 말에 기대어 방향을 잡은 적도 있을 거예요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지금은 생각이 많아질수록 정하는 일이 늦어지고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고르지 못한 일들이 쌓여 마음이 무거워지기 쉽습니다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이렇게 그 고민 앞에서 선택이 계속 미뤄지면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정하지 않은 채로 지나가는 시간이 오히려 마음을 더 지치게 할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마음속에 떠올린 그 고민에서 열쇠는 더 따져 보는 것보다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고를 것을 정하고 선택지를 줄이는 데 있습니다</t>
    </r>
    <r>
      <rPr>
        <sz val="10"/>
        <rFont val="Malgun Gothic"/>
        <family val="0"/>
        <charset val="1"/>
      </rPr>
      <t xml:space="preserve">.</t>
    </r>
  </si>
  <si>
    <t xml:space="preserve">combo.apply_fallback.NONE_CONNECT</t>
  </si>
  <si>
    <r>
      <rPr>
        <sz val="10"/>
        <rFont val="Noto Sans CJK SC"/>
        <family val="2"/>
      </rPr>
      <t xml:space="preserve">예를 들어 마음속 그 고민과 얽힌 사람의 한마디를 오래 되새기며 상대의 반응을 먼저 살펴 온 순간이 있었을 거예요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내 마음을 말하기 전에 상대가 어떻게 받아들일지부터 생각한 적도 있을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지금은 엇갈린 기대와 작은 거리감에도 마음이 크게 흔들리고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내 기분이 상대의 반응에 따라 오르내리기 쉬워요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이렇게 그 고민 앞에서 상대의 반응에 마음을 맞추는 일이 이어지면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내가 정말 바라는 것이 점점 흐릿해질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마음속에 떠올린 그 고민에서 열쇠는 남의 마음을 읽는 것보다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내가 바라는 관계의 모양을 아는 데 있어요</t>
    </r>
    <r>
      <rPr>
        <sz val="10"/>
        <rFont val="Malgun Gothic"/>
        <family val="0"/>
        <charset val="1"/>
      </rPr>
      <t xml:space="preserve">.</t>
    </r>
  </si>
  <si>
    <t xml:space="preserve">combo.apply_fallback.NONE_REST</t>
  </si>
  <si>
    <r>
      <rPr>
        <sz val="10"/>
        <rFont val="Noto Sans CJK SC"/>
        <family val="2"/>
      </rPr>
      <t xml:space="preserve">예를 들어 마음속 그 고민을 안고도 해야 할 일과 주변 사람들을 먼저 챙기며 쉴 틈 없이 하루를 보내 온 순간이 있었을 것입니다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몸이 피곤하다는 신호를 알면서도 조금만 더 하자며 넘긴 적도 있을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지금은 바닥난 힘이 판단과 기분을 무겁게 하면서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평소라면 가볍게 넘길 일도 크게 느껴지기 쉽습니다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이렇게 그 고민 앞에서 쉬지 못한 채 버티는 시간이 이어지면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같은 일도 점점 더 크고 힘겹게 느껴질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마음속에 떠올린 그 고민에서 열쇠는 무엇을 더 해내는 것보다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먼저 바닥난 나를 채우는 진짜 쉼에 있습니다</t>
    </r>
    <r>
      <rPr>
        <sz val="10"/>
        <rFont val="Malgun Gothic"/>
        <family val="0"/>
        <charset val="1"/>
      </rPr>
      <t xml:space="preserve">.</t>
    </r>
  </si>
  <si>
    <t xml:space="preserve">combo.apply_fallback.NONE_BOUNDARY</t>
  </si>
  <si>
    <r>
      <rPr>
        <sz val="10"/>
        <rFont val="Noto Sans CJK SC"/>
        <family val="2"/>
      </rPr>
      <t xml:space="preserve">예를 들어 마음속 그 고민을 누구에게도 나눠 맡기지 못하고 혼자 끝까지 안고 온 순간이 있었을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무엇 하나 놓치지 않으려고 모든 일을 내가 먼저 확인하며 꽉 쥐고 지낸 적도 있을 거예요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지금은 통제하려는 마음과 떠안은 일들이 나도 모르게 나를 지치게 하기 쉽습니다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이렇게 그 고민 앞에서 혼자 쥐고 있는 것이 많아지면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정작 내가 소중히 하고 싶은 것에 쓸 힘이 줄어들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마음속에 떠올린 그 고민에서 열쇠는 더 많이 지키는 것보다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지킬 것과 내려놓을 것 사이의 선을 아는 데 있습니다</t>
    </r>
    <r>
      <rPr>
        <sz val="10"/>
        <rFont val="Malgun Gothic"/>
        <family val="0"/>
        <charset val="1"/>
      </rPr>
      <t xml:space="preserve">.</t>
    </r>
  </si>
  <si>
    <t xml:space="preserve">combo.apply_fallback.NONE_LETGO</t>
  </si>
  <si>
    <r>
      <rPr>
        <sz val="10"/>
        <rFont val="Noto Sans CJK SC"/>
        <family val="2"/>
      </rPr>
      <t xml:space="preserve">예를 들어 마음속 그 고민의 시작이 된 일을 그때 다르게 했다면 하며 같은 장면을 잠들기 전 몇 번씩 되짚어 온 순간이 있었을 것입니다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이미 끝난 일인데도 문득 떠올라 마음이 멈춘 적도 있을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지금은 이미 바꿀 수 없는 것에 마음을 쓰느라 오늘에 쓸 힘이 새어 나가기 쉽습니다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이렇게 그 고민 앞에서 지난 일에 마음이 머무는 시간이 길어지면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지금 눈앞의 일을 볼 여유가 줄어들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마음속에 떠올린 그 고민에서 열쇠는 지난 일을 다시 따지는 것보다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 일을 받아들이고 다음으로 넘어가는 데 있습니다</t>
    </r>
    <r>
      <rPr>
        <sz val="10"/>
        <rFont val="Malgun Gothic"/>
        <family val="0"/>
        <charset val="1"/>
      </rPr>
      <t xml:space="preserve">.</t>
    </r>
  </si>
  <si>
    <t xml:space="preserve">combo.pace.near.title</t>
  </si>
  <si>
    <r>
      <rPr>
        <sz val="10"/>
        <rFont val="Malgun Gothic"/>
        <family val="0"/>
        <charset val="1"/>
      </rPr>
      <t xml:space="preserve">7</t>
    </r>
    <r>
      <rPr>
        <sz val="10"/>
        <rFont val="Noto Sans CJK SC"/>
        <family val="2"/>
      </rPr>
      <t xml:space="preserve">쪽 해결 속도</t>
    </r>
  </si>
  <si>
    <r>
      <rPr>
        <sz val="10"/>
        <rFont val="Noto Sans CJK SC"/>
        <family val="2"/>
      </rPr>
      <t xml:space="preserve">실마리가 가까움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확언형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제목</t>
    </r>
  </si>
  <si>
    <t xml:space="preserve">실마리가 가까이 있는 흐름이에요</t>
  </si>
  <si>
    <t xml:space="preserve">combo.pace.near.body</t>
  </si>
  <si>
    <r>
      <rPr>
        <sz val="10"/>
        <rFont val="Noto Sans CJK SC"/>
        <family val="2"/>
      </rPr>
      <t xml:space="preserve">실마리가 가까움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확언형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본문</t>
    </r>
  </si>
  <si>
    <r>
      <rPr>
        <sz val="10"/>
        <rFont val="Noto Sans CJK SC"/>
        <family val="2"/>
      </rPr>
      <t xml:space="preserve">세 장의 흐름이 한쪽으로 모여 있어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이 고민은 생각보다 가까운 곳에 풀릴 실마리가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지금의 작용을 바꿀 힘이 내 손 안에 있고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앞으로의 열쇠도 이미 보이는 자리에 놓여 있어요</t>
    </r>
    <r>
      <rPr>
        <sz val="10"/>
        <rFont val="Malgun Gothic"/>
        <family val="0"/>
        <charset val="1"/>
      </rPr>
      <t xml:space="preserve">.</t>
    </r>
  </si>
  <si>
    <t xml:space="preserve">combo.pace.step.title</t>
  </si>
  <si>
    <r>
      <rPr>
        <sz val="10"/>
        <rFont val="Noto Sans CJK SC"/>
        <family val="2"/>
      </rPr>
      <t xml:space="preserve">한 걸음씩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제목</t>
    </r>
  </si>
  <si>
    <t xml:space="preserve">한 걸음씩 풀어 가는 흐름이에요</t>
  </si>
  <si>
    <t xml:space="preserve">combo.pace.step.body</t>
  </si>
  <si>
    <r>
      <rPr>
        <sz val="10"/>
        <rFont val="Noto Sans CJK SC"/>
        <family val="2"/>
      </rPr>
      <t xml:space="preserve">한 걸음씩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본문</t>
    </r>
  </si>
  <si>
    <r>
      <rPr>
        <sz val="10"/>
        <rFont val="Noto Sans CJK SC"/>
        <family val="2"/>
      </rPr>
      <t xml:space="preserve">지나온 방식이 오래 쌓여 온 만큼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이 고민은 한 번에 풀리기보다 조금씩 풀려 가는 흐름이에요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습관처럼 굳은 방식은 바뀌는 데 시간이 걸리고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 사이 작은 변화가 하나씩 쌓이면서 흐름이 달라집니다</t>
    </r>
    <r>
      <rPr>
        <sz val="10"/>
        <rFont val="Malgun Gothic"/>
        <family val="0"/>
        <charset val="1"/>
      </rPr>
      <t xml:space="preserve">.</t>
    </r>
  </si>
  <si>
    <t xml:space="preserve">combo.pace.slow.title</t>
  </si>
  <si>
    <r>
      <rPr>
        <sz val="10"/>
        <rFont val="Noto Sans CJK SC"/>
        <family val="2"/>
      </rPr>
      <t xml:space="preserve">당장은 어려울 수도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여지</t>
    </r>
    <r>
      <rPr>
        <sz val="10"/>
        <rFont val="Malgun Gothic"/>
        <family val="0"/>
        <charset val="1"/>
      </rPr>
      <t xml:space="preserve">+</t>
    </r>
    <r>
      <rPr>
        <sz val="10"/>
        <rFont val="Noto Sans CJK SC"/>
        <family val="2"/>
      </rPr>
      <t xml:space="preserve">출구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제목</t>
    </r>
  </si>
  <si>
    <t xml:space="preserve">당장은 풀리기 어려울 수도 있는 흐름이에요</t>
  </si>
  <si>
    <t xml:space="preserve">combo.pace.slow.body</t>
  </si>
  <si>
    <r>
      <rPr>
        <sz val="10"/>
        <rFont val="Noto Sans CJK SC"/>
        <family val="2"/>
      </rPr>
      <t xml:space="preserve">당장은 어려울 수도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여지</t>
    </r>
    <r>
      <rPr>
        <sz val="10"/>
        <rFont val="Malgun Gothic"/>
        <family val="0"/>
        <charset val="1"/>
      </rPr>
      <t xml:space="preserve">+</t>
    </r>
    <r>
      <rPr>
        <sz val="10"/>
        <rFont val="Noto Sans CJK SC"/>
        <family val="2"/>
      </rPr>
      <t xml:space="preserve">출구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본문</t>
    </r>
  </si>
  <si>
    <r>
      <rPr>
        <sz val="10"/>
        <rFont val="Noto Sans CJK SC"/>
        <family val="2"/>
      </rPr>
      <t xml:space="preserve">이 고민은 여러 사정이 얽혀 있어 당장은 뚜렷한 답이 보이지 않을 수도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얽힌 것이 많은 만큼 풀리는 데에도 시간이 걸리는 흐름입니다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다만 지금 내 힘이 어디로 새어 나가는지 알아차리는 힘은 지금도 내 쪽에 있어요</t>
    </r>
    <r>
      <rPr>
        <sz val="10"/>
        <rFont val="Malgun Gothic"/>
        <family val="0"/>
        <charset val="1"/>
      </rPr>
      <t xml:space="preserve">.</t>
    </r>
  </si>
  <si>
    <t xml:space="preserve">combo.pace.watch.title</t>
  </si>
  <si>
    <r>
      <rPr>
        <sz val="10"/>
        <rFont val="Noto Sans CJK SC"/>
        <family val="2"/>
      </rPr>
      <t xml:space="preserve">주의 신호 때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점수 무관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제목</t>
    </r>
  </si>
  <si>
    <t xml:space="preserve">서두르지 않아도 괜찮은 흐름이에요</t>
  </si>
  <si>
    <t xml:space="preserve">combo.pace.watch.body</t>
  </si>
  <si>
    <r>
      <rPr>
        <sz val="10"/>
        <rFont val="Noto Sans CJK SC"/>
        <family val="2"/>
      </rPr>
      <t xml:space="preserve">주의 신호 때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점수 무관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본문</t>
    </r>
  </si>
  <si>
    <r>
      <rPr>
        <sz val="10"/>
        <rFont val="Noto Sans CJK SC"/>
        <family val="2"/>
      </rPr>
      <t xml:space="preserve">지금은 고민을 푸는 것보다 지친 나를 살피는 일이 먼저인 때입니다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지금 느끼는 무게가 큰 건 그만큼 오래 애써 왔기 때문이에요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서둘러 답을 찾지 않아도 흐름은 멈추지 않고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힘이 조금 돌아온 뒤에야 보이는 것들이 있습니다</t>
    </r>
    <r>
      <rPr>
        <sz val="10"/>
        <rFont val="Malgun Gothic"/>
        <family val="0"/>
        <charset val="1"/>
      </rPr>
      <t xml:space="preserve">.</t>
    </r>
  </si>
  <si>
    <t xml:space="preserve">combo.pace.near_q.title</t>
  </si>
  <si>
    <r>
      <rPr>
        <sz val="10"/>
        <rFont val="Noto Sans CJK SC"/>
        <family val="2"/>
      </rPr>
      <t xml:space="preserve">실마리가 가까움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질문형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제목</t>
    </r>
  </si>
  <si>
    <t xml:space="preserve">내 쪽의 실마리가 가까운 흐름이에요</t>
  </si>
  <si>
    <t xml:space="preserve">combo.pace.near_q.body</t>
  </si>
  <si>
    <r>
      <rPr>
        <sz val="10"/>
        <rFont val="Noto Sans CJK SC"/>
        <family val="2"/>
      </rPr>
      <t xml:space="preserve">실마리가 가까움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질문형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본문</t>
    </r>
  </si>
  <si>
    <r>
      <rPr>
        <sz val="10"/>
        <rFont val="Noto Sans CJK SC"/>
        <family val="2"/>
      </rPr>
      <t xml:space="preserve">이 고민의 결과는 상대의 마음과 상황에 달려 있어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카드가 그 답을 정해 주지는 않습니다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다만 내 쪽의 흐름만 보면 실마리가 가까이 있고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내 마음을 정리할 힘도 충분히 남아 있어요</t>
    </r>
    <r>
      <rPr>
        <sz val="10"/>
        <rFont val="Malgun Gothic"/>
        <family val="0"/>
        <charset val="1"/>
      </rPr>
      <t xml:space="preserve">.</t>
    </r>
  </si>
  <si>
    <t xml:space="preserve">combo.pace.step_q.title</t>
  </si>
  <si>
    <r>
      <rPr>
        <sz val="10"/>
        <rFont val="Noto Sans CJK SC"/>
        <family val="2"/>
      </rPr>
      <t xml:space="preserve">한 걸음씩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질문형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제목</t>
    </r>
  </si>
  <si>
    <t xml:space="preserve">내 쪽에서 한 걸음씩 풀어 가는 흐름이에요</t>
  </si>
  <si>
    <t xml:space="preserve">combo.pace.step_q.body</t>
  </si>
  <si>
    <r>
      <rPr>
        <sz val="10"/>
        <rFont val="Noto Sans CJK SC"/>
        <family val="2"/>
      </rPr>
      <t xml:space="preserve">한 걸음씩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질문형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본문</t>
    </r>
  </si>
  <si>
    <r>
      <rPr>
        <sz val="10"/>
        <rFont val="Noto Sans CJK SC"/>
        <family val="2"/>
      </rPr>
      <t xml:space="preserve">결과는 상대와 상황에 달려 있어 카드가 미리 말해 주지는 않아요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내 쪽의 흐름은 한 번에 정리되기보다 조금씩 풀려 가는 모양이고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그만큼 마음이 자리를 잡는 데 시간이 필요합니다</t>
    </r>
    <r>
      <rPr>
        <sz val="10"/>
        <rFont val="Malgun Gothic"/>
        <family val="0"/>
        <charset val="1"/>
      </rPr>
      <t xml:space="preserve">.</t>
    </r>
  </si>
  <si>
    <t xml:space="preserve">combo.pace.slow_q.title</t>
  </si>
  <si>
    <r>
      <rPr>
        <sz val="10"/>
        <rFont val="Noto Sans CJK SC"/>
        <family val="2"/>
      </rPr>
      <t xml:space="preserve">당장은 어려울 수도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질문형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제목</t>
    </r>
  </si>
  <si>
    <t xml:space="preserve">내 쪽도 정리에 시간이 걸리는 흐름이에요</t>
  </si>
  <si>
    <t xml:space="preserve">combo.pace.slow_q.body</t>
  </si>
  <si>
    <r>
      <rPr>
        <sz val="10"/>
        <rFont val="Noto Sans CJK SC"/>
        <family val="2"/>
      </rPr>
      <t xml:space="preserve">당장은 어려울 수도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질문형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본문</t>
    </r>
  </si>
  <si>
    <r>
      <rPr>
        <sz val="10"/>
        <rFont val="Noto Sans CJK SC"/>
        <family val="2"/>
      </rPr>
      <t xml:space="preserve">결과는 상대와 상황에 달려 있고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내 쪽의 마음도 당장은 정리되기 어려울 수 있습니다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기다림이 길어질수록 마음이 결과 쪽으로 쏠리기 쉬운 흐름이에요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다만 그 사이 내 하루를 어떻게 보낼지는 지금도 내 쪽에 있습니다</t>
    </r>
    <r>
      <rPr>
        <sz val="10"/>
        <rFont val="Malgun Gothic"/>
        <family val="0"/>
        <charset val="1"/>
      </rPr>
      <t xml:space="preserve">.</t>
    </r>
  </si>
  <si>
    <t xml:space="preserve">combo.reasons.past_pos</t>
  </si>
  <si>
    <r>
      <rPr>
        <sz val="10"/>
        <rFont val="Malgun Gothic"/>
        <family val="0"/>
        <charset val="1"/>
      </rPr>
      <t xml:space="preserve">7</t>
    </r>
    <r>
      <rPr>
        <sz val="10"/>
        <rFont val="Noto Sans CJK SC"/>
        <family val="2"/>
      </rPr>
      <t xml:space="preserve">쪽 이렇게 읽은 이유</t>
    </r>
  </si>
  <si>
    <t xml:space="preserve">지나온 길 카드 힘이 흐름</t>
  </si>
  <si>
    <r>
      <rPr>
        <sz val="10"/>
        <rFont val="Noto Sans CJK SC"/>
        <family val="2"/>
      </rPr>
      <t xml:space="preserve">지나온 길의 ‘</t>
    </r>
    <r>
      <rPr>
        <sz val="10"/>
        <rFont val="Malgun Gothic"/>
        <family val="0"/>
        <charset val="1"/>
      </rPr>
      <t xml:space="preserve">{c}’{c:</t>
    </r>
    <r>
      <rPr>
        <sz val="10"/>
        <rFont val="Noto Sans CJK SC"/>
        <family val="2"/>
      </rPr>
      <t xml:space="preserve">이</t>
    </r>
    <r>
      <rPr>
        <sz val="10"/>
        <rFont val="Malgun Gothic"/>
        <family val="0"/>
        <charset val="1"/>
      </rPr>
      <t xml:space="preserve">} </t>
    </r>
    <r>
      <rPr>
        <sz val="10"/>
        <rFont val="Noto Sans CJK SC"/>
        <family val="2"/>
      </rPr>
      <t xml:space="preserve">힘이 앞으로 흐르는 쪽으로 나왔어요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그동안 해 온 방식 안에 이미 풀어 갈 힘이 들어 있다는 뜻입니다</t>
    </r>
    <r>
      <rPr>
        <sz val="10"/>
        <rFont val="Malgun Gothic"/>
        <family val="0"/>
        <charset val="1"/>
      </rPr>
      <t xml:space="preserve">.</t>
    </r>
  </si>
  <si>
    <t xml:space="preserve">combo.reasons.past_neg</t>
  </si>
  <si>
    <t xml:space="preserve">지나온 길 카드 힘이 머묾</t>
  </si>
  <si>
    <r>
      <rPr>
        <sz val="10"/>
        <rFont val="Noto Sans CJK SC"/>
        <family val="2"/>
      </rPr>
      <t xml:space="preserve">지나온 길의 ‘</t>
    </r>
    <r>
      <rPr>
        <sz val="10"/>
        <rFont val="Malgun Gothic"/>
        <family val="0"/>
        <charset val="1"/>
      </rPr>
      <t xml:space="preserve">{c}’{c:</t>
    </r>
    <r>
      <rPr>
        <sz val="10"/>
        <rFont val="Noto Sans CJK SC"/>
        <family val="2"/>
      </rPr>
      <t xml:space="preserve">은</t>
    </r>
    <r>
      <rPr>
        <sz val="10"/>
        <rFont val="Malgun Gothic"/>
        <family val="0"/>
        <charset val="1"/>
      </rPr>
      <t xml:space="preserve">} </t>
    </r>
    <r>
      <rPr>
        <sz val="10"/>
        <rFont val="Noto Sans CJK SC"/>
        <family val="2"/>
      </rPr>
      <t xml:space="preserve">힘이 안으로 웅크린 쪽으로 나왔습니다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그동안의 방식이 지금까지 무게로 남아 있어 출발이 조금 느릴 수 있어요</t>
    </r>
    <r>
      <rPr>
        <sz val="10"/>
        <rFont val="Malgun Gothic"/>
        <family val="0"/>
        <charset val="1"/>
      </rPr>
      <t xml:space="preserve">.</t>
    </r>
  </si>
  <si>
    <t xml:space="preserve">combo.reasons.present_pos</t>
  </si>
  <si>
    <t xml:space="preserve">지금의 흐름 카드 힘이 흐름</t>
  </si>
  <si>
    <r>
      <rPr>
        <sz val="10"/>
        <rFont val="Noto Sans CJK SC"/>
        <family val="2"/>
      </rPr>
      <t xml:space="preserve">지금의 흐름 ‘</t>
    </r>
    <r>
      <rPr>
        <sz val="10"/>
        <rFont val="Malgun Gothic"/>
        <family val="0"/>
        <charset val="1"/>
      </rPr>
      <t xml:space="preserve">{c}’{c:</t>
    </r>
    <r>
      <rPr>
        <sz val="10"/>
        <rFont val="Noto Sans CJK SC"/>
        <family val="2"/>
      </rPr>
      <t xml:space="preserve">이</t>
    </r>
    <r>
      <rPr>
        <sz val="10"/>
        <rFont val="Malgun Gothic"/>
        <family val="0"/>
        <charset val="1"/>
      </rPr>
      <t xml:space="preserve">} </t>
    </r>
    <r>
      <rPr>
        <sz val="10"/>
        <rFont val="Noto Sans CJK SC"/>
        <family val="2"/>
      </rPr>
      <t xml:space="preserve">힘이 살아 있는 쪽으로 나왔어요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지금 이 고민이 나를 막기보다 움직이게 하는 쪽으로 작용하고 있습니다</t>
    </r>
    <r>
      <rPr>
        <sz val="10"/>
        <rFont val="Malgun Gothic"/>
        <family val="0"/>
        <charset val="1"/>
      </rPr>
      <t xml:space="preserve">.</t>
    </r>
  </si>
  <si>
    <t xml:space="preserve">combo.reasons.present_neg</t>
  </si>
  <si>
    <t xml:space="preserve">지금의 흐름 카드 힘이 묶임</t>
  </si>
  <si>
    <r>
      <rPr>
        <sz val="10"/>
        <rFont val="Noto Sans CJK SC"/>
        <family val="2"/>
      </rPr>
      <t xml:space="preserve">지금의 흐름 ‘</t>
    </r>
    <r>
      <rPr>
        <sz val="10"/>
        <rFont val="Malgun Gothic"/>
        <family val="0"/>
        <charset val="1"/>
      </rPr>
      <t xml:space="preserve">{c}’{c:</t>
    </r>
    <r>
      <rPr>
        <sz val="10"/>
        <rFont val="Noto Sans CJK SC"/>
        <family val="2"/>
      </rPr>
      <t xml:space="preserve">은</t>
    </r>
    <r>
      <rPr>
        <sz val="10"/>
        <rFont val="Malgun Gothic"/>
        <family val="0"/>
        <charset val="1"/>
      </rPr>
      <t xml:space="preserve">} </t>
    </r>
    <r>
      <rPr>
        <sz val="10"/>
        <rFont val="Noto Sans CJK SC"/>
        <family val="2"/>
      </rPr>
      <t xml:space="preserve">힘이 묶여 있는 쪽으로 나왔습니다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지금 이 고민이 나를 붙잡는 힘이 커서 속도가 느려지기 쉬워요</t>
    </r>
    <r>
      <rPr>
        <sz val="10"/>
        <rFont val="Malgun Gothic"/>
        <family val="0"/>
        <charset val="1"/>
      </rPr>
      <t xml:space="preserve">.</t>
    </r>
  </si>
  <si>
    <t xml:space="preserve">combo.reasons.future_pos</t>
  </si>
  <si>
    <r>
      <rPr>
        <sz val="10"/>
        <rFont val="Noto Sans CJK SC"/>
        <family val="2"/>
      </rPr>
      <t xml:space="preserve">앞으로의 열쇠 힘이 흐름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가중 </t>
    </r>
    <r>
      <rPr>
        <sz val="10"/>
        <rFont val="Malgun Gothic"/>
        <family val="0"/>
        <charset val="1"/>
      </rPr>
      <t xml:space="preserve">2)</t>
    </r>
  </si>
  <si>
    <r>
      <rPr>
        <sz val="10"/>
        <rFont val="Noto Sans CJK SC"/>
        <family val="2"/>
      </rPr>
      <t xml:space="preserve">앞으로의 열쇠 ‘</t>
    </r>
    <r>
      <rPr>
        <sz val="10"/>
        <rFont val="Malgun Gothic"/>
        <family val="0"/>
        <charset val="1"/>
      </rPr>
      <t xml:space="preserve">{c}’{c:</t>
    </r>
    <r>
      <rPr>
        <sz val="10"/>
        <rFont val="Noto Sans CJK SC"/>
        <family val="2"/>
      </rPr>
      <t xml:space="preserve">이</t>
    </r>
    <r>
      <rPr>
        <sz val="10"/>
        <rFont val="Malgun Gothic"/>
        <family val="0"/>
        <charset val="1"/>
      </rPr>
      <t xml:space="preserve">} </t>
    </r>
    <r>
      <rPr>
        <sz val="10"/>
        <rFont val="Noto Sans CJK SC"/>
        <family val="2"/>
      </rPr>
      <t xml:space="preserve">힘이 앞으로 흐르는 쪽으로 나왔어요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흐름을 가장 크게 좌우하는 자리라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속도를 앞당기는 쪽으로 읽었습니다</t>
    </r>
    <r>
      <rPr>
        <sz val="10"/>
        <rFont val="Malgun Gothic"/>
        <family val="0"/>
        <charset val="1"/>
      </rPr>
      <t xml:space="preserve">.</t>
    </r>
  </si>
  <si>
    <t xml:space="preserve">combo.reasons.future_neg</t>
  </si>
  <si>
    <r>
      <rPr>
        <sz val="10"/>
        <rFont val="Noto Sans CJK SC"/>
        <family val="2"/>
      </rPr>
      <t xml:space="preserve">앞으로의 열쇠 힘이 막힘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가중 </t>
    </r>
    <r>
      <rPr>
        <sz val="10"/>
        <rFont val="Malgun Gothic"/>
        <family val="0"/>
        <charset val="1"/>
      </rPr>
      <t xml:space="preserve">2)</t>
    </r>
  </si>
  <si>
    <r>
      <rPr>
        <sz val="10"/>
        <rFont val="Noto Sans CJK SC"/>
        <family val="2"/>
      </rPr>
      <t xml:space="preserve">앞으로의 열쇠 ‘</t>
    </r>
    <r>
      <rPr>
        <sz val="10"/>
        <rFont val="Malgun Gothic"/>
        <family val="0"/>
        <charset val="1"/>
      </rPr>
      <t xml:space="preserve">{c}’{c:</t>
    </r>
    <r>
      <rPr>
        <sz val="10"/>
        <rFont val="Noto Sans CJK SC"/>
        <family val="2"/>
      </rPr>
      <t xml:space="preserve">은</t>
    </r>
    <r>
      <rPr>
        <sz val="10"/>
        <rFont val="Malgun Gothic"/>
        <family val="0"/>
        <charset val="1"/>
      </rPr>
      <t xml:space="preserve">} </t>
    </r>
    <r>
      <rPr>
        <sz val="10"/>
        <rFont val="Noto Sans CJK SC"/>
        <family val="2"/>
      </rPr>
      <t xml:space="preserve">힘이 막혀 있는 쪽으로 나왔습니다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흐름을 가장 크게 좌우하는 자리라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속도를 늦추는 쪽으로 읽었어요</t>
    </r>
    <r>
      <rPr>
        <sz val="10"/>
        <rFont val="Malgun Gothic"/>
        <family val="0"/>
        <charset val="1"/>
      </rPr>
      <t xml:space="preserve">.</t>
    </r>
  </si>
  <si>
    <t xml:space="preserve">combo.reasons.same_need</t>
  </si>
  <si>
    <r>
      <rPr>
        <sz val="10"/>
        <rFont val="Malgun Gothic"/>
        <family val="0"/>
        <charset val="1"/>
      </rPr>
      <t xml:space="preserve">2·3</t>
    </r>
    <r>
      <rPr>
        <sz val="10"/>
        <rFont val="Noto Sans CJK SC"/>
        <family val="2"/>
      </rPr>
      <t xml:space="preserve">번 같은 성격</t>
    </r>
  </si>
  <si>
    <r>
      <rPr>
        <sz val="10"/>
        <rFont val="Noto Sans CJK SC"/>
        <family val="2"/>
      </rPr>
      <t xml:space="preserve">지금의 흐름과 앞으로의 열쇠가 같은 성격의 카드입니다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지금 붙잡힌 곳과 풀어 갈 곳이 같아서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한 곳에 힘을 모으기 쉬운 흐름이에요</t>
    </r>
    <r>
      <rPr>
        <sz val="10"/>
        <rFont val="Malgun Gothic"/>
        <family val="0"/>
        <charset val="1"/>
      </rPr>
      <t xml:space="preserve">.</t>
    </r>
  </si>
  <si>
    <t xml:space="preserve">combo.reasons.hold_letgo</t>
  </si>
  <si>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번이 바꿀 수 없는 것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쏠 규칙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</si>
  <si>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지금의 흐름에 ‘바꿀 수 없는 것’을 비추는 카드가 나왔습니다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내 힘만으로 움직일 수 없는 부분이 섞여 있어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그만큼 속도를 조금 낮춰 읽었어요</t>
    </r>
    <r>
      <rPr>
        <sz val="10"/>
        <rFont val="Malgun Gothic"/>
        <family val="0"/>
        <charset val="1"/>
      </rPr>
      <t xml:space="preserve">.</t>
    </r>
  </si>
  <si>
    <t xml:space="preserve">combo.reasons.reversed_none</t>
  </si>
  <si>
    <t xml:space="preserve">역방향 없음</t>
  </si>
  <si>
    <r>
      <rPr>
        <sz val="10"/>
        <rFont val="Noto Sans CJK SC"/>
        <family val="2"/>
      </rPr>
      <t xml:space="preserve">세 장 모두 정방향이에요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세 자리의 힘이 막힘 없이 바깥으로 흐르고 있습니다</t>
    </r>
    <r>
      <rPr>
        <sz val="10"/>
        <rFont val="Malgun Gothic"/>
        <family val="0"/>
        <charset val="1"/>
      </rPr>
      <t xml:space="preserve">.</t>
    </r>
  </si>
  <si>
    <t xml:space="preserve">combo.reasons.reversed_many</t>
  </si>
  <si>
    <r>
      <rPr>
        <sz val="10"/>
        <rFont val="Noto Sans CJK SC"/>
        <family val="2"/>
      </rPr>
      <t xml:space="preserve">역방향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장 이상</t>
    </r>
  </si>
  <si>
    <r>
      <rPr>
        <sz val="10"/>
        <rFont val="Noto Sans CJK SC"/>
        <family val="2"/>
      </rPr>
      <t xml:space="preserve">세 장 중 두 장 이상이 역방향입니다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힘이 안쪽에 머무는 자리가 많아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바깥의 변화보다 안쪽 정리가 먼저인 흐름이에요</t>
    </r>
    <r>
      <rPr>
        <sz val="10"/>
        <rFont val="Malgun Gothic"/>
        <family val="0"/>
        <charset val="1"/>
      </rPr>
      <t xml:space="preserve">.</t>
    </r>
  </si>
  <si>
    <t xml:space="preserve">combo.reasons.ascending</t>
  </si>
  <si>
    <t xml:space="preserve">번호 오름차순</t>
  </si>
  <si>
    <r>
      <rPr>
        <sz val="10"/>
        <rFont val="Noto Sans CJK SC"/>
        <family val="2"/>
      </rPr>
      <t xml:space="preserve">카드 번호가 지나온 길에서 앞으로의 열쇠로 갈수록 커져요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타로에서는 이야기가 앞으로 나아가는 순서로 읽습니다</t>
    </r>
    <r>
      <rPr>
        <sz val="10"/>
        <rFont val="Malgun Gothic"/>
        <family val="0"/>
        <charset val="1"/>
      </rPr>
      <t xml:space="preserve">.</t>
    </r>
  </si>
  <si>
    <t xml:space="preserve">combo.reasons.descending</t>
  </si>
  <si>
    <t xml:space="preserve">번호 내림차순</t>
  </si>
  <si>
    <r>
      <rPr>
        <sz val="10"/>
        <rFont val="Noto Sans CJK SC"/>
        <family val="2"/>
      </rPr>
      <t xml:space="preserve">카드 번호가 지나온 길에서 앞으로의 열쇠로 갈수록 작아져요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타로에서는 앞으로 가기 전에 한 번 되돌아보는 순서로 읽습니다</t>
    </r>
    <r>
      <rPr>
        <sz val="10"/>
        <rFont val="Malgun Gothic"/>
        <family val="0"/>
        <charset val="1"/>
      </rPr>
      <t xml:space="preserve">.</t>
    </r>
  </si>
  <si>
    <t xml:space="preserve">combo.reasons.need_match</t>
  </si>
  <si>
    <r>
      <rPr>
        <sz val="10"/>
        <rFont val="Noto Sans CJK SC"/>
        <family val="2"/>
      </rPr>
      <t xml:space="preserve">고민의 필요 </t>
    </r>
    <r>
      <rPr>
        <sz val="10"/>
        <rFont val="Malgun Gothic"/>
        <family val="0"/>
        <charset val="1"/>
      </rPr>
      <t xml:space="preserve">= 3</t>
    </r>
    <r>
      <rPr>
        <sz val="10"/>
        <rFont val="Noto Sans CJK SC"/>
        <family val="2"/>
      </rPr>
      <t xml:space="preserve">번 성격</t>
    </r>
  </si>
  <si>
    <r>
      <rPr>
        <sz val="10"/>
        <rFont val="Noto Sans CJK SC"/>
        <family val="2"/>
      </rPr>
      <t xml:space="preserve">적어 주신 고민에서 가장 필요해 보인 것과 앞으로의 열쇠가 같은 쪽을 가리킵니다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고민과 카드가 같은 곳을 보고 있어요</t>
    </r>
    <r>
      <rPr>
        <sz val="10"/>
        <rFont val="Malgun Gothic"/>
        <family val="0"/>
        <charset val="1"/>
      </rPr>
      <t xml:space="preserve">.</t>
    </r>
  </si>
  <si>
    <t xml:space="preserve">combo.reasons.domain_match</t>
  </si>
  <si>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번이 고민 영역과 맞음</t>
    </r>
  </si>
  <si>
    <r>
      <rPr>
        <sz val="10"/>
        <rFont val="Noto Sans CJK SC"/>
        <family val="2"/>
      </rPr>
      <t xml:space="preserve">앞으로의 열쇠가 이 고민의 영역과 잘 맞는 카드입니다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카드가 비추는 열쇠를 고민 속 장면에 바로 대어 볼 수 있어요</t>
    </r>
    <r>
      <rPr>
        <sz val="10"/>
        <rFont val="Malgun Gothic"/>
        <family val="0"/>
        <charset val="1"/>
      </rPr>
      <t xml:space="preserve">.</t>
    </r>
  </si>
  <si>
    <t xml:space="preserve">combo.reasons.chronic</t>
  </si>
  <si>
    <t xml:space="preserve">오래된 고민</t>
  </si>
  <si>
    <r>
      <rPr>
        <sz val="10"/>
        <rFont val="Noto Sans CJK SC"/>
        <family val="2"/>
      </rPr>
      <t xml:space="preserve">오래 이어져 온 고민이라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한 번에 풀리기보다 조금씩 풀리는 쪽으로 읽었습니다</t>
    </r>
    <r>
      <rPr>
        <sz val="10"/>
        <rFont val="Malgun Gothic"/>
        <family val="0"/>
        <charset val="1"/>
      </rPr>
      <t xml:space="preserve">.</t>
    </r>
  </si>
  <si>
    <t xml:space="preserve">combo.tone.deadline</t>
  </si>
  <si>
    <r>
      <rPr>
        <sz val="10"/>
        <rFont val="Malgun Gothic"/>
        <family val="0"/>
        <charset val="1"/>
      </rPr>
      <t xml:space="preserve">7</t>
    </r>
    <r>
      <rPr>
        <sz val="10"/>
        <rFont val="Noto Sans CJK SC"/>
        <family val="2"/>
      </rPr>
      <t xml:space="preserve">쪽 고민 보정 문장</t>
    </r>
  </si>
  <si>
    <t xml:space="preserve">마감이 있는 고민</t>
  </si>
  <si>
    <r>
      <rPr>
        <sz val="10"/>
        <rFont val="Noto Sans CJK SC"/>
        <family val="2"/>
      </rPr>
      <t xml:space="preserve">마감이 정해진 고민이라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완벽한 답보다 그날까지 해낼 수 있는 일의 크기가 흐름을 좌우해요</t>
    </r>
    <r>
      <rPr>
        <sz val="10"/>
        <rFont val="Malgun Gothic"/>
        <family val="0"/>
        <charset val="1"/>
      </rPr>
      <t xml:space="preserve">.</t>
    </r>
  </si>
  <si>
    <t xml:space="preserve">combo.tone.other_locus</t>
  </si>
  <si>
    <r>
      <rPr>
        <sz val="10"/>
        <rFont val="Noto Sans CJK SC"/>
        <family val="2"/>
      </rPr>
      <t xml:space="preserve">남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상황에 달린 고민</t>
    </r>
  </si>
  <si>
    <r>
      <rPr>
        <sz val="10"/>
        <rFont val="Noto Sans CJK SC"/>
        <family val="2"/>
      </rPr>
      <t xml:space="preserve">결과가 상대나 상황에 달린 고민이라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흐름을 가르는 것은 결과보다 그 사이 내 마음이 어디에 머무느냐입니다</t>
    </r>
    <r>
      <rPr>
        <sz val="10"/>
        <rFont val="Malgun Gothic"/>
        <family val="0"/>
        <charset val="1"/>
      </rPr>
      <t xml:space="preserve">.</t>
    </r>
  </si>
  <si>
    <t xml:space="preserve">combo.momentum.0</t>
  </si>
  <si>
    <r>
      <rPr>
        <sz val="10"/>
        <rFont val="Malgun Gothic"/>
        <family val="0"/>
        <charset val="1"/>
      </rPr>
      <t xml:space="preserve">0. </t>
    </r>
    <r>
      <rPr>
        <sz val="10"/>
        <rFont val="Noto Sans CJK SC"/>
        <family val="2"/>
      </rPr>
      <t xml:space="preserve">첫 물장구</t>
    </r>
  </si>
  <si>
    <r>
      <rPr>
        <sz val="10"/>
        <rFont val="Noto Sans CJK SC"/>
        <family val="2"/>
      </rPr>
      <t xml:space="preserve">정방향 해결 기운</t>
    </r>
    <r>
      <rPr>
        <sz val="10"/>
        <rFont val="Malgun Gothic"/>
        <family val="0"/>
        <charset val="1"/>
      </rPr>
      <t xml:space="preserve">(-2~2, 0.5 </t>
    </r>
    <r>
      <rPr>
        <sz val="10"/>
        <rFont val="Noto Sans CJK SC"/>
        <family val="2"/>
      </rPr>
      <t xml:space="preserve">단위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역방향은 </t>
    </r>
    <r>
      <rPr>
        <sz val="10"/>
        <rFont val="Malgun Gothic"/>
        <family val="0"/>
        <charset val="1"/>
      </rPr>
      <t xml:space="preserve">-1(15·18</t>
    </r>
    <r>
      <rPr>
        <sz val="10"/>
        <rFont val="Noto Sans CJK SC"/>
        <family val="2"/>
      </rPr>
      <t xml:space="preserve">번은 </t>
    </r>
    <r>
      <rPr>
        <sz val="10"/>
        <rFont val="Malgun Gothic"/>
        <family val="0"/>
        <charset val="1"/>
      </rPr>
      <t xml:space="preserve">+1)</t>
    </r>
  </si>
  <si>
    <t xml:space="preserve">1</t>
  </si>
  <si>
    <t xml:space="preserve">combo.momentum.1</t>
  </si>
  <si>
    <r>
      <rPr>
        <sz val="10"/>
        <rFont val="Malgun Gothic"/>
        <family val="0"/>
        <charset val="1"/>
      </rPr>
      <t xml:space="preserve">1. </t>
    </r>
    <r>
      <rPr>
        <sz val="10"/>
        <rFont val="Noto Sans CJK SC"/>
        <family val="2"/>
      </rPr>
      <t xml:space="preserve">여덟 갈래의 손</t>
    </r>
  </si>
  <si>
    <t xml:space="preserve">combo.momentum.2</t>
  </si>
  <si>
    <r>
      <rPr>
        <sz val="10"/>
        <rFont val="Malgun Gothic"/>
        <family val="0"/>
        <charset val="1"/>
      </rPr>
      <t xml:space="preserve">2. </t>
    </r>
    <r>
      <rPr>
        <sz val="10"/>
        <rFont val="Noto Sans CJK SC"/>
        <family val="2"/>
      </rPr>
      <t xml:space="preserve">고요히 바라보기</t>
    </r>
  </si>
  <si>
    <t xml:space="preserve">0</t>
  </si>
  <si>
    <t xml:space="preserve">combo.momentum.3</t>
  </si>
  <si>
    <r>
      <rPr>
        <sz val="10"/>
        <rFont val="Malgun Gothic"/>
        <family val="0"/>
        <charset val="1"/>
      </rPr>
      <t xml:space="preserve">3. </t>
    </r>
    <r>
      <rPr>
        <sz val="10"/>
        <rFont val="Noto Sans CJK SC"/>
        <family val="2"/>
      </rPr>
      <t xml:space="preserve">품어 주는 품</t>
    </r>
  </si>
  <si>
    <t xml:space="preserve">combo.momentum.4</t>
  </si>
  <si>
    <r>
      <rPr>
        <sz val="10"/>
        <rFont val="Malgun Gothic"/>
        <family val="0"/>
        <charset val="1"/>
      </rPr>
      <t xml:space="preserve">4. </t>
    </r>
    <r>
      <rPr>
        <sz val="10"/>
        <rFont val="Noto Sans CJK SC"/>
        <family val="2"/>
      </rPr>
      <t xml:space="preserve">지키는 자리</t>
    </r>
  </si>
  <si>
    <t xml:space="preserve">combo.momentum.5</t>
  </si>
  <si>
    <r>
      <rPr>
        <sz val="10"/>
        <rFont val="Malgun Gothic"/>
        <family val="0"/>
        <charset val="1"/>
      </rPr>
      <t xml:space="preserve">5. </t>
    </r>
    <r>
      <rPr>
        <sz val="10"/>
        <rFont val="Noto Sans CJK SC"/>
        <family val="2"/>
      </rPr>
      <t xml:space="preserve">오래된 지혜</t>
    </r>
  </si>
  <si>
    <t xml:space="preserve">combo.momentum.6</t>
  </si>
  <si>
    <r>
      <rPr>
        <sz val="10"/>
        <rFont val="Malgun Gothic"/>
        <family val="0"/>
        <charset val="1"/>
      </rPr>
      <t xml:space="preserve">6. </t>
    </r>
    <r>
      <rPr>
        <sz val="10"/>
        <rFont val="Noto Sans CJK SC"/>
        <family val="2"/>
      </rPr>
      <t xml:space="preserve">나란히 헤엄</t>
    </r>
  </si>
  <si>
    <t xml:space="preserve">combo.momentum.7</t>
  </si>
  <si>
    <r>
      <rPr>
        <sz val="10"/>
        <rFont val="Malgun Gothic"/>
        <family val="0"/>
        <charset val="1"/>
      </rPr>
      <t xml:space="preserve">7. </t>
    </r>
    <r>
      <rPr>
        <sz val="10"/>
        <rFont val="Noto Sans CJK SC"/>
        <family val="2"/>
      </rPr>
      <t xml:space="preserve">파도를 타는 힘</t>
    </r>
  </si>
  <si>
    <t xml:space="preserve">combo.momentum.8</t>
  </si>
  <si>
    <r>
      <rPr>
        <sz val="10"/>
        <rFont val="Malgun Gothic"/>
        <family val="0"/>
        <charset val="1"/>
      </rPr>
      <t xml:space="preserve">8. </t>
    </r>
    <r>
      <rPr>
        <sz val="10"/>
        <rFont val="Noto Sans CJK SC"/>
        <family val="2"/>
      </rPr>
      <t xml:space="preserve">진주를 품는 힘</t>
    </r>
  </si>
  <si>
    <t xml:space="preserve">combo.momentum.9</t>
  </si>
  <si>
    <r>
      <rPr>
        <sz val="10"/>
        <rFont val="Malgun Gothic"/>
        <family val="0"/>
        <charset val="1"/>
      </rPr>
      <t xml:space="preserve">9. </t>
    </r>
    <r>
      <rPr>
        <sz val="10"/>
        <rFont val="Noto Sans CJK SC"/>
        <family val="2"/>
      </rPr>
      <t xml:space="preserve">나만의 등불</t>
    </r>
  </si>
  <si>
    <t xml:space="preserve">-0.5</t>
  </si>
  <si>
    <t xml:space="preserve">combo.momentum.10</t>
  </si>
  <si>
    <r>
      <rPr>
        <sz val="10"/>
        <rFont val="Malgun Gothic"/>
        <family val="0"/>
        <charset val="1"/>
      </rPr>
      <t xml:space="preserve">10. </t>
    </r>
    <r>
      <rPr>
        <sz val="10"/>
        <rFont val="Noto Sans CJK SC"/>
        <family val="2"/>
      </rPr>
      <t xml:space="preserve">물살의 순환</t>
    </r>
  </si>
  <si>
    <t xml:space="preserve">combo.momentum.11</t>
  </si>
  <si>
    <r>
      <rPr>
        <sz val="10"/>
        <rFont val="Malgun Gothic"/>
        <family val="0"/>
        <charset val="1"/>
      </rPr>
      <t xml:space="preserve">11. </t>
    </r>
    <r>
      <rPr>
        <sz val="10"/>
        <rFont val="Noto Sans CJK SC"/>
        <family val="2"/>
      </rPr>
      <t xml:space="preserve">고요한 균형</t>
    </r>
  </si>
  <si>
    <t xml:space="preserve">combo.momentum.12</t>
  </si>
  <si>
    <r>
      <rPr>
        <sz val="10"/>
        <rFont val="Malgun Gothic"/>
        <family val="0"/>
        <charset val="1"/>
      </rPr>
      <t xml:space="preserve">12. </t>
    </r>
    <r>
      <rPr>
        <sz val="10"/>
        <rFont val="Noto Sans CJK SC"/>
        <family val="2"/>
      </rPr>
      <t xml:space="preserve">바위 위의 쉼</t>
    </r>
  </si>
  <si>
    <t xml:space="preserve">-1</t>
  </si>
  <si>
    <t xml:space="preserve">combo.momentum.13</t>
  </si>
  <si>
    <r>
      <rPr>
        <sz val="10"/>
        <rFont val="Malgun Gothic"/>
        <family val="0"/>
        <charset val="1"/>
      </rPr>
      <t xml:space="preserve">13. </t>
    </r>
    <r>
      <rPr>
        <sz val="10"/>
        <rFont val="Noto Sans CJK SC"/>
        <family val="2"/>
      </rPr>
      <t xml:space="preserve">새 집으로 이사</t>
    </r>
  </si>
  <si>
    <t xml:space="preserve">combo.momentum.14</t>
  </si>
  <si>
    <r>
      <rPr>
        <sz val="10"/>
        <rFont val="Malgun Gothic"/>
        <family val="0"/>
        <charset val="1"/>
      </rPr>
      <t xml:space="preserve">14. </t>
    </r>
    <r>
      <rPr>
        <sz val="10"/>
        <rFont val="Noto Sans CJK SC"/>
        <family val="2"/>
      </rPr>
      <t xml:space="preserve">물과 뭍 사이</t>
    </r>
  </si>
  <si>
    <t xml:space="preserve">combo.momentum.15</t>
  </si>
  <si>
    <r>
      <rPr>
        <sz val="10"/>
        <rFont val="Malgun Gothic"/>
        <family val="0"/>
        <charset val="1"/>
      </rPr>
      <t xml:space="preserve">15. </t>
    </r>
    <r>
      <rPr>
        <sz val="10"/>
        <rFont val="Noto Sans CJK SC"/>
        <family val="2"/>
      </rPr>
      <t xml:space="preserve">부풀어 오른 마음</t>
    </r>
  </si>
  <si>
    <t xml:space="preserve">combo.momentum.16</t>
  </si>
  <si>
    <r>
      <rPr>
        <sz val="10"/>
        <rFont val="Malgun Gothic"/>
        <family val="0"/>
        <charset val="1"/>
      </rPr>
      <t xml:space="preserve">16. </t>
    </r>
    <r>
      <rPr>
        <sz val="10"/>
        <rFont val="Noto Sans CJK SC"/>
        <family val="2"/>
      </rPr>
      <t xml:space="preserve">다시 쌓는 둑</t>
    </r>
  </si>
  <si>
    <t xml:space="preserve">combo.momentum.17</t>
  </si>
  <si>
    <r>
      <rPr>
        <sz val="10"/>
        <rFont val="Malgun Gothic"/>
        <family val="0"/>
        <charset val="1"/>
      </rPr>
      <t xml:space="preserve">17. </t>
    </r>
    <r>
      <rPr>
        <sz val="10"/>
        <rFont val="Noto Sans CJK SC"/>
        <family val="2"/>
      </rPr>
      <t xml:space="preserve">다시 빛나는 별</t>
    </r>
  </si>
  <si>
    <t xml:space="preserve">combo.momentum.18</t>
  </si>
  <si>
    <r>
      <rPr>
        <sz val="10"/>
        <rFont val="Malgun Gothic"/>
        <family val="0"/>
        <charset val="1"/>
      </rPr>
      <t xml:space="preserve">18. </t>
    </r>
    <r>
      <rPr>
        <sz val="10"/>
        <rFont val="Noto Sans CJK SC"/>
        <family val="2"/>
      </rPr>
      <t xml:space="preserve">달빛 아래 떠다니기</t>
    </r>
  </si>
  <si>
    <t xml:space="preserve">combo.momentum.19</t>
  </si>
  <si>
    <r>
      <rPr>
        <sz val="10"/>
        <rFont val="Malgun Gothic"/>
        <family val="0"/>
        <charset val="1"/>
      </rPr>
      <t xml:space="preserve">19. </t>
    </r>
    <r>
      <rPr>
        <sz val="10"/>
        <rFont val="Noto Sans CJK SC"/>
        <family val="2"/>
      </rPr>
      <t xml:space="preserve">햇살 바위</t>
    </r>
  </si>
  <si>
    <t xml:space="preserve">combo.momentum.20</t>
  </si>
  <si>
    <r>
      <rPr>
        <sz val="10"/>
        <rFont val="Malgun Gothic"/>
        <family val="0"/>
        <charset val="1"/>
      </rPr>
      <t xml:space="preserve">20. </t>
    </r>
    <r>
      <rPr>
        <sz val="10"/>
        <rFont val="Noto Sans CJK SC"/>
        <family val="2"/>
      </rPr>
      <t xml:space="preserve">부름에 답하다</t>
    </r>
  </si>
  <si>
    <t xml:space="preserve">combo.momentum.21</t>
  </si>
  <si>
    <r>
      <rPr>
        <sz val="10"/>
        <rFont val="Malgun Gothic"/>
        <family val="0"/>
        <charset val="1"/>
      </rPr>
      <t xml:space="preserve">21. </t>
    </r>
    <r>
      <rPr>
        <sz val="10"/>
        <rFont val="Noto Sans CJK SC"/>
        <family val="2"/>
      </rPr>
      <t xml:space="preserve">한 바퀴의 바다</t>
    </r>
  </si>
  <si>
    <t xml:space="preserve">copy.intro.participants</t>
  </si>
  <si>
    <r>
      <rPr>
        <sz val="10"/>
        <rFont val="Malgun Gothic"/>
        <family val="0"/>
        <charset val="1"/>
      </rPr>
      <t xml:space="preserve">1 </t>
    </r>
    <r>
      <rPr>
        <sz val="10"/>
        <rFont val="Noto Sans CJK SC"/>
        <family val="2"/>
      </rPr>
      <t xml:space="preserve">인트로</t>
    </r>
  </si>
  <si>
    <t xml:space="preserve">participants</t>
  </si>
  <si>
    <r>
      <rPr>
        <sz val="10"/>
        <rFont val="Noto Sans CJK SC"/>
        <family val="2"/>
      </rPr>
      <t xml:space="preserve">벌써 </t>
    </r>
    <r>
      <rPr>
        <sz val="10"/>
        <rFont val="Malgun Gothic"/>
        <family val="0"/>
        <charset val="1"/>
      </rPr>
      <t xml:space="preserve">{count}</t>
    </r>
    <r>
      <rPr>
        <sz val="10"/>
        <rFont val="Noto Sans CJK SC"/>
        <family val="2"/>
      </rPr>
      <t xml:space="preserve">명이 쏠 타로 하우스를 다녀갔어요</t>
    </r>
  </si>
  <si>
    <t xml:space="preserve">button</t>
  </si>
  <si>
    <t xml:space="preserve">테스트 하기</t>
  </si>
  <si>
    <r>
      <rPr>
        <sz val="10"/>
        <rFont val="Malgun Gothic"/>
        <family val="0"/>
        <charset val="1"/>
      </rPr>
      <t xml:space="preserve">[Claude </t>
    </r>
    <r>
      <rPr>
        <sz val="10"/>
        <rFont val="Noto Sans CJK SC"/>
        <family val="2"/>
      </rPr>
      <t xml:space="preserve">점검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제안</t>
    </r>
    <r>
      <rPr>
        <sz val="10"/>
        <rFont val="Malgun Gothic"/>
        <family val="0"/>
        <charset val="1"/>
      </rPr>
      <t xml:space="preserve">] </t>
    </r>
    <r>
      <rPr>
        <sz val="10"/>
        <rFont val="Noto Sans CJK SC"/>
        <family val="2"/>
      </rPr>
      <t xml:space="preserve">직접 정해 주신 문구라 그대로 둠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제안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테스트하기 —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테스트하다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는 붙여 씀</t>
    </r>
  </si>
  <si>
    <t xml:space="preserve">copy.welcome.title</t>
  </si>
  <si>
    <r>
      <rPr>
        <sz val="10"/>
        <rFont val="Malgun Gothic"/>
        <family val="0"/>
        <charset val="1"/>
      </rPr>
      <t xml:space="preserve">2 </t>
    </r>
    <r>
      <rPr>
        <sz val="10"/>
        <rFont val="Noto Sans CJK SC"/>
        <family val="2"/>
      </rPr>
      <t xml:space="preserve">환영</t>
    </r>
  </si>
  <si>
    <t xml:space="preserve">title</t>
  </si>
  <si>
    <r>
      <rPr>
        <sz val="10"/>
        <rFont val="Noto Sans CJK SC"/>
        <family val="2"/>
      </rPr>
      <t xml:space="preserve">쏠 타로 하우스에 오신 당신을 환영합니다</t>
    </r>
    <r>
      <rPr>
        <sz val="10"/>
        <rFont val="Malgun Gothic"/>
        <family val="0"/>
        <charset val="1"/>
      </rPr>
      <t xml:space="preserve">.</t>
    </r>
  </si>
  <si>
    <t xml:space="preserve">copy.welcome.sub</t>
  </si>
  <si>
    <t xml:space="preserve">sub</t>
  </si>
  <si>
    <r>
      <rPr>
        <sz val="10"/>
        <rFont val="Noto Sans CJK SC"/>
        <family val="2"/>
      </rPr>
      <t xml:space="preserve">당신을 뭐라고 불러드리면 될까요</t>
    </r>
    <r>
      <rPr>
        <sz val="10"/>
        <rFont val="Malgun Gothic"/>
        <family val="0"/>
        <charset val="1"/>
      </rPr>
      <t xml:space="preserve">?</t>
    </r>
  </si>
  <si>
    <t xml:space="preserve">copy.welcome.placeholder</t>
  </si>
  <si>
    <t xml:space="preserve">placeholder</t>
  </si>
  <si>
    <t xml:space="preserve">닉네임</t>
  </si>
  <si>
    <t xml:space="preserve">copy.welcome.empty_error</t>
  </si>
  <si>
    <t xml:space="preserve">empty_error</t>
  </si>
  <si>
    <r>
      <rPr>
        <sz val="10"/>
        <rFont val="Noto Sans CJK SC"/>
        <family val="2"/>
      </rPr>
      <t xml:space="preserve">불러드릴 이름을 적어 주세요</t>
    </r>
    <r>
      <rPr>
        <sz val="10"/>
        <rFont val="Malgun Gothic"/>
        <family val="0"/>
        <charset val="1"/>
      </rPr>
      <t xml:space="preserve">.</t>
    </r>
  </si>
  <si>
    <t xml:space="preserve">copy.welcome.button</t>
  </si>
  <si>
    <t xml:space="preserve">이렇게 불러주세요</t>
  </si>
  <si>
    <t xml:space="preserve">copy.experience.title</t>
  </si>
  <si>
    <r>
      <rPr>
        <sz val="10"/>
        <rFont val="Malgun Gothic"/>
        <family val="0"/>
        <charset val="1"/>
      </rPr>
      <t xml:space="preserve">3 </t>
    </r>
    <r>
      <rPr>
        <sz val="10"/>
        <rFont val="Noto Sans CJK SC"/>
        <family val="2"/>
      </rPr>
      <t xml:space="preserve">경험 질문</t>
    </r>
  </si>
  <si>
    <r>
      <rPr>
        <sz val="10"/>
        <rFont val="Malgun Gothic"/>
        <family val="0"/>
        <charset val="1"/>
      </rPr>
      <t xml:space="preserve">{nickname}</t>
    </r>
    <r>
      <rPr>
        <sz val="10"/>
        <rFont val="Noto Sans CJK SC"/>
        <family val="2"/>
      </rPr>
      <t xml:space="preserve">님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오늘은 어떤 고민을 가져오셨나요</t>
    </r>
    <r>
      <rPr>
        <sz val="10"/>
        <rFont val="Malgun Gothic"/>
        <family val="0"/>
        <charset val="1"/>
      </rPr>
      <t xml:space="preserve">?</t>
    </r>
  </si>
  <si>
    <r>
      <rPr>
        <sz val="10"/>
        <rFont val="Noto Sans CJK SC"/>
        <family val="2"/>
      </rPr>
      <t xml:space="preserve">타로카드는 처음이신지요</t>
    </r>
    <r>
      <rPr>
        <sz val="10"/>
        <rFont val="Malgun Gothic"/>
        <family val="0"/>
        <charset val="1"/>
      </rPr>
      <t xml:space="preserve">?</t>
    </r>
  </si>
  <si>
    <r>
      <rPr>
        <sz val="10"/>
        <rFont val="Malgun Gothic"/>
        <family val="0"/>
        <charset val="1"/>
      </rPr>
      <t xml:space="preserve">[Claude </t>
    </r>
    <r>
      <rPr>
        <sz val="10"/>
        <rFont val="Noto Sans CJK SC"/>
        <family val="2"/>
      </rPr>
      <t xml:space="preserve">점검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제안</t>
    </r>
    <r>
      <rPr>
        <sz val="10"/>
        <rFont val="Malgun Gothic"/>
        <family val="0"/>
        <charset val="1"/>
      </rPr>
      <t xml:space="preserve">] </t>
    </r>
    <r>
      <rPr>
        <sz val="10"/>
        <rFont val="Noto Sans CJK SC"/>
        <family val="2"/>
      </rPr>
      <t xml:space="preserve">직접 정해 주신 문구라 그대로 둠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제안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타로카드는 처음이신가요</t>
    </r>
    <r>
      <rPr>
        <sz val="10"/>
        <rFont val="Malgun Gothic"/>
        <family val="0"/>
        <charset val="1"/>
      </rPr>
      <t xml:space="preserve">? — '</t>
    </r>
    <r>
      <rPr>
        <sz val="10"/>
        <rFont val="Noto Sans CJK SC"/>
        <family val="2"/>
      </rPr>
      <t xml:space="preserve">처음이신지요</t>
    </r>
    <r>
      <rPr>
        <sz val="10"/>
        <rFont val="Malgun Gothic"/>
        <family val="0"/>
        <charset val="1"/>
      </rPr>
      <t xml:space="preserve">?'</t>
    </r>
    <r>
      <rPr>
        <sz val="10"/>
        <rFont val="Noto Sans CJK SC"/>
        <family val="2"/>
      </rPr>
      <t xml:space="preserve">가 예스럽고 딱딱함</t>
    </r>
  </si>
  <si>
    <t xml:space="preserve">copy.experience.button_returning</t>
  </si>
  <si>
    <t xml:space="preserve">button_returning</t>
  </si>
  <si>
    <t xml:space="preserve">전에 본 적이 있어요</t>
  </si>
  <si>
    <t xml:space="preserve">copy.experience.button_first</t>
  </si>
  <si>
    <t xml:space="preserve">button_first</t>
  </si>
  <si>
    <r>
      <rPr>
        <sz val="10"/>
        <rFont val="Noto Sans CJK SC"/>
        <family val="2"/>
      </rPr>
      <t xml:space="preserve">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처음이에요</t>
    </r>
  </si>
  <si>
    <r>
      <rPr>
        <sz val="10"/>
        <rFont val="Malgun Gothic"/>
        <family val="0"/>
        <charset val="1"/>
      </rPr>
      <t xml:space="preserve">3-1 </t>
    </r>
    <r>
      <rPr>
        <sz val="10"/>
        <rFont val="Noto Sans CJK SC"/>
        <family val="2"/>
      </rPr>
      <t xml:space="preserve">처음 안내</t>
    </r>
  </si>
  <si>
    <t xml:space="preserve">body</t>
  </si>
  <si>
    <r>
      <rPr>
        <sz val="10"/>
        <rFont val="Noto Sans CJK SC"/>
        <family val="2"/>
      </rPr>
      <t xml:space="preserve">오늘 </t>
    </r>
    <r>
      <rPr>
        <sz val="10"/>
        <rFont val="Malgun Gothic"/>
        <family val="0"/>
        <charset val="1"/>
      </rPr>
      <t xml:space="preserve">{nickname}</t>
    </r>
    <r>
      <rPr>
        <sz val="10"/>
        <rFont val="Noto Sans CJK SC"/>
        <family val="2"/>
      </rPr>
      <t xml:space="preserve">님의 고민을 타로카드가 어떻게 비춰 주는지 들어봅시다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우리 쏠 하우스만의 특제 레시피로 </t>
    </r>
    <r>
      <rPr>
        <sz val="10"/>
        <rFont val="Malgun Gothic"/>
        <family val="0"/>
        <charset val="1"/>
      </rPr>
      <t xml:space="preserve">{nickname}</t>
    </r>
    <r>
      <rPr>
        <sz val="10"/>
        <rFont val="Noto Sans CJK SC"/>
        <family val="2"/>
      </rPr>
      <t xml:space="preserve">님의 타로 카드가 설명하는 현재 상황에 적절한 웰니스 제안을 해드릴게요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이제 한 번 해볼까요</t>
    </r>
    <r>
      <rPr>
        <sz val="10"/>
        <rFont val="Malgun Gothic"/>
        <family val="0"/>
        <charset val="1"/>
      </rPr>
      <t xml:space="preserve">?</t>
    </r>
  </si>
  <si>
    <r>
      <rPr>
        <sz val="10"/>
        <rFont val="Malgun Gothic"/>
        <family val="0"/>
        <charset val="1"/>
      </rPr>
      <t xml:space="preserve">[Claude </t>
    </r>
    <r>
      <rPr>
        <sz val="10"/>
        <rFont val="Noto Sans CJK SC"/>
        <family val="2"/>
      </rPr>
      <t xml:space="preserve">점검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제안</t>
    </r>
    <r>
      <rPr>
        <sz val="10"/>
        <rFont val="Malgun Gothic"/>
        <family val="0"/>
        <charset val="1"/>
      </rPr>
      <t xml:space="preserve">] </t>
    </r>
    <r>
      <rPr>
        <sz val="10"/>
        <rFont val="Noto Sans CJK SC"/>
        <family val="2"/>
      </rPr>
      <t xml:space="preserve">직접 정해 주신 문구라 그대로 둠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제안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오늘 </t>
    </r>
    <r>
      <rPr>
        <sz val="10"/>
        <rFont val="Malgun Gothic"/>
        <family val="0"/>
        <charset val="1"/>
      </rPr>
      <t xml:space="preserve">{nickname}</t>
    </r>
    <r>
      <rPr>
        <sz val="10"/>
        <rFont val="Noto Sans CJK SC"/>
        <family val="2"/>
      </rPr>
      <t xml:space="preserve">님의 고민을 타로카드가 어떻게 비춰 주는지 함께 살펴봐요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쏠 타로 하우스만의 특제 레시피로 </t>
    </r>
    <r>
      <rPr>
        <sz val="10"/>
        <rFont val="Malgun Gothic"/>
        <family val="0"/>
        <charset val="1"/>
      </rPr>
      <t xml:space="preserve">{nickname}</t>
    </r>
    <r>
      <rPr>
        <sz val="10"/>
        <rFont val="Noto Sans CJK SC"/>
        <family val="2"/>
      </rPr>
      <t xml:space="preserve">님의 카드가 비춰 준 지금 상황에 맞는 웰니스 제안을 해 드릴게요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이제 한번 해 볼까요</t>
    </r>
    <r>
      <rPr>
        <sz val="10"/>
        <rFont val="Malgun Gothic"/>
        <family val="0"/>
        <charset val="1"/>
      </rPr>
      <t xml:space="preserve">? — '</t>
    </r>
    <r>
      <rPr>
        <sz val="10"/>
        <rFont val="Noto Sans CJK SC"/>
        <family val="2"/>
      </rPr>
      <t xml:space="preserve">한 번</t>
    </r>
    <r>
      <rPr>
        <sz val="10"/>
        <rFont val="Malgun Gothic"/>
        <family val="0"/>
        <charset val="1"/>
      </rPr>
      <t xml:space="preserve">'(</t>
    </r>
    <r>
      <rPr>
        <sz val="10"/>
        <rFont val="Noto Sans CJK SC"/>
        <family val="2"/>
      </rPr>
      <t xml:space="preserve">시도의 뜻은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한번</t>
    </r>
    <r>
      <rPr>
        <sz val="10"/>
        <rFont val="Malgun Gothic"/>
        <family val="0"/>
        <charset val="1"/>
      </rPr>
      <t xml:space="preserve">'), '</t>
    </r>
    <r>
      <rPr>
        <sz val="10"/>
        <rFont val="Noto Sans CJK SC"/>
        <family val="2"/>
      </rPr>
      <t xml:space="preserve">비춰 주는지 들어봅시다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감각 불일치</t>
    </r>
    <r>
      <rPr>
        <sz val="10"/>
        <rFont val="Malgun Gothic"/>
        <family val="0"/>
        <charset val="1"/>
      </rPr>
      <t xml:space="preserve">, '</t>
    </r>
    <r>
      <rPr>
        <sz val="10"/>
        <rFont val="Noto Sans CJK SC"/>
        <family val="2"/>
      </rPr>
      <t xml:space="preserve">타로 카드가 설명하는 현재 상황에 적절한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번역투</t>
    </r>
    <r>
      <rPr>
        <sz val="10"/>
        <rFont val="Malgun Gothic"/>
        <family val="0"/>
        <charset val="1"/>
      </rPr>
      <t xml:space="preserve">, '</t>
    </r>
    <r>
      <rPr>
        <sz val="10"/>
        <rFont val="Noto Sans CJK SC"/>
        <family val="2"/>
      </rPr>
      <t xml:space="preserve">쏠 하우스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명칭 불일치</t>
    </r>
  </si>
  <si>
    <t xml:space="preserve">copy.first_time.button</t>
  </si>
  <si>
    <r>
      <rPr>
        <sz val="10"/>
        <rFont val="Noto Sans CJK SC"/>
        <family val="2"/>
      </rPr>
      <t xml:space="preserve">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좋아요</t>
    </r>
    <r>
      <rPr>
        <sz val="10"/>
        <rFont val="Malgun Gothic"/>
        <family val="0"/>
        <charset val="1"/>
      </rPr>
      <t xml:space="preserve">!</t>
    </r>
  </si>
  <si>
    <t xml:space="preserve">copy.worry.title</t>
  </si>
  <si>
    <r>
      <rPr>
        <sz val="10"/>
        <rFont val="Malgun Gothic"/>
        <family val="0"/>
        <charset val="1"/>
      </rPr>
      <t xml:space="preserve">4 </t>
    </r>
    <r>
      <rPr>
        <sz val="10"/>
        <rFont val="Noto Sans CJK SC"/>
        <family val="2"/>
      </rPr>
      <t xml:space="preserve">고민 쓰기</t>
    </r>
  </si>
  <si>
    <r>
      <rPr>
        <sz val="10"/>
        <rFont val="Noto Sans CJK SC"/>
        <family val="2"/>
      </rPr>
      <t xml:space="preserve">좋습니다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먼저 </t>
    </r>
    <r>
      <rPr>
        <sz val="10"/>
        <rFont val="Malgun Gothic"/>
        <family val="0"/>
        <charset val="1"/>
      </rPr>
      <t xml:space="preserve">{nickname}</t>
    </r>
    <r>
      <rPr>
        <sz val="10"/>
        <rFont val="Noto Sans CJK SC"/>
        <family val="2"/>
      </rPr>
      <t xml:space="preserve">님의 고민을 편하게 작성해주세요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</si>
  <si>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구체적으로 쓸수록 도움이 됩니다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고민을 굳이 작성하지 않으셔도 타로카드는 볼 수 있어요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</si>
  <si>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[Claude </t>
    </r>
    <r>
      <rPr>
        <sz val="10"/>
        <rFont val="Noto Sans CJK SC"/>
        <family val="2"/>
      </rPr>
      <t xml:space="preserve">점검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제안</t>
    </r>
    <r>
      <rPr>
        <sz val="10"/>
        <rFont val="Malgun Gothic"/>
        <family val="0"/>
        <charset val="1"/>
      </rPr>
      <t xml:space="preserve">] </t>
    </r>
    <r>
      <rPr>
        <sz val="10"/>
        <rFont val="Noto Sans CJK SC"/>
        <family val="2"/>
      </rPr>
      <t xml:space="preserve">직접 정해 주신 문구라 그대로 둠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제안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구체적으로 쓸수록 도움이 돼요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고민을 굳이 작성하지 않으셔도 타로카드는 볼 수 있어요</t>
    </r>
    <r>
      <rPr>
        <sz val="10"/>
        <rFont val="Malgun Gothic"/>
        <family val="0"/>
        <charset val="1"/>
      </rPr>
      <t xml:space="preserve">. — '</t>
    </r>
    <r>
      <rPr>
        <sz val="10"/>
        <rFont val="Noto Sans CJK SC"/>
        <family val="2"/>
      </rPr>
      <t xml:space="preserve">도움이 됩니다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와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볼 수 있어요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어체 섞임</t>
    </r>
  </si>
  <si>
    <t xml:space="preserve">copy.worry.placeholder_examples.0</t>
  </si>
  <si>
    <t xml:space="preserve">placeholder_examples.0</t>
  </si>
  <si>
    <r>
      <rPr>
        <sz val="10"/>
        <rFont val="Noto Sans CJK SC"/>
        <family val="2"/>
      </rPr>
      <t xml:space="preserve">회사에서 열심히 하는데 인정받지 못하는 것 같아 지쳐요</t>
    </r>
    <r>
      <rPr>
        <sz val="10"/>
        <rFont val="Malgun Gothic"/>
        <family val="0"/>
        <charset val="1"/>
      </rPr>
      <t xml:space="preserve">.</t>
    </r>
  </si>
  <si>
    <t xml:space="preserve">copy.worry.placeholder_examples.1</t>
  </si>
  <si>
    <t xml:space="preserve">placeholder_examples.1</t>
  </si>
  <si>
    <r>
      <rPr>
        <sz val="10"/>
        <rFont val="Noto Sans CJK SC"/>
        <family val="2"/>
      </rPr>
      <t xml:space="preserve">졸업이 다가오는데 뭘 하고 싶은지 모르겠어요</t>
    </r>
    <r>
      <rPr>
        <sz val="10"/>
        <rFont val="Malgun Gothic"/>
        <family val="0"/>
        <charset val="1"/>
      </rPr>
      <t xml:space="preserve">.</t>
    </r>
  </si>
  <si>
    <t xml:space="preserve">copy.worry.placeholder_examples.2</t>
  </si>
  <si>
    <t xml:space="preserve">placeholder_examples.2</t>
  </si>
  <si>
    <r>
      <rPr>
        <sz val="10"/>
        <rFont val="Noto Sans CJK SC"/>
        <family val="2"/>
      </rPr>
      <t xml:space="preserve">연인이 요즘 연락이 뜸해서 서운한데 말을 못 하겠어요</t>
    </r>
    <r>
      <rPr>
        <sz val="10"/>
        <rFont val="Malgun Gothic"/>
        <family val="0"/>
        <charset val="1"/>
      </rPr>
      <t xml:space="preserve">.</t>
    </r>
  </si>
  <si>
    <t xml:space="preserve">copy.worry.placeholder_examples.3</t>
  </si>
  <si>
    <t xml:space="preserve">placeholder_examples.3</t>
  </si>
  <si>
    <r>
      <rPr>
        <sz val="10"/>
        <rFont val="Noto Sans CJK SC"/>
        <family val="2"/>
      </rPr>
      <t xml:space="preserve">부모님이 저를 자꾸 형제와 비교해서 속상해요</t>
    </r>
    <r>
      <rPr>
        <sz val="10"/>
        <rFont val="Malgun Gothic"/>
        <family val="0"/>
        <charset val="1"/>
      </rPr>
      <t xml:space="preserve">.</t>
    </r>
  </si>
  <si>
    <t xml:space="preserve">placeholder_examples.4</t>
  </si>
  <si>
    <r>
      <rPr>
        <sz val="10"/>
        <rFont val="Malgun Gothic"/>
        <family val="0"/>
        <charset val="1"/>
      </rPr>
      <t xml:space="preserve">[Claude </t>
    </r>
    <r>
      <rPr>
        <sz val="10"/>
        <rFont val="Noto Sans CJK SC"/>
        <family val="2"/>
      </rPr>
      <t xml:space="preserve">점검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고침</t>
    </r>
    <r>
      <rPr>
        <sz val="10"/>
        <rFont val="Malgun Gothic"/>
        <family val="0"/>
        <charset val="1"/>
      </rPr>
      <t xml:space="preserve">] '</t>
    </r>
    <r>
      <rPr>
        <sz val="10"/>
        <rFont val="Noto Sans CJK SC"/>
        <family val="2"/>
      </rPr>
      <t xml:space="preserve">부탁을 거절을</t>
    </r>
    <r>
      <rPr>
        <sz val="10"/>
        <rFont val="Malgun Gothic"/>
        <family val="0"/>
        <charset val="1"/>
      </rPr>
      <t xml:space="preserve">' </t>
    </r>
    <r>
      <rPr>
        <sz val="10"/>
        <rFont val="Noto Sans CJK SC"/>
        <family val="2"/>
      </rPr>
      <t xml:space="preserve">목적격 조사 중복 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전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부탁을 거절을 못 해서 매번 손해 보는 느낌이에요</t>
    </r>
    <r>
      <rPr>
        <sz val="10"/>
        <rFont val="Malgun Gothic"/>
        <family val="0"/>
        <charset val="1"/>
      </rPr>
      <t xml:space="preserve">.)</t>
    </r>
  </si>
  <si>
    <t xml:space="preserve">copy.worry.placeholder_examples.5</t>
  </si>
  <si>
    <t xml:space="preserve">placeholder_examples.5</t>
  </si>
  <si>
    <r>
      <rPr>
        <sz val="10"/>
        <rFont val="Noto Sans CJK SC"/>
        <family val="2"/>
      </rPr>
      <t xml:space="preserve">월급이 들어와도 금방 사라져서 돈 걱정이 끊이지 않아요</t>
    </r>
    <r>
      <rPr>
        <sz val="10"/>
        <rFont val="Malgun Gothic"/>
        <family val="0"/>
        <charset val="1"/>
      </rPr>
      <t xml:space="preserve">.</t>
    </r>
  </si>
  <si>
    <t xml:space="preserve">copy.worry.button_submit</t>
  </si>
  <si>
    <t xml:space="preserve">button_submit</t>
  </si>
  <si>
    <t xml:space="preserve">제출하기</t>
  </si>
  <si>
    <t xml:space="preserve">copy.worry.button_skip</t>
  </si>
  <si>
    <t xml:space="preserve">button_skip</t>
  </si>
  <si>
    <t xml:space="preserve">고민은 마음속으로만 생각하고 싶어요</t>
  </si>
  <si>
    <t xml:space="preserve">copy.worry.too_short</t>
  </si>
  <si>
    <t xml:space="preserve">too_short</t>
  </si>
  <si>
    <r>
      <rPr>
        <sz val="10"/>
        <rFont val="Noto Sans CJK SC"/>
        <family val="2"/>
      </rPr>
      <t xml:space="preserve">조금만 더 들려주세요</t>
    </r>
    <r>
      <rPr>
        <sz val="10"/>
        <rFont val="Malgun Gothic"/>
        <family val="0"/>
        <charset val="1"/>
      </rPr>
      <t xml:space="preserve">. 10</t>
    </r>
    <r>
      <rPr>
        <sz val="10"/>
        <rFont val="Noto Sans CJK SC"/>
        <family val="2"/>
      </rPr>
      <t xml:space="preserve">자 이상 적어 주시면 해석이 더 정확해져요</t>
    </r>
    <r>
      <rPr>
        <sz val="10"/>
        <rFont val="Malgun Gothic"/>
        <family val="0"/>
        <charset val="1"/>
      </rPr>
      <t xml:space="preserve">.</t>
    </r>
  </si>
  <si>
    <t xml:space="preserve">copy.worry.footnote</t>
  </si>
  <si>
    <t xml:space="preserve">footnote</t>
  </si>
  <si>
    <r>
      <rPr>
        <sz val="10"/>
        <rFont val="Noto Sans CJK SC"/>
        <family val="2"/>
      </rPr>
      <t xml:space="preserve">전문 심리상담사가 만든 자기이해 웰니스 콘텐츠예요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미래를 예언하거나 의료적 진단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심리 치료를 대신하지 않아요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적어 주신 고민은 카드 해석에만 쓰이고 공유 카드에는 보이지 않아요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</si>
  <si>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5 </t>
    </r>
    <r>
      <rPr>
        <sz val="10"/>
        <rFont val="Noto Sans CJK SC"/>
        <family val="2"/>
      </rPr>
      <t xml:space="preserve">셔플</t>
    </r>
  </si>
  <si>
    <t xml:space="preserve">guide</t>
  </si>
  <si>
    <r>
      <rPr>
        <sz val="10"/>
        <rFont val="Noto Sans CJK SC"/>
        <family val="2"/>
      </rPr>
      <t xml:space="preserve">이제 카드를 선택할 시간입니다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가장 고민되는 부분을 생각하면서 골라주세요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최대한 구체적으로 생각하고 뽑을수록 좋아요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</si>
  <si>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[Claude </t>
    </r>
    <r>
      <rPr>
        <sz val="10"/>
        <rFont val="Noto Sans CJK SC"/>
        <family val="2"/>
      </rPr>
      <t xml:space="preserve">점검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제안</t>
    </r>
    <r>
      <rPr>
        <sz val="10"/>
        <rFont val="Malgun Gothic"/>
        <family val="0"/>
        <charset val="1"/>
      </rPr>
      <t xml:space="preserve">] </t>
    </r>
    <r>
      <rPr>
        <sz val="10"/>
        <rFont val="Noto Sans CJK SC"/>
        <family val="2"/>
      </rPr>
      <t xml:space="preserve">직접 정해 주신 문구라 그대로 둠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제안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이제 카드를 고를 시간이에요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가장 고민되는 부분을 생각하면서 골라 주세요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고민을 구체적으로 떠올릴수록 좋아요</t>
    </r>
    <r>
      <rPr>
        <sz val="10"/>
        <rFont val="Malgun Gothic"/>
        <family val="0"/>
        <charset val="1"/>
      </rPr>
      <t xml:space="preserve">. — '</t>
    </r>
    <r>
      <rPr>
        <sz val="10"/>
        <rFont val="Noto Sans CJK SC"/>
        <family val="2"/>
      </rPr>
      <t xml:space="preserve">구체적으로 생각하고 뽑을수록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은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많이 뽑을수록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으로 읽혀 비문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합쇼체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해요체 섞임</t>
    </r>
  </si>
  <si>
    <t xml:space="preserve">copy.shuffle.done</t>
  </si>
  <si>
    <t xml:space="preserve">done</t>
  </si>
  <si>
    <r>
      <rPr>
        <sz val="10"/>
        <rFont val="Noto Sans CJK SC"/>
        <family val="2"/>
      </rPr>
      <t xml:space="preserve">카드가 잘 섞였습니다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원하신다면 다시 섞으셔도 돼요</t>
    </r>
    <r>
      <rPr>
        <sz val="10"/>
        <rFont val="Malgun Gothic"/>
        <family val="0"/>
        <charset val="1"/>
      </rPr>
      <t xml:space="preserve">.</t>
    </r>
  </si>
  <si>
    <t xml:space="preserve">copy.shuffle.button_pick</t>
  </si>
  <si>
    <t xml:space="preserve">button_pick</t>
  </si>
  <si>
    <t xml:space="preserve">지금 뽑을게요</t>
  </si>
  <si>
    <t xml:space="preserve">copy.shuffle.button_reshuffle</t>
  </si>
  <si>
    <t xml:space="preserve">button_reshuffle</t>
  </si>
  <si>
    <t xml:space="preserve">다시 섞을게요</t>
  </si>
  <si>
    <r>
      <rPr>
        <sz val="10"/>
        <rFont val="Malgun Gothic"/>
        <family val="0"/>
        <charset val="1"/>
      </rPr>
      <t xml:space="preserve">6 </t>
    </r>
    <r>
      <rPr>
        <sz val="10"/>
        <rFont val="Noto Sans CJK SC"/>
        <family val="2"/>
      </rPr>
      <t xml:space="preserve">뽑기</t>
    </r>
  </si>
  <si>
    <r>
      <rPr>
        <sz val="10"/>
        <rFont val="Noto Sans CJK SC"/>
        <family val="2"/>
      </rPr>
      <t xml:space="preserve">고민을 되새기면서 가장 마음이 가는 카드 </t>
    </r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개를 뽑아주세요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</si>
  <si>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[Claude </t>
    </r>
    <r>
      <rPr>
        <sz val="10"/>
        <rFont val="Noto Sans CJK SC"/>
        <family val="2"/>
      </rPr>
      <t xml:space="preserve">점검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제안</t>
    </r>
    <r>
      <rPr>
        <sz val="10"/>
        <rFont val="Malgun Gothic"/>
        <family val="0"/>
        <charset val="1"/>
      </rPr>
      <t xml:space="preserve">] </t>
    </r>
    <r>
      <rPr>
        <sz val="10"/>
        <rFont val="Noto Sans CJK SC"/>
        <family val="2"/>
      </rPr>
      <t xml:space="preserve">직접 정해 주신 문구라 그대로 둠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제안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고민을 되새기면서 가장 마음이 가는 카드 세 장을 뽑아주세요</t>
    </r>
    <r>
      <rPr>
        <sz val="10"/>
        <rFont val="Malgun Gothic"/>
        <family val="0"/>
        <charset val="1"/>
      </rPr>
      <t xml:space="preserve">. — </t>
    </r>
    <r>
      <rPr>
        <sz val="10"/>
        <rFont val="Noto Sans CJK SC"/>
        <family val="2"/>
      </rPr>
      <t xml:space="preserve">카드 단위 </t>
    </r>
    <r>
      <rPr>
        <sz val="10"/>
        <rFont val="Malgun Gothic"/>
        <family val="0"/>
        <charset val="1"/>
      </rPr>
      <t xml:space="preserve">'3</t>
    </r>
    <r>
      <rPr>
        <sz val="10"/>
        <rFont val="Noto Sans CJK SC"/>
        <family val="2"/>
      </rPr>
      <t xml:space="preserve">개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가 다른 화면</t>
    </r>
    <r>
      <rPr>
        <sz val="10"/>
        <rFont val="Malgun Gothic"/>
        <family val="0"/>
        <charset val="1"/>
      </rPr>
      <t xml:space="preserve">('</t>
    </r>
    <r>
      <rPr>
        <sz val="10"/>
        <rFont val="Noto Sans CJK SC"/>
        <family val="2"/>
      </rPr>
      <t xml:space="preserve">세 장</t>
    </r>
    <r>
      <rPr>
        <sz val="10"/>
        <rFont val="Malgun Gothic"/>
        <family val="0"/>
        <charset val="1"/>
      </rPr>
      <t xml:space="preserve">')</t>
    </r>
    <r>
      <rPr>
        <sz val="10"/>
        <rFont val="Noto Sans CJK SC"/>
        <family val="2"/>
      </rPr>
      <t xml:space="preserve">과 불일치</t>
    </r>
  </si>
  <si>
    <t xml:space="preserve">copy.pick.slot_labels.0</t>
  </si>
  <si>
    <t xml:space="preserve">slot_labels.0</t>
  </si>
  <si>
    <t xml:space="preserve">지금의 마음</t>
  </si>
  <si>
    <t xml:space="preserve">copy.pick.slot_labels.1</t>
  </si>
  <si>
    <t xml:space="preserve">slot_labels.1</t>
  </si>
  <si>
    <t xml:space="preserve">나를 붙잡는 것</t>
  </si>
  <si>
    <t xml:space="preserve">copy.pick.slot_labels.2</t>
  </si>
  <si>
    <t xml:space="preserve">slot_labels.2</t>
  </si>
  <si>
    <t xml:space="preserve">다음 한 걸음</t>
  </si>
  <si>
    <t xml:space="preserve">copy.pick.counter</t>
  </si>
  <si>
    <t xml:space="preserve">counter</t>
  </si>
  <si>
    <t xml:space="preserve">{picked} / 3</t>
  </si>
  <si>
    <t xml:space="preserve">copy.reveal.done</t>
  </si>
  <si>
    <r>
      <rPr>
        <sz val="10"/>
        <rFont val="Malgun Gothic"/>
        <family val="0"/>
        <charset val="1"/>
      </rPr>
      <t xml:space="preserve">6 </t>
    </r>
    <r>
      <rPr>
        <sz val="10"/>
        <rFont val="Noto Sans CJK SC"/>
        <family val="2"/>
      </rPr>
      <t xml:space="preserve">다 뽑음</t>
    </r>
  </si>
  <si>
    <r>
      <rPr>
        <sz val="10"/>
        <rFont val="Noto Sans CJK SC"/>
        <family val="2"/>
      </rPr>
      <t xml:space="preserve">카드를 다 뽑았어요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이제 설명을 보러 가볼까요</t>
    </r>
    <r>
      <rPr>
        <sz val="10"/>
        <rFont val="Malgun Gothic"/>
        <family val="0"/>
        <charset val="1"/>
      </rPr>
      <t xml:space="preserve">?</t>
    </r>
  </si>
  <si>
    <t xml:space="preserve">copy.reveal.button</t>
  </si>
  <si>
    <r>
      <rPr>
        <sz val="10"/>
        <rFont val="Noto Sans CJK SC"/>
        <family val="2"/>
      </rPr>
      <t xml:space="preserve">네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좋습니다</t>
    </r>
    <r>
      <rPr>
        <sz val="10"/>
        <rFont val="Malgun Gothic"/>
        <family val="0"/>
        <charset val="1"/>
      </rPr>
      <t xml:space="preserve">.</t>
    </r>
  </si>
  <si>
    <t xml:space="preserve">copy.loading.message</t>
  </si>
  <si>
    <t xml:space="preserve">대기</t>
  </si>
  <si>
    <t xml:space="preserve">message</t>
  </si>
  <si>
    <r>
      <rPr>
        <sz val="10"/>
        <rFont val="Malgun Gothic"/>
        <family val="0"/>
        <charset val="1"/>
      </rPr>
      <t xml:space="preserve">{nickname}</t>
    </r>
    <r>
      <rPr>
        <sz val="10"/>
        <rFont val="Noto Sans CJK SC"/>
        <family val="2"/>
      </rPr>
      <t xml:space="preserve">님의 타로 결과를 분석하고 있어요</t>
    </r>
    <r>
      <rPr>
        <sz val="10"/>
        <rFont val="Malgun Gothic"/>
        <family val="0"/>
        <charset val="1"/>
      </rPr>
      <t xml:space="preserve">...</t>
    </r>
  </si>
  <si>
    <t xml:space="preserve">copy.loading.elapsed</t>
  </si>
  <si>
    <t xml:space="preserve">elapsed</t>
  </si>
  <si>
    <r>
      <rPr>
        <sz val="10"/>
        <rFont val="Malgun Gothic"/>
        <family val="0"/>
        <charset val="1"/>
      </rPr>
      <t xml:space="preserve">({seconds}</t>
    </r>
    <r>
      <rPr>
        <sz val="10"/>
        <rFont val="Noto Sans CJK SC"/>
        <family val="2"/>
      </rPr>
      <t xml:space="preserve">초 경과</t>
    </r>
    <r>
      <rPr>
        <sz val="10"/>
        <rFont val="Malgun Gothic"/>
        <family val="0"/>
        <charset val="1"/>
      </rPr>
      <t xml:space="preserve">)</t>
    </r>
  </si>
  <si>
    <t xml:space="preserve">copy.result.headline</t>
  </si>
  <si>
    <r>
      <rPr>
        <sz val="10"/>
        <rFont val="Malgun Gothic"/>
        <family val="0"/>
        <charset val="1"/>
      </rPr>
      <t xml:space="preserve">7 </t>
    </r>
    <r>
      <rPr>
        <sz val="10"/>
        <rFont val="Noto Sans CJK SC"/>
        <family val="2"/>
      </rPr>
      <t xml:space="preserve">결과</t>
    </r>
  </si>
  <si>
    <t xml:space="preserve">headline</t>
  </si>
  <si>
    <r>
      <rPr>
        <sz val="10"/>
        <rFont val="Malgun Gothic"/>
        <family val="0"/>
        <charset val="1"/>
      </rPr>
      <t xml:space="preserve">{nickname}</t>
    </r>
    <r>
      <rPr>
        <sz val="10"/>
        <rFont val="Noto Sans CJK SC"/>
        <family val="2"/>
      </rPr>
      <t xml:space="preserve">님에게 온 세 장의 카드</t>
    </r>
  </si>
  <si>
    <t xml:space="preserve">copy.result.paywall_title</t>
  </si>
  <si>
    <t xml:space="preserve">paywall_title</t>
  </si>
  <si>
    <t xml:space="preserve">세 장의 이야기는 리포트에서 이어져요</t>
  </si>
  <si>
    <t xml:space="preserve">copy.result.paywall_body</t>
  </si>
  <si>
    <t xml:space="preserve">paywall_body</t>
  </si>
  <si>
    <r>
      <rPr>
        <sz val="10"/>
        <rFont val="Noto Sans CJK SC"/>
        <family val="2"/>
      </rPr>
      <t xml:space="preserve">세 장이 함께 들려주는 이야기와 곱씹어 볼 질문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내 고민에 대어 본 해석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해결의 흐름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웰니스 처방과 이번 주 실천 카드까지 이어서 읽을 수 있어요</t>
    </r>
    <r>
      <rPr>
        <sz val="10"/>
        <rFont val="Malgun Gothic"/>
        <family val="0"/>
        <charset val="1"/>
      </rPr>
      <t xml:space="preserve">.</t>
    </r>
  </si>
  <si>
    <t xml:space="preserve">copy.result.paywall_price</t>
  </si>
  <si>
    <t xml:space="preserve">paywall_price</t>
  </si>
  <si>
    <r>
      <rPr>
        <sz val="10"/>
        <rFont val="Noto Sans CJK SC"/>
        <family val="2"/>
      </rPr>
      <t xml:space="preserve">전체 리포트 </t>
    </r>
    <r>
      <rPr>
        <sz val="10"/>
        <rFont val="Malgun Gothic"/>
        <family val="0"/>
        <charset val="1"/>
      </rPr>
      <t xml:space="preserve">1,900</t>
    </r>
    <r>
      <rPr>
        <sz val="10"/>
        <rFont val="Noto Sans CJK SC"/>
        <family val="2"/>
      </rPr>
      <t xml:space="preserve">원</t>
    </r>
  </si>
  <si>
    <t xml:space="preserve">copy.result.paywall_button</t>
  </si>
  <si>
    <t xml:space="preserve">paywall_button</t>
  </si>
  <si>
    <r>
      <rPr>
        <sz val="10"/>
        <rFont val="Malgun Gothic"/>
        <family val="0"/>
        <charset val="1"/>
      </rPr>
      <t xml:space="preserve">1,900</t>
    </r>
    <r>
      <rPr>
        <sz val="10"/>
        <rFont val="Noto Sans CJK SC"/>
        <family val="2"/>
      </rPr>
      <t xml:space="preserve">원 결제하고 이어 읽기</t>
    </r>
  </si>
  <si>
    <t xml:space="preserve">copy.result.generating</t>
  </si>
  <si>
    <t xml:space="preserve">generating</t>
  </si>
  <si>
    <t xml:space="preserve">바다 친구들이 리포트를 쓰고 있어요…</t>
  </si>
  <si>
    <t xml:space="preserve">copy.result.share</t>
  </si>
  <si>
    <t xml:space="preserve">share</t>
  </si>
  <si>
    <t xml:space="preserve">내 카드 공유하기</t>
  </si>
  <si>
    <t xml:space="preserve">copy.result.save</t>
  </si>
  <si>
    <t xml:space="preserve">save</t>
  </si>
  <si>
    <t xml:space="preserve">결과 저장하기</t>
  </si>
  <si>
    <t xml:space="preserve">copy.result.retry</t>
  </si>
  <si>
    <t xml:space="preserve">retry</t>
  </si>
  <si>
    <t xml:space="preserve">다른 고민으로 다시 해 보기</t>
  </si>
  <si>
    <t xml:space="preserve">copy.result.next_button</t>
  </si>
  <si>
    <t xml:space="preserve">next_button</t>
  </si>
  <si>
    <t xml:space="preserve">다음으로</t>
  </si>
  <si>
    <t xml:space="preserve">copy.result.back_button</t>
  </si>
  <si>
    <t xml:space="preserve">back_button</t>
  </si>
  <si>
    <t xml:space="preserve">돌아가기</t>
  </si>
  <si>
    <t xml:space="preserve">copy.result.reflect_title</t>
  </si>
  <si>
    <t xml:space="preserve">reflect_title</t>
  </si>
  <si>
    <r>
      <rPr>
        <sz val="10"/>
        <rFont val="Noto Sans CJK SC"/>
        <family val="2"/>
      </rPr>
      <t xml:space="preserve">이 질문들을 곱씹어 볼까요</t>
    </r>
    <r>
      <rPr>
        <sz val="10"/>
        <rFont val="Malgun Gothic"/>
        <family val="0"/>
        <charset val="1"/>
      </rPr>
      <t xml:space="preserve">?</t>
    </r>
  </si>
  <si>
    <t xml:space="preserve">copy.result.spread_intro</t>
  </si>
  <si>
    <t xml:space="preserve">spread_intro</t>
  </si>
  <si>
    <r>
      <rPr>
        <sz val="10"/>
        <rFont val="Noto Sans CJK SC"/>
        <family val="2"/>
      </rPr>
      <t xml:space="preserve">첫 번째 카드는 지나온 길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두 번째 카드는 지금의 흐름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세 번째 카드는 앞으로의 열쇠를 비춰요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먼저 세 장이 각각 어떤 카드인지 볼게요</t>
    </r>
    <r>
      <rPr>
        <sz val="10"/>
        <rFont val="Malgun Gothic"/>
        <family val="0"/>
        <charset val="1"/>
      </rPr>
      <t xml:space="preserve">.</t>
    </r>
  </si>
  <si>
    <t xml:space="preserve">copy.result.flow_titles.map</t>
  </si>
  <si>
    <t xml:space="preserve">flow_titles.map</t>
  </si>
  <si>
    <t xml:space="preserve">세 장을 이렇게 읽었어요</t>
  </si>
  <si>
    <t xml:space="preserve">copy.result.flow_titles.key</t>
  </si>
  <si>
    <t xml:space="preserve">flow_titles.key</t>
  </si>
  <si>
    <t xml:space="preserve">앞으로의 열쇠가 바꾸는 것</t>
  </si>
  <si>
    <t xml:space="preserve">copy.result.flow_titles.reasons</t>
  </si>
  <si>
    <t xml:space="preserve">flow_titles.reasons</t>
  </si>
  <si>
    <t xml:space="preserve">이렇게 읽은 이유</t>
  </si>
  <si>
    <t xml:space="preserve">copy.result.flow_titles.signs</t>
  </si>
  <si>
    <t xml:space="preserve">flow_titles.signs</t>
  </si>
  <si>
    <r>
      <rPr>
        <sz val="10"/>
        <rFont val="Noto Sans CJK SC"/>
        <family val="2"/>
      </rPr>
      <t xml:space="preserve">이런 변화가 보이면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흐름이 풀리고 있는 거예요</t>
    </r>
  </si>
  <si>
    <t xml:space="preserve">copy.result.force_labels.up.0</t>
  </si>
  <si>
    <t xml:space="preserve">force_labels.up.0</t>
  </si>
  <si>
    <t xml:space="preserve">힘이 앞으로 흘러요</t>
  </si>
  <si>
    <t xml:space="preserve">copy.result.force_labels.up.1</t>
  </si>
  <si>
    <t xml:space="preserve">force_labels.up.1</t>
  </si>
  <si>
    <t xml:space="preserve">움직이는 힘이 살아 있어요</t>
  </si>
  <si>
    <t xml:space="preserve">copy.result.force_labels.up.2</t>
  </si>
  <si>
    <t xml:space="preserve">force_labels.up.2</t>
  </si>
  <si>
    <t xml:space="preserve">힘이 바깥으로 뻗어 가요</t>
  </si>
  <si>
    <t xml:space="preserve">copy.result.force_labels.flat.0</t>
  </si>
  <si>
    <t xml:space="preserve">force_labels.flat.0</t>
  </si>
  <si>
    <t xml:space="preserve">잔잔하게 제자리를 지켜요</t>
  </si>
  <si>
    <t xml:space="preserve">copy.result.force_labels.flat.1</t>
  </si>
  <si>
    <t xml:space="preserve">force_labels.flat.1</t>
  </si>
  <si>
    <t xml:space="preserve">힘이 고르게 고여 있어요</t>
  </si>
  <si>
    <t xml:space="preserve">copy.result.force_labels.flat.2</t>
  </si>
  <si>
    <t xml:space="preserve">force_labels.flat.2</t>
  </si>
  <si>
    <t xml:space="preserve">균형을 잡고 숨을 고르는 중이에요</t>
  </si>
  <si>
    <t xml:space="preserve">copy.result.force_labels.down.0</t>
  </si>
  <si>
    <t xml:space="preserve">force_labels.down.0</t>
  </si>
  <si>
    <t xml:space="preserve">힘이 안쪽으로 웅크려 있어요</t>
  </si>
  <si>
    <t xml:space="preserve">copy.result.force_labels.down.1</t>
  </si>
  <si>
    <t xml:space="preserve">force_labels.down.1</t>
  </si>
  <si>
    <t xml:space="preserve">힘이 한곳에 묶여 있어요</t>
  </si>
  <si>
    <t xml:space="preserve">copy.result.force_labels.down.2</t>
  </si>
  <si>
    <t xml:space="preserve">force_labels.down.2</t>
  </si>
  <si>
    <t xml:space="preserve">힘이 아직 안에 잠겨 있어요</t>
  </si>
  <si>
    <t xml:space="preserve">copy.result.card_says_title</t>
  </si>
  <si>
    <t xml:space="preserve">card_says_title</t>
  </si>
  <si>
    <t xml:space="preserve">카드는 이렇게 말해요</t>
  </si>
  <si>
    <t xml:space="preserve">copy.result.tendency_title</t>
  </si>
  <si>
    <t xml:space="preserve">tendency_title</t>
  </si>
  <si>
    <t xml:space="preserve">카드로 본 나의 성향</t>
  </si>
  <si>
    <t xml:space="preserve">copy.result.story_head_frame</t>
  </si>
  <si>
    <t xml:space="preserve">story_head_frame</t>
  </si>
  <si>
    <r>
      <rPr>
        <sz val="10"/>
        <rFont val="Malgun Gothic"/>
        <family val="0"/>
        <charset val="1"/>
      </rPr>
      <t xml:space="preserve">{now:</t>
    </r>
    <r>
      <rPr>
        <sz val="10"/>
        <rFont val="Noto Sans CJK SC"/>
        <family val="2"/>
      </rPr>
      <t xml:space="preserve">이</t>
    </r>
    <r>
      <rPr>
        <sz val="10"/>
        <rFont val="Malgun Gothic"/>
        <family val="0"/>
        <charset val="1"/>
      </rPr>
      <t xml:space="preserve">} </t>
    </r>
    <r>
      <rPr>
        <sz val="10"/>
        <rFont val="Noto Sans CJK SC"/>
        <family val="2"/>
      </rPr>
      <t xml:space="preserve">쌓여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지금은 </t>
    </r>
    <r>
      <rPr>
        <sz val="10"/>
        <rFont val="Malgun Gothic"/>
        <family val="0"/>
        <charset val="1"/>
      </rPr>
      <t xml:space="preserve">{hold:</t>
    </r>
    <r>
      <rPr>
        <sz val="10"/>
        <rFont val="Noto Sans CJK SC"/>
        <family val="2"/>
      </rPr>
      <t xml:space="preserve">으로</t>
    </r>
    <r>
      <rPr>
        <sz val="10"/>
        <rFont val="Malgun Gothic"/>
        <family val="0"/>
        <charset val="1"/>
      </rPr>
      <t xml:space="preserve">} </t>
    </r>
    <r>
      <rPr>
        <sz val="10"/>
        <rFont val="Noto Sans CJK SC"/>
        <family val="2"/>
      </rPr>
      <t xml:space="preserve">이어지고 있어요</t>
    </r>
    <r>
      <rPr>
        <sz val="10"/>
        <rFont val="Malgun Gothic"/>
        <family val="0"/>
        <charset val="1"/>
      </rPr>
      <t xml:space="preserve">.</t>
    </r>
  </si>
  <si>
    <t xml:space="preserve">copy.result.rx_lead</t>
  </si>
  <si>
    <t xml:space="preserve">rx_lead</t>
  </si>
  <si>
    <r>
      <rPr>
        <sz val="10"/>
        <rFont val="Noto Sans CJK SC"/>
        <family val="2"/>
      </rPr>
      <t xml:space="preserve">앞에서 읽은 내용에 바로 이어지는 처방 두 가지예요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하나는 앞으로의 열쇠를 생활로 옮기는 방법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하나는 지금의 흐름에서 나를 붙잡는 것을 푸는 방법이에요</t>
    </r>
    <r>
      <rPr>
        <sz val="10"/>
        <rFont val="Malgun Gothic"/>
        <family val="0"/>
        <charset val="1"/>
      </rPr>
      <t xml:space="preserve">.</t>
    </r>
  </si>
  <si>
    <t xml:space="preserve">copy.result.rx_bridge.step</t>
  </si>
  <si>
    <t xml:space="preserve">rx_bridge.step</t>
  </si>
  <si>
    <r>
      <rPr>
        <sz val="10"/>
        <rFont val="Noto Sans CJK SC"/>
        <family val="2"/>
      </rPr>
      <t xml:space="preserve">앞으로의 열쇠 ‘</t>
    </r>
    <r>
      <rPr>
        <sz val="10"/>
        <rFont val="Malgun Gothic"/>
        <family val="0"/>
        <charset val="1"/>
      </rPr>
      <t xml:space="preserve">{frag}’{eul} </t>
    </r>
    <r>
      <rPr>
        <sz val="10"/>
        <rFont val="Noto Sans CJK SC"/>
        <family val="2"/>
      </rPr>
      <t xml:space="preserve">생활로 옮기면</t>
    </r>
  </si>
  <si>
    <t xml:space="preserve">copy.result.rx_bridge.hold</t>
  </si>
  <si>
    <t xml:space="preserve">rx_bridge.hold</t>
  </si>
  <si>
    <r>
      <rPr>
        <sz val="10"/>
        <rFont val="Noto Sans CJK SC"/>
        <family val="2"/>
      </rPr>
      <t xml:space="preserve">지금의 흐름에서 본 ‘</t>
    </r>
    <r>
      <rPr>
        <sz val="10"/>
        <rFont val="Malgun Gothic"/>
        <family val="0"/>
        <charset val="1"/>
      </rPr>
      <t xml:space="preserve">{frag}’{eul} </t>
    </r>
    <r>
      <rPr>
        <sz val="10"/>
        <rFont val="Noto Sans CJK SC"/>
        <family val="2"/>
      </rPr>
      <t xml:space="preserve">풀려면</t>
    </r>
  </si>
  <si>
    <t xml:space="preserve">copy.result.practice_lead</t>
  </si>
  <si>
    <t xml:space="preserve">practice_lead</t>
  </si>
  <si>
    <r>
      <rPr>
        <sz val="10"/>
        <rFont val="Malgun Gothic"/>
        <family val="0"/>
        <charset val="1"/>
      </rPr>
      <t xml:space="preserve">8</t>
    </r>
    <r>
      <rPr>
        <sz val="10"/>
        <rFont val="Noto Sans CJK SC"/>
        <family val="2"/>
      </rPr>
      <t xml:space="preserve">쪽 처방을 이번 주로 옮긴 작은 실천이에요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오늘과 이번 주는 첫 번째 처방을</t>
    </r>
    <r>
      <rPr>
        <sz val="10"/>
        <rFont val="Malgun Gothic"/>
        <family val="0"/>
        <charset val="1"/>
      </rPr>
      <t xml:space="preserve">, 3</t>
    </r>
    <r>
      <rPr>
        <sz val="10"/>
        <rFont val="Noto Sans CJK SC"/>
        <family val="2"/>
      </rPr>
      <t xml:space="preserve">일 안에는 두 번째 처방을 작게 해 보는 거예요</t>
    </r>
    <r>
      <rPr>
        <sz val="10"/>
        <rFont val="Malgun Gothic"/>
        <family val="0"/>
        <charset val="1"/>
      </rPr>
      <t xml:space="preserve">.</t>
    </r>
  </si>
  <si>
    <t xml:space="preserve">copy.result.pages.0.key</t>
  </si>
  <si>
    <t xml:space="preserve">pages.0.key</t>
  </si>
  <si>
    <t xml:space="preserve">cards</t>
  </si>
  <si>
    <t xml:space="preserve">copy.result.pages.0.title</t>
  </si>
  <si>
    <t xml:space="preserve">pages.0.title</t>
  </si>
  <si>
    <t xml:space="preserve">오늘 당신에게 온 세 장</t>
  </si>
  <si>
    <t xml:space="preserve">copy.result.pages.0.access</t>
  </si>
  <si>
    <t xml:space="preserve">pages.0.access</t>
  </si>
  <si>
    <t xml:space="preserve">무료</t>
  </si>
  <si>
    <t xml:space="preserve">copy.result.pages.1.key</t>
  </si>
  <si>
    <t xml:space="preserve">pages.1.key</t>
  </si>
  <si>
    <t xml:space="preserve">now</t>
  </si>
  <si>
    <t xml:space="preserve">copy.result.pages.1.title</t>
  </si>
  <si>
    <t xml:space="preserve">pages.1.title</t>
  </si>
  <si>
    <r>
      <rPr>
        <sz val="10"/>
        <rFont val="Noto Sans CJK SC"/>
        <family val="2"/>
      </rPr>
      <t xml:space="preserve">첫 번째 카드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지나온 길</t>
    </r>
  </si>
  <si>
    <t xml:space="preserve">copy.result.pages.1.access</t>
  </si>
  <si>
    <t xml:space="preserve">pages.1.access</t>
  </si>
  <si>
    <t xml:space="preserve">copy.result.pages.2.key</t>
  </si>
  <si>
    <t xml:space="preserve">pages.2.key</t>
  </si>
  <si>
    <t xml:space="preserve">hold</t>
  </si>
  <si>
    <t xml:space="preserve">copy.result.pages.2.title</t>
  </si>
  <si>
    <t xml:space="preserve">pages.2.title</t>
  </si>
  <si>
    <r>
      <rPr>
        <sz val="10"/>
        <rFont val="Noto Sans CJK SC"/>
        <family val="2"/>
      </rPr>
      <t xml:space="preserve">두 번째 카드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지금의 흐름</t>
    </r>
  </si>
  <si>
    <t xml:space="preserve">copy.result.pages.2.access</t>
  </si>
  <si>
    <t xml:space="preserve">pages.2.access</t>
  </si>
  <si>
    <t xml:space="preserve">copy.result.pages.3.key</t>
  </si>
  <si>
    <t xml:space="preserve">pages.3.key</t>
  </si>
  <si>
    <t xml:space="preserve">step</t>
  </si>
  <si>
    <t xml:space="preserve">copy.result.pages.3.title</t>
  </si>
  <si>
    <t xml:space="preserve">pages.3.title</t>
  </si>
  <si>
    <r>
      <rPr>
        <sz val="10"/>
        <rFont val="Noto Sans CJK SC"/>
        <family val="2"/>
      </rPr>
      <t xml:space="preserve">세 번째 카드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앞으로의 열쇠</t>
    </r>
  </si>
  <si>
    <t xml:space="preserve">copy.result.pages.3.access</t>
  </si>
  <si>
    <t xml:space="preserve">pages.3.access</t>
  </si>
  <si>
    <t xml:space="preserve">copy.result.pages.4.key</t>
  </si>
  <si>
    <t xml:space="preserve">pages.4.key</t>
  </si>
  <si>
    <t xml:space="preserve">story</t>
  </si>
  <si>
    <t xml:space="preserve">copy.result.pages.4.title</t>
  </si>
  <si>
    <t xml:space="preserve">pages.4.title</t>
  </si>
  <si>
    <t xml:space="preserve">세 장이 함께 들려주는 이야기</t>
  </si>
  <si>
    <t xml:space="preserve">copy.result.pages.4.access</t>
  </si>
  <si>
    <t xml:space="preserve">pages.4.access</t>
  </si>
  <si>
    <t xml:space="preserve">일부 무료</t>
  </si>
  <si>
    <t xml:space="preserve">copy.result.pages.4.teaser</t>
  </si>
  <si>
    <t xml:space="preserve">pages.4.teaser</t>
  </si>
  <si>
    <r>
      <rPr>
        <sz val="10"/>
        <rFont val="Noto Sans CJK SC"/>
        <family val="2"/>
      </rPr>
      <t xml:space="preserve">그동안 어떻게 해 왔고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그것이 지금 어떻게 이어지고 있는지 — 세 장의 읽기 지도와 곱씹어 볼 질문 세 가지</t>
    </r>
  </si>
  <si>
    <t xml:space="preserve">copy.result.pages.5.key</t>
  </si>
  <si>
    <t xml:space="preserve">pages.5.key</t>
  </si>
  <si>
    <t xml:space="preserve">apply</t>
  </si>
  <si>
    <t xml:space="preserve">copy.result.pages.5.title</t>
  </si>
  <si>
    <t xml:space="preserve">pages.5.title</t>
  </si>
  <si>
    <t xml:space="preserve">내 고민에 대어 보면</t>
  </si>
  <si>
    <t xml:space="preserve">copy.result.pages.5.access</t>
  </si>
  <si>
    <t xml:space="preserve">pages.5.access</t>
  </si>
  <si>
    <t xml:space="preserve">유료</t>
  </si>
  <si>
    <t xml:space="preserve">copy.result.pages.5.teaser</t>
  </si>
  <si>
    <t xml:space="preserve">pages.5.teaser</t>
  </si>
  <si>
    <r>
      <rPr>
        <sz val="10"/>
        <rFont val="Noto Sans CJK SC"/>
        <family val="2"/>
      </rPr>
      <t xml:space="preserve">카드로 본 나의 성향과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그동안의 고민을 실제 장면에 대어 본 분석</t>
    </r>
  </si>
  <si>
    <t xml:space="preserve">copy.result.pages.6.key</t>
  </si>
  <si>
    <t xml:space="preserve">pages.6.key</t>
  </si>
  <si>
    <t xml:space="preserve">flow</t>
  </si>
  <si>
    <t xml:space="preserve">copy.result.pages.6.title</t>
  </si>
  <si>
    <t xml:space="preserve">pages.6.title</t>
  </si>
  <si>
    <t xml:space="preserve">해결의 흐름</t>
  </si>
  <si>
    <t xml:space="preserve">copy.result.pages.6.access</t>
  </si>
  <si>
    <t xml:space="preserve">pages.6.access</t>
  </si>
  <si>
    <t xml:space="preserve">copy.result.pages.6.teaser</t>
  </si>
  <si>
    <t xml:space="preserve">pages.6.teaser</t>
  </si>
  <si>
    <r>
      <rPr>
        <sz val="10"/>
        <rFont val="Noto Sans CJK SC"/>
        <family val="2"/>
      </rPr>
      <t xml:space="preserve">앞으로의 열쇠가 바꾸는 것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풀리는 속도와 그 이유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풀리고 있다는 신호</t>
    </r>
  </si>
  <si>
    <t xml:space="preserve">copy.result.pages.7.key</t>
  </si>
  <si>
    <t xml:space="preserve">pages.7.key</t>
  </si>
  <si>
    <t xml:space="preserve">rx</t>
  </si>
  <si>
    <t xml:space="preserve">copy.result.pages.7.title</t>
  </si>
  <si>
    <t xml:space="preserve">pages.7.title</t>
  </si>
  <si>
    <r>
      <rPr>
        <sz val="10"/>
        <rFont val="Noto Sans CJK SC"/>
        <family val="2"/>
      </rPr>
      <t xml:space="preserve">그래서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이렇게 해 보세요</t>
    </r>
  </si>
  <si>
    <t xml:space="preserve">copy.result.pages.7.access</t>
  </si>
  <si>
    <t xml:space="preserve">pages.7.access</t>
  </si>
  <si>
    <t xml:space="preserve">copy.result.pages.7.teaser</t>
  </si>
  <si>
    <t xml:space="preserve">pages.7.teaser</t>
  </si>
  <si>
    <t xml:space="preserve">앞의 분석에서 바로 이어지는 웰니스 처방 두 가지</t>
  </si>
  <si>
    <t xml:space="preserve">copy.result.pages.8.key</t>
  </si>
  <si>
    <t xml:space="preserve">pages.8.key</t>
  </si>
  <si>
    <t xml:space="preserve">practice</t>
  </si>
  <si>
    <t xml:space="preserve">copy.result.pages.8.title</t>
  </si>
  <si>
    <t xml:space="preserve">pages.8.title</t>
  </si>
  <si>
    <t xml:space="preserve">이번 주 실천 카드</t>
  </si>
  <si>
    <t xml:space="preserve">copy.result.pages.8.access</t>
  </si>
  <si>
    <t xml:space="preserve">pages.8.access</t>
  </si>
  <si>
    <t xml:space="preserve">copy.result.pages.8.teaser</t>
  </si>
  <si>
    <t xml:space="preserve">pages.8.teaser</t>
  </si>
  <si>
    <r>
      <rPr>
        <sz val="10"/>
        <rFont val="Noto Sans CJK SC"/>
        <family val="2"/>
      </rPr>
      <t xml:space="preserve">오늘 </t>
    </r>
    <r>
      <rPr>
        <sz val="10"/>
        <rFont val="Malgun Gothic"/>
        <family val="0"/>
        <charset val="1"/>
      </rPr>
      <t xml:space="preserve">/ 3</t>
    </r>
    <r>
      <rPr>
        <sz val="10"/>
        <rFont val="Noto Sans CJK SC"/>
        <family val="2"/>
      </rPr>
      <t xml:space="preserve">일 안에 </t>
    </r>
    <r>
      <rPr>
        <sz val="10"/>
        <rFont val="Malgun Gothic"/>
        <family val="0"/>
        <charset val="1"/>
      </rPr>
      <t xml:space="preserve">/ </t>
    </r>
    <r>
      <rPr>
        <sz val="10"/>
        <rFont val="Noto Sans CJK SC"/>
        <family val="2"/>
      </rPr>
      <t xml:space="preserve">이번 주 — 처방을 옮긴 작은 실천 </t>
    </r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장</t>
    </r>
  </si>
  <si>
    <t xml:space="preserve">copy.result.pages.9.key</t>
  </si>
  <si>
    <t xml:space="preserve">pages.9.key</t>
  </si>
  <si>
    <t xml:space="preserve">sowella</t>
  </si>
  <si>
    <t xml:space="preserve">copy.result.pages.9.title</t>
  </si>
  <si>
    <t xml:space="preserve">pages.9.title</t>
  </si>
  <si>
    <t xml:space="preserve">쏘웰라와 이어서 이야기하기</t>
  </si>
  <si>
    <t xml:space="preserve">copy.result.pages.9.access</t>
  </si>
  <si>
    <t xml:space="preserve">pages.9.access</t>
  </si>
  <si>
    <t xml:space="preserve">copy.result.pages.9.teaser</t>
  </si>
  <si>
    <t xml:space="preserve">pages.9.teaser</t>
  </si>
  <si>
    <r>
      <rPr>
        <sz val="10"/>
        <rFont val="Noto Sans CJK SC"/>
        <family val="2"/>
      </rPr>
      <t xml:space="preserve">타로를 본 분께 드리는 쏘웰라 </t>
    </r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일 무료 대화</t>
    </r>
  </si>
  <si>
    <t xml:space="preserve">copy.result.headline_break</t>
  </si>
  <si>
    <t xml:space="preserve">headline_break</t>
  </si>
  <si>
    <r>
      <rPr>
        <sz val="10"/>
        <rFont val="Noto Sans CJK SC"/>
        <family val="2"/>
      </rPr>
      <t xml:space="preserve">메인 문구가 한 줄을 넘으면 첫 쉼표</t>
    </r>
    <r>
      <rPr>
        <sz val="10"/>
        <rFont val="Malgun Gothic"/>
        <family val="0"/>
        <charset val="1"/>
      </rPr>
      <t xml:space="preserve">(,) </t>
    </r>
    <r>
      <rPr>
        <sz val="10"/>
        <rFont val="Noto Sans CJK SC"/>
        <family val="2"/>
      </rPr>
      <t xml:space="preserve">뒤에서 줄을 바꿈 — 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익숙한 고민에서</t>
    </r>
    <r>
      <rPr>
        <sz val="10"/>
        <rFont val="Malgun Gothic"/>
        <family val="0"/>
        <charset val="1"/>
      </rPr>
      <t xml:space="preserve">,' / '</t>
    </r>
    <r>
      <rPr>
        <sz val="10"/>
        <rFont val="Noto Sans CJK SC"/>
        <family val="2"/>
      </rPr>
      <t xml:space="preserve">내 목소리를 듣는 쪽으로</t>
    </r>
    <r>
      <rPr>
        <sz val="10"/>
        <rFont val="Malgun Gothic"/>
        <family val="0"/>
        <charset val="1"/>
      </rPr>
      <t xml:space="preserve">'</t>
    </r>
  </si>
  <si>
    <t xml:space="preserve">copy.share_card.title</t>
  </si>
  <si>
    <t xml:space="preserve">공유 카드</t>
  </si>
  <si>
    <r>
      <rPr>
        <sz val="10"/>
        <rFont val="Malgun Gothic"/>
        <family val="0"/>
        <charset val="1"/>
      </rPr>
      <t xml:space="preserve">{nickname}</t>
    </r>
    <r>
      <rPr>
        <sz val="10"/>
        <rFont val="Noto Sans CJK SC"/>
        <family val="2"/>
      </rPr>
      <t xml:space="preserve">님의 웰니스 타로 세 장</t>
    </r>
  </si>
  <si>
    <t xml:space="preserve">copy.share_card.sub</t>
  </si>
  <si>
    <r>
      <rPr>
        <sz val="10"/>
        <rFont val="Noto Sans CJK SC"/>
        <family val="2"/>
      </rPr>
      <t xml:space="preserve">오늘 당신에게 온 카드는</t>
    </r>
    <r>
      <rPr>
        <sz val="10"/>
        <rFont val="Malgun Gothic"/>
        <family val="0"/>
        <charset val="1"/>
      </rPr>
      <t xml:space="preserve">?</t>
    </r>
  </si>
  <si>
    <t xml:space="preserve">copy.share_card.button</t>
  </si>
  <si>
    <t xml:space="preserve">나도 카드 뽑기</t>
  </si>
  <si>
    <t xml:space="preserve">copy.disclaimer</t>
  </si>
  <si>
    <t xml:space="preserve">결과 하단 고지</t>
  </si>
  <si>
    <t xml:space="preserve">본문</t>
  </si>
  <si>
    <r>
      <rPr>
        <sz val="10"/>
        <rFont val="Noto Sans CJK SC"/>
        <family val="2"/>
      </rPr>
      <t xml:space="preserve">이 결과는 전문 심리상담사가 설계한 자기이해용 웰니스 콘텐츠예요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미래를 예측하지 않으며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의료적 진단이나 심리 치료를 대신하지 않아요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마음이 많이 힘들다면 전문가와 이야기 나눠 주세요</t>
    </r>
    <r>
      <rPr>
        <sz val="10"/>
        <rFont val="Malgun Gothic"/>
        <family val="0"/>
        <charset val="1"/>
      </rPr>
      <t xml:space="preserve">.</t>
    </r>
  </si>
  <si>
    <t xml:space="preserve">copy.safety.urgent_title</t>
  </si>
  <si>
    <t xml:space="preserve">안전 안내</t>
  </si>
  <si>
    <t xml:space="preserve">urgent_title</t>
  </si>
  <si>
    <t xml:space="preserve">지금은 카드보다 사람의 목소리가 먼저 필요해 보여요</t>
  </si>
  <si>
    <t xml:space="preserve">copy.safety.urgent_body</t>
  </si>
  <si>
    <t xml:space="preserve">urgent_body</t>
  </si>
  <si>
    <r>
      <rPr>
        <sz val="10"/>
        <rFont val="Noto Sans CJK SC"/>
        <family val="2"/>
      </rPr>
      <t xml:space="preserve">적어 주신 이야기에서 많이 힘든 마음이 느껴졌어요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혼자 견디지 않아도 괜찮아요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지금 바로 이야기 나눌 수 있는 곳이 있어요</t>
    </r>
    <r>
      <rPr>
        <sz val="10"/>
        <rFont val="Malgun Gothic"/>
        <family val="0"/>
        <charset val="1"/>
      </rPr>
      <t xml:space="preserve">.</t>
    </r>
  </si>
  <si>
    <t xml:space="preserve">copy.safety.urgent_contacts.0.name</t>
  </si>
  <si>
    <t xml:space="preserve">urgent_contacts.0.name</t>
  </si>
  <si>
    <t xml:space="preserve">자살예방상담전화</t>
  </si>
  <si>
    <t xml:space="preserve">urgent_contacts.0.number</t>
  </si>
  <si>
    <t xml:space="preserve">109</t>
  </si>
  <si>
    <r>
      <rPr>
        <sz val="10"/>
        <rFont val="Malgun Gothic"/>
        <family val="0"/>
        <charset val="1"/>
      </rPr>
      <t xml:space="preserve">[Claude </t>
    </r>
    <r>
      <rPr>
        <sz val="10"/>
        <rFont val="Noto Sans CJK SC"/>
        <family val="2"/>
      </rPr>
      <t xml:space="preserve">점검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판단 필요</t>
    </r>
    <r>
      <rPr>
        <sz val="10"/>
        <rFont val="Malgun Gothic"/>
        <family val="0"/>
        <charset val="1"/>
      </rPr>
      <t xml:space="preserve">] </t>
    </r>
    <r>
      <rPr>
        <sz val="10"/>
        <rFont val="Noto Sans CJK SC"/>
        <family val="2"/>
      </rPr>
      <t xml:space="preserve">화면에 보이던 내부 메모 </t>
    </r>
    <r>
      <rPr>
        <sz val="10"/>
        <rFont val="Malgun Gothic"/>
        <family val="0"/>
        <charset val="1"/>
      </rPr>
      <t xml:space="preserve">'[</t>
    </r>
    <r>
      <rPr>
        <sz val="10"/>
        <rFont val="Noto Sans CJK SC"/>
        <family val="2"/>
      </rPr>
      <t xml:space="preserve">확인필요</t>
    </r>
    <r>
      <rPr>
        <sz val="10"/>
        <rFont val="Malgun Gothic"/>
        <family val="0"/>
        <charset val="1"/>
      </rPr>
      <t xml:space="preserve">]'</t>
    </r>
    <r>
      <rPr>
        <sz val="10"/>
        <rFont val="Noto Sans CJK SC"/>
        <family val="2"/>
      </rPr>
      <t xml:space="preserve">는 뺐음</t>
    </r>
    <r>
      <rPr>
        <sz val="10"/>
        <rFont val="Malgun Gothic"/>
        <family val="0"/>
        <charset val="1"/>
      </rPr>
      <t xml:space="preserve">. 109·1577-0199 </t>
    </r>
    <r>
      <rPr>
        <sz val="10"/>
        <rFont val="Noto Sans CJK SC"/>
        <family val="2"/>
      </rPr>
      <t xml:space="preserve">번호는 출시 전 최신 확인 필요</t>
    </r>
  </si>
  <si>
    <t xml:space="preserve">urgent_contacts.0.note</t>
  </si>
  <si>
    <r>
      <rPr>
        <sz val="10"/>
        <rFont val="Malgun Gothic"/>
        <family val="0"/>
        <charset val="1"/>
      </rPr>
      <t xml:space="preserve">[Claude </t>
    </r>
    <r>
      <rPr>
        <sz val="10"/>
        <rFont val="Noto Sans CJK SC"/>
        <family val="2"/>
      </rPr>
      <t xml:space="preserve">점검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고침</t>
    </r>
    <r>
      <rPr>
        <sz val="10"/>
        <rFont val="Malgun Gothic"/>
        <family val="0"/>
        <charset val="1"/>
      </rPr>
      <t xml:space="preserve">] </t>
    </r>
    <r>
      <rPr>
        <sz val="10"/>
        <rFont val="Noto Sans CJK SC"/>
        <family val="2"/>
      </rPr>
      <t xml:space="preserve">노출 문구에 </t>
    </r>
    <r>
      <rPr>
        <sz val="10"/>
        <rFont val="Malgun Gothic"/>
        <family val="0"/>
        <charset val="1"/>
      </rPr>
      <t xml:space="preserve">'[</t>
    </r>
    <r>
      <rPr>
        <sz val="10"/>
        <rFont val="Noto Sans CJK SC"/>
        <family val="2"/>
      </rPr>
      <t xml:space="preserve">확인필요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출시 전 최신 번호 확인</t>
    </r>
    <r>
      <rPr>
        <sz val="10"/>
        <rFont val="Malgun Gothic"/>
        <family val="0"/>
        <charset val="1"/>
      </rPr>
      <t xml:space="preserve">]' </t>
    </r>
    <r>
      <rPr>
        <sz val="10"/>
        <rFont val="Noto Sans CJK SC"/>
        <family val="2"/>
      </rPr>
      <t xml:space="preserve">내부 메모 포함</t>
    </r>
    <r>
      <rPr>
        <sz val="10"/>
        <rFont val="Malgun Gothic"/>
        <family val="0"/>
        <charset val="1"/>
      </rPr>
      <t xml:space="preserve">(contacts.1.note</t>
    </r>
    <r>
      <rPr>
        <sz val="10"/>
        <rFont val="Noto Sans CJK SC"/>
        <family val="2"/>
      </rPr>
      <t xml:space="preserve">도 동일</t>
    </r>
    <r>
      <rPr>
        <sz val="10"/>
        <rFont val="Malgun Gothic"/>
        <family val="0"/>
        <charset val="1"/>
      </rPr>
      <t xml:space="preserve">) (</t>
    </r>
    <r>
      <rPr>
        <sz val="10"/>
        <rFont val="Noto Sans CJK SC"/>
        <family val="2"/>
      </rPr>
      <t xml:space="preserve">전</t>
    </r>
    <r>
      <rPr>
        <sz val="10"/>
        <rFont val="Malgun Gothic"/>
        <family val="0"/>
        <charset val="1"/>
      </rPr>
      <t xml:space="preserve">: 24</t>
    </r>
    <r>
      <rPr>
        <sz val="10"/>
        <rFont val="Noto Sans CJK SC"/>
        <family val="2"/>
      </rPr>
      <t xml:space="preserve">시간 </t>
    </r>
    <r>
      <rPr>
        <sz val="10"/>
        <rFont val="Malgun Gothic"/>
        <family val="0"/>
        <charset val="1"/>
      </rPr>
      <t xml:space="preserve">[</t>
    </r>
    <r>
      <rPr>
        <sz val="10"/>
        <rFont val="Noto Sans CJK SC"/>
        <family val="2"/>
      </rPr>
      <t xml:space="preserve">확인필요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출시 전 최신 번호 확인</t>
    </r>
    <r>
      <rPr>
        <sz val="10"/>
        <rFont val="Malgun Gothic"/>
        <family val="0"/>
        <charset val="1"/>
      </rPr>
      <t xml:space="preserve">])</t>
    </r>
  </si>
  <si>
    <t xml:space="preserve">copy.safety.urgent_contacts.1.name</t>
  </si>
  <si>
    <t xml:space="preserve">urgent_contacts.1.name</t>
  </si>
  <si>
    <t xml:space="preserve">정신건강위기상담전화</t>
  </si>
  <si>
    <t xml:space="preserve">copy.safety.urgent_contacts.1.number</t>
  </si>
  <si>
    <t xml:space="preserve">urgent_contacts.1.number</t>
  </si>
  <si>
    <t xml:space="preserve">1577-0199</t>
  </si>
  <si>
    <t xml:space="preserve">urgent_contacts.1.note</t>
  </si>
  <si>
    <r>
      <rPr>
        <sz val="10"/>
        <rFont val="Malgun Gothic"/>
        <family val="0"/>
        <charset val="1"/>
      </rPr>
      <t xml:space="preserve">[Claude </t>
    </r>
    <r>
      <rPr>
        <sz val="10"/>
        <rFont val="Noto Sans CJK SC"/>
        <family val="2"/>
      </rPr>
      <t xml:space="preserve">점검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고침</t>
    </r>
    <r>
      <rPr>
        <sz val="10"/>
        <rFont val="Malgun Gothic"/>
        <family val="0"/>
        <charset val="1"/>
      </rPr>
      <t xml:space="preserve">] Claude </t>
    </r>
    <r>
      <rPr>
        <sz val="10"/>
        <rFont val="Noto Sans CJK SC"/>
        <family val="2"/>
      </rPr>
      <t xml:space="preserve">점검 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전</t>
    </r>
    <r>
      <rPr>
        <sz val="10"/>
        <rFont val="Malgun Gothic"/>
        <family val="0"/>
        <charset val="1"/>
      </rPr>
      <t xml:space="preserve">: 24</t>
    </r>
    <r>
      <rPr>
        <sz val="10"/>
        <rFont val="Noto Sans CJK SC"/>
        <family val="2"/>
      </rPr>
      <t xml:space="preserve">시간 </t>
    </r>
    <r>
      <rPr>
        <sz val="10"/>
        <rFont val="Malgun Gothic"/>
        <family val="0"/>
        <charset val="1"/>
      </rPr>
      <t xml:space="preserve">[</t>
    </r>
    <r>
      <rPr>
        <sz val="10"/>
        <rFont val="Noto Sans CJK SC"/>
        <family val="2"/>
      </rPr>
      <t xml:space="preserve">확인필요</t>
    </r>
    <r>
      <rPr>
        <sz val="10"/>
        <rFont val="Malgun Gothic"/>
        <family val="0"/>
        <charset val="1"/>
      </rPr>
      <t xml:space="preserve">])</t>
    </r>
  </si>
  <si>
    <t xml:space="preserve">copy.safety.urgent_contacts.2.name</t>
  </si>
  <si>
    <t xml:space="preserve">urgent_contacts.2.name</t>
  </si>
  <si>
    <t xml:space="preserve">긴급 상황</t>
  </si>
  <si>
    <t xml:space="preserve">copy.safety.urgent_contacts.2.number</t>
  </si>
  <si>
    <t xml:space="preserve">urgent_contacts.2.number</t>
  </si>
  <si>
    <t xml:space="preserve">119 / 112</t>
  </si>
  <si>
    <t xml:space="preserve">copy.safety.urgent_cta</t>
  </si>
  <si>
    <t xml:space="preserve">urgent_cta</t>
  </si>
  <si>
    <t xml:space="preserve">쏠 웰니스 하우스 전문 상담 알아보기</t>
  </si>
  <si>
    <t xml:space="preserve">watch_box</t>
  </si>
  <si>
    <r>
      <rPr>
        <sz val="10"/>
        <rFont val="Malgun Gothic"/>
        <family val="0"/>
        <charset val="1"/>
      </rPr>
      <t xml:space="preserve">[Claude </t>
    </r>
    <r>
      <rPr>
        <sz val="10"/>
        <rFont val="Noto Sans CJK SC"/>
        <family val="2"/>
      </rPr>
      <t xml:space="preserve">점검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고침</t>
    </r>
    <r>
      <rPr>
        <sz val="10"/>
        <rFont val="Malgun Gothic"/>
        <family val="0"/>
        <charset val="1"/>
      </rPr>
      <t xml:space="preserve">] '</t>
    </r>
    <r>
      <rPr>
        <sz val="10"/>
        <rFont val="Noto Sans CJK SC"/>
        <family val="2"/>
      </rPr>
      <t xml:space="preserve">함께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가 한 문장에 두 번 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전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요즘 마음이 많이 무거우셨던 것 같아요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카드 해석과 함께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필요할 때 언제든 기댈 수 있는 곳도 함께 적어 둘게요</t>
    </r>
    <r>
      <rPr>
        <sz val="10"/>
        <rFont val="Malgun Gothic"/>
        <family val="0"/>
        <charset val="1"/>
      </rPr>
      <t xml:space="preserve">.)</t>
    </r>
  </si>
  <si>
    <t xml:space="preserve">violence_box</t>
  </si>
  <si>
    <r>
      <rPr>
        <sz val="10"/>
        <rFont val="Malgun Gothic"/>
        <family val="0"/>
        <charset val="1"/>
      </rPr>
      <t xml:space="preserve">[Claude </t>
    </r>
    <r>
      <rPr>
        <sz val="10"/>
        <rFont val="Noto Sans CJK SC"/>
        <family val="2"/>
      </rPr>
      <t xml:space="preserve">점검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판단 필요</t>
    </r>
    <r>
      <rPr>
        <sz val="10"/>
        <rFont val="Malgun Gothic"/>
        <family val="0"/>
        <charset val="1"/>
      </rPr>
      <t xml:space="preserve">] 1366(</t>
    </r>
    <r>
      <rPr>
        <sz val="10"/>
        <rFont val="Noto Sans CJK SC"/>
        <family val="2"/>
      </rPr>
      <t xml:space="preserve">여성긴급전화</t>
    </r>
    <r>
      <rPr>
        <sz val="10"/>
        <rFont val="Malgun Gothic"/>
        <family val="0"/>
        <charset val="1"/>
      </rPr>
      <t xml:space="preserve">)</t>
    </r>
    <r>
      <rPr>
        <sz val="10"/>
        <rFont val="Noto Sans CJK SC"/>
        <family val="2"/>
      </rPr>
      <t xml:space="preserve">만 안내해 피해자를 여성으로 가정할 수 있음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성별과 상관없는 안내를 함께 둘지 결정 필요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번호는 출시 전 확인</t>
    </r>
  </si>
  <si>
    <t xml:space="preserve">copy.cta_chat.title</t>
  </si>
  <si>
    <r>
      <rPr>
        <sz val="10"/>
        <rFont val="Noto Sans CJK SC"/>
        <family val="2"/>
      </rPr>
      <t xml:space="preserve">결과 </t>
    </r>
    <r>
      <rPr>
        <sz val="10"/>
        <rFont val="Malgun Gothic"/>
        <family val="0"/>
        <charset val="1"/>
      </rPr>
      <t xml:space="preserve">8</t>
    </r>
    <r>
      <rPr>
        <sz val="10"/>
        <rFont val="Noto Sans CJK SC"/>
        <family val="2"/>
      </rPr>
      <t xml:space="preserve">번 쏘웰라</t>
    </r>
  </si>
  <si>
    <r>
      <rPr>
        <sz val="10"/>
        <rFont val="Noto Sans CJK SC"/>
        <family val="2"/>
      </rPr>
      <t xml:space="preserve">카드에서 마음에 걸린 문장이 있다면 쏘웰라에게 이어서 이야기해 보세요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쏘웰라는 전문 상담사가 설계한 웰니스 대화예요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타로를 보신 분들은 </t>
    </r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일 동안 무료로 이용할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지금의 계정 그대로 쏘웰라에 접속할 수 있으니 지금 바로 대화해 볼까요</t>
    </r>
    <r>
      <rPr>
        <sz val="10"/>
        <rFont val="Malgun Gothic"/>
        <family val="0"/>
        <charset val="1"/>
      </rPr>
      <t xml:space="preserve">?</t>
    </r>
  </si>
  <si>
    <r>
      <rPr>
        <sz val="10"/>
        <rFont val="Malgun Gothic"/>
        <family val="0"/>
        <charset val="1"/>
      </rPr>
      <t xml:space="preserve">[Claude </t>
    </r>
    <r>
      <rPr>
        <sz val="10"/>
        <rFont val="Noto Sans CJK SC"/>
        <family val="2"/>
      </rPr>
      <t xml:space="preserve">점검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제안</t>
    </r>
    <r>
      <rPr>
        <sz val="10"/>
        <rFont val="Malgun Gothic"/>
        <family val="0"/>
        <charset val="1"/>
      </rPr>
      <t xml:space="preserve">] </t>
    </r>
    <r>
      <rPr>
        <sz val="10"/>
        <rFont val="Noto Sans CJK SC"/>
        <family val="2"/>
      </rPr>
      <t xml:space="preserve">직접 정해 주신 문구라 그대로 둠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제안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카드에서 마음에 걸린 문장이 있다면 쏘웰라에게 이어서 이야기해 보세요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쏘웰라는 전문 상담사가 설계한 웰니스 대화예요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타로를 보신 분들은 </t>
    </r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일 동안 무료로 이용할 수 있어요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지금 계정 그대로 쏘웰라에 접속할 수 있으니 바로 대화해 볼까요</t>
    </r>
    <r>
      <rPr>
        <sz val="10"/>
        <rFont val="Malgun Gothic"/>
        <family val="0"/>
        <charset val="1"/>
      </rPr>
      <t xml:space="preserve">? — '</t>
    </r>
    <r>
      <rPr>
        <sz val="10"/>
        <rFont val="Noto Sans CJK SC"/>
        <family val="2"/>
      </rPr>
      <t xml:space="preserve">지금</t>
    </r>
    <r>
      <rPr>
        <sz val="10"/>
        <rFont val="Malgun Gothic"/>
        <family val="0"/>
        <charset val="1"/>
      </rPr>
      <t xml:space="preserve">'</t>
    </r>
    <r>
      <rPr>
        <sz val="10"/>
        <rFont val="Noto Sans CJK SC"/>
        <family val="2"/>
      </rPr>
      <t xml:space="preserve">이 한 문장에 두 번</t>
    </r>
  </si>
  <si>
    <t xml:space="preserve">copy.cta_chat.button</t>
  </si>
  <si>
    <r>
      <rPr>
        <sz val="10"/>
        <rFont val="Noto Sans CJK SC"/>
        <family val="2"/>
      </rPr>
      <t xml:space="preserve">쏘웰라 </t>
    </r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일 무료로 시작하기</t>
    </r>
  </si>
  <si>
    <t xml:space="preserve">copy.asks_headings.0</t>
  </si>
  <si>
    <t xml:space="preserve">카드 섹션 질문 소제목</t>
  </si>
  <si>
    <r>
      <rPr>
        <sz val="10"/>
        <rFont val="Noto Sans CJK SC"/>
        <family val="2"/>
      </rPr>
      <t xml:space="preserve">혹시 이렇진 않나요</t>
    </r>
    <r>
      <rPr>
        <sz val="10"/>
        <rFont val="Malgun Gothic"/>
        <family val="0"/>
        <charset val="1"/>
      </rPr>
      <t xml:space="preserve">?</t>
    </r>
  </si>
  <si>
    <t xml:space="preserve">copy.asks_headings.1</t>
  </si>
  <si>
    <r>
      <rPr>
        <sz val="10"/>
        <rFont val="Noto Sans CJK SC"/>
        <family val="2"/>
      </rPr>
      <t xml:space="preserve">이런 순간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떠오르지 않나요</t>
    </r>
    <r>
      <rPr>
        <sz val="10"/>
        <rFont val="Malgun Gothic"/>
        <family val="0"/>
        <charset val="1"/>
      </rPr>
      <t xml:space="preserve">?</t>
    </r>
  </si>
  <si>
    <t xml:space="preserve">copy.asks_headings.2</t>
  </si>
  <si>
    <t xml:space="preserve">2</t>
  </si>
  <si>
    <r>
      <rPr>
        <sz val="10"/>
        <rFont val="Noto Sans CJK SC"/>
        <family val="2"/>
      </rPr>
      <t xml:space="preserve">이런 마음이 익숙하진 않으세요</t>
    </r>
    <r>
      <rPr>
        <sz val="10"/>
        <rFont val="Malgun Gothic"/>
        <family val="0"/>
        <charset val="1"/>
      </rPr>
      <t xml:space="preserve">?</t>
    </r>
  </si>
  <si>
    <t xml:space="preserve">copy.top.cta_to_summary</t>
  </si>
  <si>
    <r>
      <rPr>
        <sz val="10"/>
        <rFont val="Noto Sans CJK SC"/>
        <family val="2"/>
      </rPr>
      <t xml:space="preserve">결과 맨 위 메인 문구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첫 줄 틀</t>
    </r>
  </si>
  <si>
    <t xml:space="preserve">cta_to_summary</t>
  </si>
  <si>
    <r>
      <rPr>
        <sz val="10"/>
        <rFont val="Noto Sans CJK SC"/>
        <family val="2"/>
      </rPr>
      <t xml:space="preserve">이제 세 장을 함께 읽어 볼까요</t>
    </r>
    <r>
      <rPr>
        <sz val="10"/>
        <rFont val="Malgun Gothic"/>
        <family val="0"/>
        <charset val="1"/>
      </rPr>
      <t xml:space="preserve">?</t>
    </r>
  </si>
  <si>
    <t xml:space="preserve">copy.top.cta_button</t>
  </si>
  <si>
    <t xml:space="preserve">cta_button</t>
  </si>
  <si>
    <t xml:space="preserve">세 장 함께 읽기</t>
  </si>
  <si>
    <t xml:space="preserve">copy.top.headline_frames.0</t>
  </si>
  <si>
    <t xml:space="preserve">headline_frames.0</t>
  </si>
  <si>
    <r>
      <rPr>
        <sz val="10"/>
        <rFont val="Malgun Gothic"/>
        <family val="0"/>
        <charset val="1"/>
      </rPr>
      <t xml:space="preserve">{now}</t>
    </r>
    <r>
      <rPr>
        <sz val="10"/>
        <rFont val="Noto Sans CJK SC"/>
        <family val="2"/>
      </rPr>
      <t xml:space="preserve">에서 </t>
    </r>
    <r>
      <rPr>
        <sz val="10"/>
        <rFont val="Malgun Gothic"/>
        <family val="0"/>
        <charset val="1"/>
      </rPr>
      <t xml:space="preserve">{step:</t>
    </r>
    <r>
      <rPr>
        <sz val="10"/>
        <rFont val="Noto Sans CJK SC"/>
        <family val="2"/>
      </rPr>
      <t xml:space="preserve">으로</t>
    </r>
    <r>
      <rPr>
        <sz val="10"/>
        <rFont val="Malgun Gothic"/>
        <family val="0"/>
        <charset val="1"/>
      </rPr>
      <t xml:space="preserve">}</t>
    </r>
  </si>
  <si>
    <t xml:space="preserve">copy.top.headline_frames.1</t>
  </si>
  <si>
    <t xml:space="preserve">headline_frames.1</t>
  </si>
  <si>
    <r>
      <rPr>
        <sz val="10"/>
        <rFont val="Malgun Gothic"/>
        <family val="0"/>
        <charset val="1"/>
      </rPr>
      <t xml:space="preserve">{hold:</t>
    </r>
    <r>
      <rPr>
        <sz val="10"/>
        <rFont val="Noto Sans CJK SC"/>
        <family val="2"/>
      </rPr>
      <t xml:space="preserve">을</t>
    </r>
    <r>
      <rPr>
        <sz val="10"/>
        <rFont val="Malgun Gothic"/>
        <family val="0"/>
        <charset val="1"/>
      </rPr>
      <t xml:space="preserve">} </t>
    </r>
    <r>
      <rPr>
        <sz val="10"/>
        <rFont val="Noto Sans CJK SC"/>
        <family val="2"/>
      </rPr>
      <t xml:space="preserve">지나 </t>
    </r>
    <r>
      <rPr>
        <sz val="10"/>
        <rFont val="Malgun Gothic"/>
        <family val="0"/>
        <charset val="1"/>
      </rPr>
      <t xml:space="preserve">{step:</t>
    </r>
    <r>
      <rPr>
        <sz val="10"/>
        <rFont val="Noto Sans CJK SC"/>
        <family val="2"/>
      </rPr>
      <t xml:space="preserve">으로</t>
    </r>
    <r>
      <rPr>
        <sz val="10"/>
        <rFont val="Malgun Gothic"/>
        <family val="0"/>
        <charset val="1"/>
      </rPr>
      <t xml:space="preserve">}</t>
    </r>
  </si>
  <si>
    <t xml:space="preserve">copy.top.headline_frames.2</t>
  </si>
  <si>
    <t xml:space="preserve">headline_frames.2</t>
  </si>
  <si>
    <r>
      <rPr>
        <sz val="10"/>
        <rFont val="Noto Sans CJK SC"/>
        <family val="2"/>
      </rPr>
      <t xml:space="preserve">지금은 </t>
    </r>
    <r>
      <rPr>
        <sz val="10"/>
        <rFont val="Malgun Gothic"/>
        <family val="0"/>
        <charset val="1"/>
      </rPr>
      <t xml:space="preserve">{hold}, </t>
    </r>
    <r>
      <rPr>
        <sz val="10"/>
        <rFont val="Noto Sans CJK SC"/>
        <family val="2"/>
      </rPr>
      <t xml:space="preserve">다음은 </t>
    </r>
    <r>
      <rPr>
        <sz val="10"/>
        <rFont val="Malgun Gothic"/>
        <family val="0"/>
        <charset val="1"/>
      </rPr>
      <t xml:space="preserve">{step}</t>
    </r>
  </si>
  <si>
    <t xml:space="preserve">copy.top.lead_frames.0</t>
  </si>
  <si>
    <t xml:space="preserve">lead_frames.0</t>
  </si>
  <si>
    <r>
      <rPr>
        <sz val="10"/>
        <rFont val="Noto Sans CJK SC"/>
        <family val="2"/>
      </rPr>
      <t xml:space="preserve">그 사이에서 지금은 </t>
    </r>
    <r>
      <rPr>
        <sz val="10"/>
        <rFont val="Malgun Gothic"/>
        <family val="0"/>
        <charset val="1"/>
      </rPr>
      <t xml:space="preserve">{hold:</t>
    </r>
    <r>
      <rPr>
        <sz val="10"/>
        <rFont val="Noto Sans CJK SC"/>
        <family val="2"/>
      </rPr>
      <t xml:space="preserve">이</t>
    </r>
    <r>
      <rPr>
        <sz val="10"/>
        <rFont val="Malgun Gothic"/>
        <family val="0"/>
        <charset val="1"/>
      </rPr>
      <t xml:space="preserve">} {name}</t>
    </r>
    <r>
      <rPr>
        <sz val="10"/>
        <rFont val="Noto Sans CJK SC"/>
        <family val="2"/>
      </rPr>
      <t xml:space="preserve">님에게 작용하고 있다고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세 장은 말해요</t>
    </r>
    <r>
      <rPr>
        <sz val="10"/>
        <rFont val="Malgun Gothic"/>
        <family val="0"/>
        <charset val="1"/>
      </rPr>
      <t xml:space="preserve">.</t>
    </r>
  </si>
  <si>
    <t xml:space="preserve">copy.top.lead_frames.1</t>
  </si>
  <si>
    <t xml:space="preserve">lead_frames.1</t>
  </si>
  <si>
    <r>
      <rPr>
        <sz val="10"/>
        <rFont val="Noto Sans CJK SC"/>
        <family val="2"/>
      </rPr>
      <t xml:space="preserve">그 출발점에는 그동안 지나온 </t>
    </r>
    <r>
      <rPr>
        <sz val="10"/>
        <rFont val="Malgun Gothic"/>
        <family val="0"/>
        <charset val="1"/>
      </rPr>
      <t xml:space="preserve">{now:</t>
    </r>
    <r>
      <rPr>
        <sz val="10"/>
        <rFont val="Noto Sans CJK SC"/>
        <family val="2"/>
      </rPr>
      <t xml:space="preserve">이</t>
    </r>
    <r>
      <rPr>
        <sz val="10"/>
        <rFont val="Malgun Gothic"/>
        <family val="0"/>
        <charset val="1"/>
      </rPr>
      <t xml:space="preserve">} </t>
    </r>
    <r>
      <rPr>
        <sz val="10"/>
        <rFont val="Noto Sans CJK SC"/>
        <family val="2"/>
      </rPr>
      <t xml:space="preserve">있다고</t>
    </r>
    <r>
      <rPr>
        <sz val="10"/>
        <rFont val="Malgun Gothic"/>
        <family val="0"/>
        <charset val="1"/>
      </rPr>
      <t xml:space="preserve">, {name}</t>
    </r>
    <r>
      <rPr>
        <sz val="10"/>
        <rFont val="Noto Sans CJK SC"/>
        <family val="2"/>
      </rPr>
      <t xml:space="preserve">님의 세 장은 말해요</t>
    </r>
    <r>
      <rPr>
        <sz val="10"/>
        <rFont val="Malgun Gothic"/>
        <family val="0"/>
        <charset val="1"/>
      </rPr>
      <t xml:space="preserve">.</t>
    </r>
  </si>
  <si>
    <t xml:space="preserve">copy.top.lead_frames.2</t>
  </si>
  <si>
    <t xml:space="preserve">lead_frames.2</t>
  </si>
  <si>
    <r>
      <rPr>
        <sz val="10"/>
        <rFont val="Noto Sans CJK SC"/>
        <family val="2"/>
      </rPr>
      <t xml:space="preserve">그 바탕에는 그동안 지나온 </t>
    </r>
    <r>
      <rPr>
        <sz val="10"/>
        <rFont val="Malgun Gothic"/>
        <family val="0"/>
        <charset val="1"/>
      </rPr>
      <t xml:space="preserve">{now:</t>
    </r>
    <r>
      <rPr>
        <sz val="10"/>
        <rFont val="Noto Sans CJK SC"/>
        <family val="2"/>
      </rPr>
      <t xml:space="preserve">이</t>
    </r>
    <r>
      <rPr>
        <sz val="10"/>
        <rFont val="Malgun Gothic"/>
        <family val="0"/>
        <charset val="1"/>
      </rPr>
      <t xml:space="preserve">} </t>
    </r>
    <r>
      <rPr>
        <sz val="10"/>
        <rFont val="Noto Sans CJK SC"/>
        <family val="2"/>
      </rPr>
      <t xml:space="preserve">있다고</t>
    </r>
    <r>
      <rPr>
        <sz val="10"/>
        <rFont val="Malgun Gothic"/>
        <family val="0"/>
        <charset val="1"/>
      </rPr>
      <t xml:space="preserve">, {name}</t>
    </r>
    <r>
      <rPr>
        <sz val="10"/>
        <rFont val="Noto Sans CJK SC"/>
        <family val="2"/>
      </rPr>
      <t xml:space="preserve">님의 첫 번째 카드는 말해요</t>
    </r>
    <r>
      <rPr>
        <sz val="10"/>
        <rFont val="Malgun Gothic"/>
        <family val="0"/>
        <charset val="1"/>
      </rPr>
      <t xml:space="preserve">.</t>
    </r>
  </si>
  <si>
    <t xml:space="preserve">copy.result_cards.hint</t>
  </si>
  <si>
    <t xml:space="preserve">결과 맨 위 카드</t>
  </si>
  <si>
    <t xml:space="preserve">hint</t>
  </si>
  <si>
    <t xml:space="preserve">카드를 누르면 크게 볼 수 있어요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</si>
</sst>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%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12F53"/>
      <name val="Noto Sans CJK SC"/>
      <family val="2"/>
    </font>
    <font>
      <b val="true"/>
      <sz val="16"/>
      <color rgb="FF012F53"/>
      <name val="Malgun Gothic"/>
      <family val="0"/>
      <charset val="1"/>
    </font>
    <font>
      <sz val="10"/>
      <name val="Noto Sans CJK SC"/>
      <family val="2"/>
    </font>
    <font>
      <sz val="10"/>
      <name val="Malgun Gothic"/>
      <family val="0"/>
      <charset val="1"/>
    </font>
    <font>
      <b val="true"/>
      <sz val="12"/>
      <color rgb="FF012F53"/>
      <name val="Noto Sans CJK SC"/>
      <family val="2"/>
    </font>
    <font>
      <b val="true"/>
      <sz val="12"/>
      <color rgb="FF012F53"/>
      <name val="Malgun Gothic"/>
      <family val="0"/>
      <charset val="1"/>
    </font>
    <font>
      <b val="true"/>
      <sz val="10"/>
      <name val="Noto Sans CJK SC"/>
      <family val="2"/>
    </font>
    <font>
      <b val="true"/>
      <sz val="10"/>
      <color rgb="FFFFFFFF"/>
      <name val="Malgun Gothic"/>
      <family val="0"/>
      <charset val="1"/>
    </font>
    <font>
      <b val="true"/>
      <sz val="10"/>
      <color rgb="FFFFFFFF"/>
      <name val="Noto Sans CJK SC"/>
      <family val="2"/>
    </font>
    <font>
      <sz val="8"/>
      <color rgb="FF8A94A0"/>
      <name val="Malgun Gothic"/>
      <family val="0"/>
      <charset val="1"/>
    </font>
    <font>
      <u val="single"/>
      <sz val="10"/>
      <color rgb="FF1F4E8C"/>
      <name val="Noto Sans CJK SC"/>
      <family val="2"/>
    </font>
    <font>
      <b val="true"/>
      <sz val="10"/>
      <name val="Malgun Gothic"/>
      <family val="0"/>
      <charset val="1"/>
    </font>
    <font>
      <sz val="9"/>
      <color rgb="FF5A6470"/>
      <name val="Noto Sans CJK SC"/>
      <family val="2"/>
    </font>
    <font>
      <sz val="9"/>
      <color rgb="FF5A6470"/>
      <name val="Malgun Gothic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FF4B8"/>
        <bgColor rgb="FFFFFF99"/>
      </patternFill>
    </fill>
    <fill>
      <patternFill patternType="solid">
        <fgColor rgb="FFCFE8C9"/>
        <bgColor rgb="FFD6E4F2"/>
      </patternFill>
    </fill>
    <fill>
      <patternFill patternType="solid">
        <fgColor rgb="FFF8D2B0"/>
        <bgColor rgb="FFD9D2C3"/>
      </patternFill>
    </fill>
    <fill>
      <patternFill patternType="solid">
        <fgColor rgb="FFD6E4F2"/>
        <bgColor rgb="FFCFE8C9"/>
      </patternFill>
    </fill>
    <fill>
      <patternFill patternType="solid">
        <fgColor rgb="FFD0D0D0"/>
        <bgColor rgb="FFD9D2C3"/>
      </patternFill>
    </fill>
    <fill>
      <patternFill patternType="solid">
        <fgColor rgb="FF012F53"/>
        <bgColor rgb="FF00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2C3"/>
      </left>
      <right style="thin">
        <color rgb="FFD9D2C3"/>
      </right>
      <top style="thin">
        <color rgb="FFD9D2C3"/>
      </top>
      <bottom style="thin">
        <color rgb="FFD9D2C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012F5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8A94A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4B8"/>
          <bgColor rgb="FF000000"/>
        </patternFill>
      </fill>
    </dxf>
    <dxf>
      <fill>
        <patternFill>
          <bgColor rgb="FFCFE8C9"/>
        </patternFill>
      </fill>
    </dxf>
    <dxf>
      <fill>
        <patternFill>
          <bgColor rgb="FFF8D2B0"/>
        </patternFill>
      </fill>
    </dxf>
    <dxf>
      <fill>
        <patternFill>
          <bgColor rgb="FFD6E4F2"/>
        </patternFill>
      </fill>
    </dxf>
    <dxf>
      <fill>
        <patternFill>
          <bgColor rgb="FFD0D0D0"/>
        </patternFill>
      </fill>
    </dxf>
    <dxf>
      <font>
        <name val="Malgun Gothic"/>
        <charset val="1"/>
        <family val="0"/>
        <b val="1"/>
        <color rgb="FFB4441C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2C3"/>
      <rgbColor rgb="FF808080"/>
      <rgbColor rgb="FF9999FF"/>
      <rgbColor rgb="FF993366"/>
      <rgbColor rgb="FFFFF4B8"/>
      <rgbColor rgb="FFD6E4F2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FE8C9"/>
      <rgbColor rgb="FFFFFF99"/>
      <rgbColor rgb="FF99CCFF"/>
      <rgbColor rgb="FFE3C68E"/>
      <rgbColor rgb="FFCC99FF"/>
      <rgbColor rgb="FFF8D2B0"/>
      <rgbColor rgb="FF3366FF"/>
      <rgbColor rgb="FF33CCCC"/>
      <rgbColor rgb="FF99CC00"/>
      <rgbColor rgb="FFFFCC00"/>
      <rgbColor rgb="FFFF9900"/>
      <rgbColor rgb="FFFF6600"/>
      <rgbColor rgb="FF5A6470"/>
      <rgbColor rgb="FF8A94A0"/>
      <rgbColor rgb="FF012F53"/>
      <rgbColor rgb="FF339966"/>
      <rgbColor rgb="FF003300"/>
      <rgbColor rgb="FF333300"/>
      <rgbColor rgb="FFB4441C"/>
      <rgbColor rgb="FF993366"/>
      <rgbColor rgb="FF1F4E8C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db.xlsx" TargetMode="External"/><Relationship Id="rId2" Type="http://schemas.openxmlformats.org/officeDocument/2006/relationships/hyperlink" Target="db.xlsx" TargetMode="External"/><Relationship Id="rId3" Type="http://schemas.openxmlformats.org/officeDocument/2006/relationships/hyperlink" Target="db.xlsx" TargetMode="External"/><Relationship Id="rId4" Type="http://schemas.openxmlformats.org/officeDocument/2006/relationships/hyperlink" Target="db.xlsx" TargetMode="External"/><Relationship Id="rId5" Type="http://schemas.openxmlformats.org/officeDocument/2006/relationships/hyperlink" Target="db.xlsx" TargetMode="External"/><Relationship Id="rId6" Type="http://schemas.openxmlformats.org/officeDocument/2006/relationships/hyperlink" Target="db.xlsx" TargetMode="External"/><Relationship Id="rId7" Type="http://schemas.openxmlformats.org/officeDocument/2006/relationships/hyperlink" Target="db.xlsx" TargetMode="External"/><Relationship Id="rId8" Type="http://schemas.openxmlformats.org/officeDocument/2006/relationships/hyperlink" Target="db.xlsx" TargetMode="External"/><Relationship Id="rId9" Type="http://schemas.openxmlformats.org/officeDocument/2006/relationships/hyperlink" Target="db.xlsx" TargetMode="External"/><Relationship Id="rId10" Type="http://schemas.openxmlformats.org/officeDocument/2006/relationships/hyperlink" Target="db.xlsx" TargetMode="External"/><Relationship Id="rId11" Type="http://schemas.openxmlformats.org/officeDocument/2006/relationships/hyperlink" Target="db.xlsx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3C68E"/>
    <pageSetUpPr fitToPage="false"/>
  </sheetPr>
  <dimension ref="A1:J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0"/>
    <col collapsed="false" customWidth="true" hidden="false" outlineLevel="0" max="3" min="3" style="0" width="34"/>
    <col collapsed="false" customWidth="true" hidden="false" outlineLevel="0" max="4" min="4" style="0" width="18"/>
    <col collapsed="false" customWidth="true" hidden="false" outlineLevel="0" max="8" min="5" style="0" width="10"/>
    <col collapsed="false" customWidth="true" hidden="false" outlineLevel="0" max="10" min="9" style="0" width="11"/>
  </cols>
  <sheetData>
    <row r="1" customFormat="false" ht="30" hidden="false" customHeight="true" outlineLevel="0" collapsed="false">
      <c r="A1" s="1" t="s">
        <v>0</v>
      </c>
    </row>
    <row r="2" customFormat="false" ht="31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3" t="s">
        <v>2</v>
      </c>
    </row>
    <row r="5" customFormat="false" ht="30" hidden="false" customHeight="true" outlineLevel="0" collapsed="false">
      <c r="A5" s="4" t="s">
        <v>3</v>
      </c>
      <c r="B5" s="4"/>
      <c r="C5" s="4"/>
      <c r="D5" s="4"/>
      <c r="E5" s="4"/>
      <c r="F5" s="4"/>
      <c r="G5" s="4"/>
      <c r="H5" s="4"/>
      <c r="I5" s="4"/>
      <c r="J5" s="4"/>
    </row>
    <row r="6" customFormat="false" ht="30" hidden="false" customHeight="true" outlineLevel="0" collapsed="false">
      <c r="A6" s="4" t="s">
        <v>4</v>
      </c>
      <c r="B6" s="4"/>
      <c r="C6" s="4"/>
      <c r="D6" s="4"/>
      <c r="E6" s="4"/>
      <c r="F6" s="4"/>
      <c r="G6" s="4"/>
      <c r="H6" s="4"/>
      <c r="I6" s="4"/>
      <c r="J6" s="4"/>
    </row>
    <row r="7" customFormat="false" ht="30" hidden="false" customHeight="true" outlineLevel="0" collapsed="false">
      <c r="A7" s="4" t="s">
        <v>5</v>
      </c>
      <c r="B7" s="4"/>
      <c r="C7" s="4"/>
      <c r="D7" s="4"/>
      <c r="E7" s="4"/>
      <c r="F7" s="4"/>
      <c r="G7" s="4"/>
      <c r="H7" s="4"/>
      <c r="I7" s="4"/>
      <c r="J7" s="4"/>
    </row>
    <row r="8" customFormat="false" ht="30" hidden="false" customHeight="true" outlineLevel="0" collapsed="false">
      <c r="A8" s="4" t="s">
        <v>6</v>
      </c>
      <c r="B8" s="4"/>
      <c r="C8" s="4"/>
      <c r="D8" s="4"/>
      <c r="E8" s="4"/>
      <c r="F8" s="4"/>
      <c r="G8" s="4"/>
      <c r="H8" s="4"/>
      <c r="I8" s="4"/>
      <c r="J8" s="4"/>
    </row>
    <row r="9" customFormat="false" ht="30" hidden="false" customHeight="true" outlineLevel="0" collapsed="false">
      <c r="A9" s="4" t="s">
        <v>7</v>
      </c>
      <c r="B9" s="4"/>
      <c r="C9" s="4"/>
      <c r="D9" s="4"/>
      <c r="E9" s="4"/>
      <c r="F9" s="4"/>
      <c r="G9" s="4"/>
      <c r="H9" s="4"/>
      <c r="I9" s="4"/>
      <c r="J9" s="4"/>
    </row>
    <row r="10" customFormat="false" ht="30" hidden="false" customHeight="true" outlineLevel="0" collapsed="false">
      <c r="A10" s="4" t="s">
        <v>8</v>
      </c>
      <c r="B10" s="4"/>
      <c r="C10" s="4"/>
      <c r="D10" s="4"/>
      <c r="E10" s="4"/>
      <c r="F10" s="4"/>
      <c r="G10" s="4"/>
      <c r="H10" s="4"/>
      <c r="I10" s="4"/>
      <c r="J10" s="4"/>
    </row>
    <row r="11" customFormat="false" ht="30" hidden="false" customHeight="true" outlineLevel="0" collapsed="false">
      <c r="A11" s="4" t="s">
        <v>9</v>
      </c>
      <c r="B11" s="4"/>
      <c r="C11" s="4"/>
      <c r="D11" s="4"/>
      <c r="E11" s="4"/>
      <c r="F11" s="4"/>
      <c r="G11" s="4"/>
      <c r="H11" s="4"/>
      <c r="I11" s="4"/>
      <c r="J11" s="4"/>
    </row>
    <row r="13" customFormat="false" ht="19.4" hidden="false" customHeight="false" outlineLevel="0" collapsed="false">
      <c r="A13" s="3" t="s">
        <v>10</v>
      </c>
    </row>
    <row r="14" customFormat="false" ht="15" hidden="false" customHeight="true" outlineLevel="0" collapsed="false">
      <c r="A14" s="5" t="s">
        <v>11</v>
      </c>
      <c r="B14" s="2" t="s">
        <v>12</v>
      </c>
      <c r="C14" s="2"/>
      <c r="D14" s="2"/>
      <c r="E14" s="2"/>
      <c r="F14" s="2"/>
      <c r="G14" s="2"/>
      <c r="H14" s="2"/>
      <c r="I14" s="2"/>
      <c r="J14" s="2"/>
    </row>
    <row r="15" customFormat="false" ht="15" hidden="false" customHeight="true" outlineLevel="0" collapsed="false">
      <c r="A15" s="6" t="s">
        <v>13</v>
      </c>
      <c r="B15" s="2" t="s">
        <v>14</v>
      </c>
      <c r="C15" s="2"/>
      <c r="D15" s="2"/>
      <c r="E15" s="2"/>
      <c r="F15" s="2"/>
      <c r="G15" s="2"/>
      <c r="H15" s="2"/>
      <c r="I15" s="2"/>
      <c r="J15" s="2"/>
    </row>
    <row r="16" customFormat="false" ht="15" hidden="false" customHeight="true" outlineLevel="0" collapsed="false">
      <c r="A16" s="7" t="s">
        <v>15</v>
      </c>
      <c r="B16" s="2" t="s">
        <v>16</v>
      </c>
      <c r="C16" s="2"/>
      <c r="D16" s="2"/>
      <c r="E16" s="2"/>
      <c r="F16" s="2"/>
      <c r="G16" s="2"/>
      <c r="H16" s="2"/>
      <c r="I16" s="2"/>
      <c r="J16" s="2"/>
    </row>
    <row r="17" customFormat="false" ht="15" hidden="false" customHeight="true" outlineLevel="0" collapsed="false">
      <c r="A17" s="8" t="s">
        <v>17</v>
      </c>
      <c r="B17" s="2" t="s">
        <v>18</v>
      </c>
      <c r="C17" s="2"/>
      <c r="D17" s="2"/>
      <c r="E17" s="2"/>
      <c r="F17" s="2"/>
      <c r="G17" s="2"/>
      <c r="H17" s="2"/>
      <c r="I17" s="2"/>
      <c r="J17" s="2"/>
    </row>
    <row r="18" customFormat="false" ht="15" hidden="false" customHeight="true" outlineLevel="0" collapsed="false">
      <c r="A18" s="9" t="s">
        <v>19</v>
      </c>
      <c r="B18" s="2" t="s">
        <v>20</v>
      </c>
      <c r="C18" s="2"/>
      <c r="D18" s="2"/>
      <c r="E18" s="2"/>
      <c r="F18" s="2"/>
      <c r="G18" s="2"/>
      <c r="H18" s="2"/>
      <c r="I18" s="2"/>
      <c r="J18" s="2"/>
    </row>
    <row r="19" customFormat="false" ht="15" hidden="false" customHeight="true" outlineLevel="0" collapsed="false">
      <c r="A19" s="10" t="s">
        <v>21</v>
      </c>
      <c r="B19" s="2" t="s">
        <v>22</v>
      </c>
      <c r="C19" s="2"/>
      <c r="D19" s="2"/>
      <c r="E19" s="2"/>
      <c r="F19" s="2"/>
      <c r="G19" s="2"/>
      <c r="H19" s="2"/>
      <c r="I19" s="2"/>
      <c r="J19" s="2"/>
    </row>
    <row r="21" customFormat="false" ht="19.4" hidden="false" customHeight="false" outlineLevel="0" collapsed="false">
      <c r="A21" s="3" t="s">
        <v>23</v>
      </c>
    </row>
    <row r="22" customFormat="false" ht="15" hidden="false" customHeight="true" outlineLevel="0" collapsed="false">
      <c r="A22" s="11" t="s">
        <v>24</v>
      </c>
      <c r="B22" s="12" t="s">
        <v>25</v>
      </c>
      <c r="C22" s="12" t="s">
        <v>26</v>
      </c>
      <c r="D22" s="12" t="s">
        <v>27</v>
      </c>
      <c r="E22" s="12"/>
      <c r="F22" s="12" t="s">
        <v>28</v>
      </c>
      <c r="G22" s="12" t="s">
        <v>29</v>
      </c>
      <c r="H22" s="12"/>
      <c r="I22" s="12" t="s">
        <v>30</v>
      </c>
      <c r="J22" s="12"/>
    </row>
    <row r="23" customFormat="false" ht="96" hidden="false" customHeight="true" outlineLevel="0" collapsed="false">
      <c r="A23" s="13" t="s">
        <v>31</v>
      </c>
      <c r="B23" s="14" t="s">
        <v>32</v>
      </c>
      <c r="C23" s="15" t="s">
        <v>33</v>
      </c>
      <c r="D23" s="15" t="s">
        <v>34</v>
      </c>
      <c r="E23" s="15"/>
      <c r="F23" s="16" t="s">
        <v>13</v>
      </c>
      <c r="G23" s="16" t="s">
        <v>35</v>
      </c>
      <c r="H23" s="16"/>
      <c r="I23" s="17" t="s">
        <v>36</v>
      </c>
      <c r="J23" s="17"/>
    </row>
    <row r="25" customFormat="false" ht="19.4" hidden="false" customHeight="false" outlineLevel="0" collapsed="false">
      <c r="A25" s="3" t="s">
        <v>37</v>
      </c>
    </row>
    <row r="26" customFormat="false" ht="15" hidden="false" customHeight="false" outlineLevel="0" collapsed="false">
      <c r="A26" s="12" t="s">
        <v>38</v>
      </c>
      <c r="B26" s="12" t="s">
        <v>39</v>
      </c>
      <c r="C26" s="12" t="s">
        <v>40</v>
      </c>
      <c r="D26" s="12" t="s">
        <v>41</v>
      </c>
      <c r="E26" s="12" t="s">
        <v>42</v>
      </c>
      <c r="F26" s="12" t="s">
        <v>13</v>
      </c>
      <c r="G26" s="12" t="s">
        <v>15</v>
      </c>
      <c r="H26" s="12" t="s">
        <v>19</v>
      </c>
      <c r="I26" s="12" t="s">
        <v>43</v>
      </c>
      <c r="J26" s="12" t="s">
        <v>44</v>
      </c>
    </row>
    <row r="27" customFormat="false" ht="44" hidden="false" customHeight="false" outlineLevel="0" collapsed="false">
      <c r="A27" s="18" t="s">
        <v>45</v>
      </c>
      <c r="B27" s="15" t="s">
        <v>46</v>
      </c>
      <c r="C27" s="15" t="s">
        <v>47</v>
      </c>
      <c r="D27" s="14" t="s">
        <v>48</v>
      </c>
      <c r="E27" s="19" t="n">
        <f aca="false">COUNTA(카드기본설명!A:A)-1</f>
        <v>132</v>
      </c>
      <c r="F27" s="19" t="n">
        <f aca="false">COUNTIF(카드기본설명!E:E,"확정")</f>
        <v>0</v>
      </c>
      <c r="G27" s="19" t="n">
        <f aca="false">COUNTIF(카드기본설명!E:E,"수정요청")</f>
        <v>0</v>
      </c>
      <c r="H27" s="19" t="n">
        <f aca="false">COUNTIF(카드기본설명!E:E,"초안")</f>
        <v>132</v>
      </c>
      <c r="I27" s="20" t="n">
        <f aca="false">IF(E27=0,0,F27/E27)</f>
        <v>0</v>
      </c>
      <c r="J27" s="19" t="n">
        <f aca="false">COUNTIF(카드기본설명!I:I,"분량 확인")</f>
        <v>0</v>
      </c>
    </row>
    <row r="28" customFormat="false" ht="44" hidden="false" customHeight="false" outlineLevel="0" collapsed="false">
      <c r="A28" s="18" t="s">
        <v>49</v>
      </c>
      <c r="B28" s="15" t="s">
        <v>50</v>
      </c>
      <c r="C28" s="15" t="s">
        <v>51</v>
      </c>
      <c r="D28" s="14" t="s">
        <v>52</v>
      </c>
      <c r="E28" s="19" t="n">
        <f aca="false">COUNTA(메인문구조각!A:A)-1</f>
        <v>132</v>
      </c>
      <c r="F28" s="19" t="n">
        <f aca="false">COUNTIF(메인문구조각!E:E,"확정")</f>
        <v>0</v>
      </c>
      <c r="G28" s="19" t="n">
        <f aca="false">COUNTIF(메인문구조각!E:E,"수정요청")</f>
        <v>0</v>
      </c>
      <c r="H28" s="19" t="n">
        <f aca="false">COUNTIF(메인문구조각!E:E,"초안")</f>
        <v>132</v>
      </c>
      <c r="I28" s="20" t="n">
        <f aca="false">IF(E28=0,0,F28/E28)</f>
        <v>0</v>
      </c>
      <c r="J28" s="19" t="n">
        <f aca="false">COUNTIF(메인문구조각!I:I,"분량 확인")</f>
        <v>0</v>
      </c>
    </row>
    <row r="29" customFormat="false" ht="44" hidden="false" customHeight="false" outlineLevel="0" collapsed="false">
      <c r="A29" s="18" t="s">
        <v>53</v>
      </c>
      <c r="B29" s="15" t="s">
        <v>54</v>
      </c>
      <c r="C29" s="15" t="s">
        <v>55</v>
      </c>
      <c r="D29" s="14" t="s">
        <v>52</v>
      </c>
      <c r="E29" s="19" t="n">
        <f aca="false">COUNTA(위치해석!A:A)-1</f>
        <v>132</v>
      </c>
      <c r="F29" s="19" t="n">
        <f aca="false">COUNTIF(위치해석!E:E,"확정")</f>
        <v>0</v>
      </c>
      <c r="G29" s="19" t="n">
        <f aca="false">COUNTIF(위치해석!E:E,"수정요청")</f>
        <v>0</v>
      </c>
      <c r="H29" s="19" t="n">
        <f aca="false">COUNTIF(위치해석!E:E,"초안")</f>
        <v>132</v>
      </c>
      <c r="I29" s="20" t="n">
        <f aca="false">IF(E29=0,0,F29/E29)</f>
        <v>0</v>
      </c>
      <c r="J29" s="19" t="n">
        <f aca="false">COUNTIF(위치해석!I:I,"분량 확인")</f>
        <v>0</v>
      </c>
    </row>
    <row r="30" customFormat="false" ht="29.85" hidden="false" customHeight="false" outlineLevel="0" collapsed="false">
      <c r="A30" s="18" t="s">
        <v>56</v>
      </c>
      <c r="B30" s="15" t="s">
        <v>57</v>
      </c>
      <c r="C30" s="15" t="s">
        <v>58</v>
      </c>
      <c r="D30" s="14" t="s">
        <v>52</v>
      </c>
      <c r="E30" s="19" t="n">
        <f aca="false">COUNTA(상황질문!A:A)-1</f>
        <v>132</v>
      </c>
      <c r="F30" s="19" t="n">
        <f aca="false">COUNTIF(상황질문!E:E,"확정")</f>
        <v>0</v>
      </c>
      <c r="G30" s="19" t="n">
        <f aca="false">COUNTIF(상황질문!E:E,"수정요청")</f>
        <v>0</v>
      </c>
      <c r="H30" s="19" t="n">
        <f aca="false">COUNTIF(상황질문!E:E,"초안")</f>
        <v>132</v>
      </c>
      <c r="I30" s="20" t="n">
        <f aca="false">IF(E30=0,0,F30/E30)</f>
        <v>0</v>
      </c>
      <c r="J30" s="19" t="n">
        <f aca="false">COUNTIF(상황질문!I:I,"분량 확인")</f>
        <v>0</v>
      </c>
    </row>
    <row r="31" customFormat="false" ht="58.2" hidden="false" customHeight="false" outlineLevel="0" collapsed="false">
      <c r="A31" s="18" t="s">
        <v>59</v>
      </c>
      <c r="B31" s="15" t="s">
        <v>60</v>
      </c>
      <c r="C31" s="15" t="s">
        <v>61</v>
      </c>
      <c r="D31" s="14" t="s">
        <v>52</v>
      </c>
      <c r="E31" s="19" t="n">
        <f aca="false">COUNTA(처방실천!A:A)-1</f>
        <v>836</v>
      </c>
      <c r="F31" s="19" t="n">
        <f aca="false">COUNTIF(처방실천!E:E,"확정")</f>
        <v>0</v>
      </c>
      <c r="G31" s="19" t="n">
        <f aca="false">COUNTIF(처방실천!E:E,"수정요청")</f>
        <v>0</v>
      </c>
      <c r="H31" s="19" t="n">
        <f aca="false">COUNTIF(처방실천!E:E,"초안")</f>
        <v>836</v>
      </c>
      <c r="I31" s="20" t="n">
        <f aca="false">IF(E31=0,0,F31/E31)</f>
        <v>0</v>
      </c>
      <c r="J31" s="19" t="n">
        <f aca="false">COUNTIF(처방실천!I:I,"분량 확인")</f>
        <v>0</v>
      </c>
    </row>
    <row r="32" customFormat="false" ht="44" hidden="false" customHeight="false" outlineLevel="0" collapsed="false">
      <c r="A32" s="18" t="s">
        <v>62</v>
      </c>
      <c r="B32" s="15" t="s">
        <v>63</v>
      </c>
      <c r="C32" s="15" t="s">
        <v>64</v>
      </c>
      <c r="D32" s="14" t="s">
        <v>65</v>
      </c>
      <c r="E32" s="19" t="n">
        <f aca="false">COUNTA(성향!A:A)-1</f>
        <v>44</v>
      </c>
      <c r="F32" s="19" t="n">
        <f aca="false">COUNTIF(성향!E:E,"확정")</f>
        <v>0</v>
      </c>
      <c r="G32" s="19" t="n">
        <f aca="false">COUNTIF(성향!E:E,"수정요청")</f>
        <v>0</v>
      </c>
      <c r="H32" s="19" t="n">
        <f aca="false">COUNTIF(성향!E:E,"초안")</f>
        <v>44</v>
      </c>
      <c r="I32" s="20" t="n">
        <f aca="false">IF(E32=0,0,F32/E32)</f>
        <v>0</v>
      </c>
      <c r="J32" s="19" t="n">
        <f aca="false">COUNTIF(성향!I:I,"분량 확인")</f>
        <v>0</v>
      </c>
    </row>
    <row r="33" customFormat="false" ht="44" hidden="false" customHeight="false" outlineLevel="0" collapsed="false">
      <c r="A33" s="18" t="s">
        <v>66</v>
      </c>
      <c r="B33" s="15" t="s">
        <v>67</v>
      </c>
      <c r="C33" s="15" t="s">
        <v>68</v>
      </c>
      <c r="D33" s="14" t="s">
        <v>69</v>
      </c>
      <c r="E33" s="19" t="n">
        <f aca="false">COUNTA(변화신호!A:A)-1</f>
        <v>132</v>
      </c>
      <c r="F33" s="19" t="n">
        <f aca="false">COUNTIF(변화신호!E:E,"확정")</f>
        <v>0</v>
      </c>
      <c r="G33" s="19" t="n">
        <f aca="false">COUNTIF(변화신호!E:E,"수정요청")</f>
        <v>0</v>
      </c>
      <c r="H33" s="19" t="n">
        <f aca="false">COUNTIF(변화신호!E:E,"초안")</f>
        <v>132</v>
      </c>
      <c r="I33" s="20" t="n">
        <f aca="false">IF(E33=0,0,F33/E33)</f>
        <v>0</v>
      </c>
      <c r="J33" s="19" t="n">
        <f aca="false">COUNTIF(변화신호!I:I,"분량 확인")</f>
        <v>0</v>
      </c>
    </row>
    <row r="34" customFormat="false" ht="29.85" hidden="false" customHeight="false" outlineLevel="0" collapsed="false">
      <c r="A34" s="18" t="s">
        <v>70</v>
      </c>
      <c r="B34" s="15" t="s">
        <v>71</v>
      </c>
      <c r="C34" s="15" t="s">
        <v>72</v>
      </c>
      <c r="D34" s="14" t="s">
        <v>73</v>
      </c>
      <c r="E34" s="19" t="n">
        <f aca="false">COUNTA(안전키워드!A:A)-1</f>
        <v>5</v>
      </c>
      <c r="F34" s="19" t="n">
        <f aca="false">COUNTIF(안전키워드!E:E,"확정")</f>
        <v>0</v>
      </c>
      <c r="G34" s="19" t="n">
        <f aca="false">COUNTIF(안전키워드!E:E,"수정요청")</f>
        <v>0</v>
      </c>
      <c r="H34" s="19" t="n">
        <f aca="false">COUNTIF(안전키워드!E:E,"초안")</f>
        <v>5</v>
      </c>
      <c r="I34" s="20" t="n">
        <f aca="false">IF(E34=0,0,F34/E34)</f>
        <v>0</v>
      </c>
      <c r="J34" s="19" t="n">
        <f aca="false">COUNTIF(안전키워드!I:I,"분량 확인")</f>
        <v>0</v>
      </c>
    </row>
    <row r="35" customFormat="false" ht="72.35" hidden="false" customHeight="false" outlineLevel="0" collapsed="false">
      <c r="A35" s="18" t="s">
        <v>74</v>
      </c>
      <c r="B35" s="15" t="s">
        <v>75</v>
      </c>
      <c r="C35" s="15" t="s">
        <v>76</v>
      </c>
      <c r="D35" s="14" t="s">
        <v>69</v>
      </c>
      <c r="E35" s="19" t="n">
        <f aca="false">COUNTA(조합문장!A:A)-1</f>
        <v>187</v>
      </c>
      <c r="F35" s="19" t="n">
        <f aca="false">COUNTIF(조합문장!E:E,"확정")</f>
        <v>0</v>
      </c>
      <c r="G35" s="19" t="n">
        <f aca="false">COUNTIF(조합문장!E:E,"수정요청")</f>
        <v>0</v>
      </c>
      <c r="H35" s="19" t="n">
        <f aca="false">COUNTIF(조합문장!E:E,"초안")</f>
        <v>187</v>
      </c>
      <c r="I35" s="20" t="n">
        <f aca="false">IF(E35=0,0,F35/E35)</f>
        <v>0</v>
      </c>
      <c r="J35" s="19" t="n">
        <f aca="false">COUNTIF(조합문장!I:I,"분량 확인")</f>
        <v>0</v>
      </c>
    </row>
    <row r="36" customFormat="false" ht="29.85" hidden="false" customHeight="false" outlineLevel="0" collapsed="false">
      <c r="A36" s="18" t="s">
        <v>77</v>
      </c>
      <c r="B36" s="15" t="s">
        <v>78</v>
      </c>
      <c r="C36" s="15" t="s">
        <v>79</v>
      </c>
      <c r="D36" s="14" t="s">
        <v>80</v>
      </c>
      <c r="E36" s="19" t="n">
        <f aca="false">COUNTA(해결기운!A:A)-1</f>
        <v>22</v>
      </c>
      <c r="F36" s="19" t="n">
        <f aca="false">COUNTIF(해결기운!E:E,"확정")</f>
        <v>0</v>
      </c>
      <c r="G36" s="19" t="n">
        <f aca="false">COUNTIF(해결기운!E:E,"수정요청")</f>
        <v>0</v>
      </c>
      <c r="H36" s="19" t="n">
        <f aca="false">COUNTIF(해결기운!E:E,"초안")</f>
        <v>22</v>
      </c>
      <c r="I36" s="20" t="n">
        <f aca="false">IF(E36=0,0,F36/E36)</f>
        <v>0</v>
      </c>
      <c r="J36" s="19" t="n">
        <f aca="false">COUNTIF(해결기운!I:I,"분량 확인")</f>
        <v>0</v>
      </c>
    </row>
    <row r="37" customFormat="false" ht="29.85" hidden="false" customHeight="false" outlineLevel="0" collapsed="false">
      <c r="A37" s="18" t="s">
        <v>81</v>
      </c>
      <c r="B37" s="15" t="s">
        <v>82</v>
      </c>
      <c r="C37" s="15" t="s">
        <v>83</v>
      </c>
      <c r="D37" s="15" t="s">
        <v>84</v>
      </c>
      <c r="E37" s="19" t="n">
        <f aca="false">COUNTA(화면문구!A:A)-1</f>
        <v>140</v>
      </c>
      <c r="F37" s="19" t="n">
        <f aca="false">COUNTIF(화면문구!E:E,"확정")</f>
        <v>0</v>
      </c>
      <c r="G37" s="19" t="n">
        <f aca="false">COUNTIF(화면문구!E:E,"수정요청")</f>
        <v>0</v>
      </c>
      <c r="H37" s="19" t="n">
        <f aca="false">COUNTIF(화면문구!E:E,"초안")</f>
        <v>140</v>
      </c>
      <c r="I37" s="20" t="n">
        <f aca="false">IF(E37=0,0,F37/E37)</f>
        <v>0</v>
      </c>
      <c r="J37" s="19" t="n">
        <f aca="false">COUNTIF(화면문구!I:I,"분량 확인")</f>
        <v>0</v>
      </c>
    </row>
    <row r="38" customFormat="false" ht="15" hidden="false" customHeight="false" outlineLevel="0" collapsed="false">
      <c r="A38" s="9" t="s">
        <v>85</v>
      </c>
      <c r="B38" s="15"/>
      <c r="C38" s="15"/>
      <c r="D38" s="15"/>
      <c r="E38" s="9" t="n">
        <f aca="false">SUM(E27:E37)</f>
        <v>1894</v>
      </c>
      <c r="F38" s="9" t="n">
        <f aca="false">SUM(F27:F37)</f>
        <v>0</v>
      </c>
      <c r="G38" s="9" t="n">
        <f aca="false">SUM(G27:G37)</f>
        <v>0</v>
      </c>
      <c r="H38" s="9" t="n">
        <f aca="false">SUM(H27:H37)</f>
        <v>1894</v>
      </c>
      <c r="I38" s="21" t="n">
        <f aca="false">IF(E38=0,0,F38/E38)</f>
        <v>0</v>
      </c>
      <c r="J38" s="9" t="n">
        <f aca="false">SUM(J27:J37)</f>
        <v>0</v>
      </c>
    </row>
    <row r="39" customFormat="false" ht="15" hidden="false" customHeight="true" outlineLevel="0" collapsed="false">
      <c r="A39" s="22" t="s">
        <v>86</v>
      </c>
      <c r="B39" s="22"/>
      <c r="C39" s="22"/>
      <c r="D39" s="22"/>
      <c r="E39" s="22"/>
      <c r="F39" s="22"/>
      <c r="G39" s="22"/>
      <c r="H39" s="22"/>
      <c r="I39" s="22"/>
      <c r="J39" s="22"/>
    </row>
  </sheetData>
  <mergeCells count="21">
    <mergeCell ref="A2:J2"/>
    <mergeCell ref="A5:J5"/>
    <mergeCell ref="A6:J6"/>
    <mergeCell ref="A7:J7"/>
    <mergeCell ref="A8:J8"/>
    <mergeCell ref="A9:J9"/>
    <mergeCell ref="A10:J10"/>
    <mergeCell ref="A11:J11"/>
    <mergeCell ref="B14:J14"/>
    <mergeCell ref="B15:J15"/>
    <mergeCell ref="B16:J16"/>
    <mergeCell ref="B17:J17"/>
    <mergeCell ref="B18:J18"/>
    <mergeCell ref="B19:J19"/>
    <mergeCell ref="D22:E22"/>
    <mergeCell ref="G22:H22"/>
    <mergeCell ref="I22:J22"/>
    <mergeCell ref="D23:E23"/>
    <mergeCell ref="G23:H23"/>
    <mergeCell ref="I23:J23"/>
    <mergeCell ref="A39:J39"/>
  </mergeCells>
  <hyperlinks>
    <hyperlink ref="A27" r:id="rId1" location="'카드기본설명'!A1" display="카드기본설명"/>
    <hyperlink ref="A28" r:id="rId2" location="'메인문구조각'!A1" display="메인문구조각"/>
    <hyperlink ref="A29" r:id="rId3" location="'위치해석'!A1" display="위치해석"/>
    <hyperlink ref="A30" r:id="rId4" location="'상황질문'!A1" display="상황질문"/>
    <hyperlink ref="A31" r:id="rId5" location="'처방실천'!A1" display="처방실천"/>
    <hyperlink ref="A32" r:id="rId6" location="'성향'!A1" display="성향"/>
    <hyperlink ref="A33" r:id="rId7" location="'변화신호'!A1" display="변화신호"/>
    <hyperlink ref="A34" r:id="rId8" location="'안전키워드'!A1" display="안전키워드"/>
    <hyperlink ref="A35" r:id="rId9" location="'조합문장'!A1" display="조합문장"/>
    <hyperlink ref="A36" r:id="rId10" location="'해결기운'!A1" display="해결기운"/>
    <hyperlink ref="A37" r:id="rId11" location="'화면문구'!A1" display="화면문구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441C"/>
    <pageSetUpPr fitToPage="false"/>
  </sheetPr>
  <dimension ref="A1:F1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40"/>
    <col collapsed="false" customWidth="true" hidden="false" outlineLevel="0" max="6" min="5" style="0" width="52"/>
  </cols>
  <sheetData>
    <row r="1" customFormat="false" ht="15" hidden="false" customHeight="false" outlineLevel="0" collapsed="false">
      <c r="A1" s="11" t="s">
        <v>24</v>
      </c>
      <c r="B1" s="12" t="s">
        <v>87</v>
      </c>
      <c r="C1" s="12" t="s">
        <v>88</v>
      </c>
      <c r="D1" s="12" t="s">
        <v>89</v>
      </c>
      <c r="E1" s="12" t="s">
        <v>90</v>
      </c>
      <c r="F1" s="12" t="s">
        <v>91</v>
      </c>
    </row>
    <row r="2" customFormat="false" ht="75.75" hidden="false" customHeight="true" outlineLevel="0" collapsed="false">
      <c r="A2" s="13" t="s">
        <v>92</v>
      </c>
      <c r="B2" s="15" t="s">
        <v>93</v>
      </c>
      <c r="C2" s="15" t="s">
        <v>94</v>
      </c>
      <c r="D2" s="14" t="s">
        <v>95</v>
      </c>
      <c r="E2" s="15" t="s">
        <v>96</v>
      </c>
      <c r="F2" s="15" t="s">
        <v>97</v>
      </c>
    </row>
    <row r="3" customFormat="false" ht="61.5" hidden="false" customHeight="true" outlineLevel="0" collapsed="false">
      <c r="A3" s="13" t="s">
        <v>98</v>
      </c>
      <c r="B3" s="15" t="s">
        <v>93</v>
      </c>
      <c r="C3" s="15" t="s">
        <v>94</v>
      </c>
      <c r="D3" s="15" t="s">
        <v>99</v>
      </c>
      <c r="E3" s="15" t="s">
        <v>100</v>
      </c>
      <c r="F3" s="15" t="s">
        <v>101</v>
      </c>
    </row>
    <row r="4" customFormat="false" ht="33.75" hidden="false" customHeight="true" outlineLevel="0" collapsed="false">
      <c r="A4" s="13" t="s">
        <v>102</v>
      </c>
      <c r="B4" s="15" t="s">
        <v>93</v>
      </c>
      <c r="C4" s="15" t="s">
        <v>94</v>
      </c>
      <c r="D4" s="14" t="s">
        <v>103</v>
      </c>
      <c r="E4" s="15" t="s">
        <v>104</v>
      </c>
      <c r="F4" s="15" t="s">
        <v>105</v>
      </c>
    </row>
    <row r="5" customFormat="false" ht="33.75" hidden="false" customHeight="true" outlineLevel="0" collapsed="false">
      <c r="A5" s="13" t="s">
        <v>106</v>
      </c>
      <c r="B5" s="15" t="s">
        <v>93</v>
      </c>
      <c r="C5" s="15" t="s">
        <v>94</v>
      </c>
      <c r="D5" s="14" t="s">
        <v>107</v>
      </c>
      <c r="E5" s="15" t="s">
        <v>108</v>
      </c>
      <c r="F5" s="15" t="s">
        <v>109</v>
      </c>
    </row>
    <row r="6" customFormat="false" ht="75.75" hidden="false" customHeight="true" outlineLevel="0" collapsed="false">
      <c r="A6" s="13" t="s">
        <v>110</v>
      </c>
      <c r="B6" s="15" t="s">
        <v>93</v>
      </c>
      <c r="C6" s="15" t="s">
        <v>94</v>
      </c>
      <c r="D6" s="14" t="s">
        <v>111</v>
      </c>
      <c r="E6" s="15" t="s">
        <v>112</v>
      </c>
      <c r="F6" s="15" t="s">
        <v>113</v>
      </c>
    </row>
    <row r="7" customFormat="false" ht="75.75" hidden="false" customHeight="true" outlineLevel="0" collapsed="false">
      <c r="A7" s="13" t="s">
        <v>114</v>
      </c>
      <c r="B7" s="15" t="s">
        <v>93</v>
      </c>
      <c r="C7" s="15" t="s">
        <v>94</v>
      </c>
      <c r="D7" s="14" t="s">
        <v>115</v>
      </c>
      <c r="E7" s="15" t="s">
        <v>116</v>
      </c>
      <c r="F7" s="15" t="s">
        <v>117</v>
      </c>
    </row>
    <row r="8" customFormat="false" ht="33.75" hidden="false" customHeight="true" outlineLevel="0" collapsed="false">
      <c r="A8" s="13" t="s">
        <v>118</v>
      </c>
      <c r="B8" s="15" t="s">
        <v>93</v>
      </c>
      <c r="C8" s="15" t="s">
        <v>94</v>
      </c>
      <c r="D8" s="14" t="s">
        <v>119</v>
      </c>
      <c r="E8" s="15" t="s">
        <v>120</v>
      </c>
      <c r="F8" s="15" t="s">
        <v>121</v>
      </c>
    </row>
    <row r="9" customFormat="false" ht="48" hidden="false" customHeight="true" outlineLevel="0" collapsed="false">
      <c r="A9" s="13" t="s">
        <v>122</v>
      </c>
      <c r="B9" s="15" t="s">
        <v>93</v>
      </c>
      <c r="C9" s="15" t="s">
        <v>94</v>
      </c>
      <c r="D9" s="15" t="s">
        <v>123</v>
      </c>
      <c r="E9" s="15" t="s">
        <v>124</v>
      </c>
      <c r="F9" s="15" t="s">
        <v>125</v>
      </c>
    </row>
    <row r="10" customFormat="false" ht="90" hidden="false" customHeight="true" outlineLevel="0" collapsed="false">
      <c r="A10" s="13" t="s">
        <v>126</v>
      </c>
      <c r="B10" s="15" t="s">
        <v>93</v>
      </c>
      <c r="C10" s="15" t="s">
        <v>94</v>
      </c>
      <c r="D10" s="14" t="s">
        <v>127</v>
      </c>
      <c r="E10" s="15" t="s">
        <v>128</v>
      </c>
      <c r="F10" s="15" t="s">
        <v>129</v>
      </c>
    </row>
    <row r="11" customFormat="false" ht="19.5" hidden="false" customHeight="true" outlineLevel="0" collapsed="false">
      <c r="A11" s="13" t="s">
        <v>130</v>
      </c>
      <c r="B11" s="15" t="s">
        <v>93</v>
      </c>
      <c r="C11" s="15" t="s">
        <v>94</v>
      </c>
      <c r="D11" s="14" t="s">
        <v>131</v>
      </c>
      <c r="E11" s="15" t="s">
        <v>132</v>
      </c>
      <c r="F11" s="15" t="s">
        <v>133</v>
      </c>
    </row>
    <row r="12" customFormat="false" ht="48" hidden="false" customHeight="true" outlineLevel="0" collapsed="false">
      <c r="A12" s="13" t="s">
        <v>134</v>
      </c>
      <c r="B12" s="15" t="s">
        <v>93</v>
      </c>
      <c r="C12" s="15" t="s">
        <v>135</v>
      </c>
      <c r="D12" s="15" t="s">
        <v>136</v>
      </c>
      <c r="E12" s="15"/>
      <c r="F12" s="15"/>
    </row>
    <row r="13" customFormat="false" ht="33.75" hidden="false" customHeight="true" outlineLevel="0" collapsed="false">
      <c r="A13" s="13" t="s">
        <v>137</v>
      </c>
      <c r="B13" s="15" t="s">
        <v>93</v>
      </c>
      <c r="C13" s="15" t="s">
        <v>135</v>
      </c>
      <c r="D13" s="14" t="s">
        <v>138</v>
      </c>
      <c r="E13" s="15"/>
      <c r="F13" s="15"/>
    </row>
    <row r="14" customFormat="false" ht="33.75" hidden="false" customHeight="true" outlineLevel="0" collapsed="false">
      <c r="A14" s="13" t="s">
        <v>139</v>
      </c>
      <c r="B14" s="15" t="s">
        <v>93</v>
      </c>
      <c r="C14" s="15" t="s">
        <v>94</v>
      </c>
      <c r="D14" s="14" t="s">
        <v>140</v>
      </c>
      <c r="E14" s="15" t="s">
        <v>141</v>
      </c>
      <c r="F14" s="15" t="s">
        <v>142</v>
      </c>
    </row>
    <row r="15" customFormat="false" ht="75.75" hidden="false" customHeight="true" outlineLevel="0" collapsed="false">
      <c r="A15" s="13" t="s">
        <v>143</v>
      </c>
      <c r="B15" s="15" t="s">
        <v>93</v>
      </c>
      <c r="C15" s="15" t="s">
        <v>94</v>
      </c>
      <c r="D15" s="14" t="s">
        <v>144</v>
      </c>
      <c r="E15" s="15" t="s">
        <v>145</v>
      </c>
      <c r="F15" s="15" t="s">
        <v>146</v>
      </c>
    </row>
    <row r="16" customFormat="false" ht="48" hidden="false" customHeight="true" outlineLevel="0" collapsed="false">
      <c r="A16" s="13" t="s">
        <v>147</v>
      </c>
      <c r="B16" s="15" t="s">
        <v>93</v>
      </c>
      <c r="C16" s="15" t="s">
        <v>148</v>
      </c>
      <c r="D16" s="15" t="s">
        <v>149</v>
      </c>
      <c r="E16" s="14" t="s">
        <v>150</v>
      </c>
      <c r="F16" s="15" t="s">
        <v>151</v>
      </c>
    </row>
    <row r="17" customFormat="false" ht="19.5" hidden="false" customHeight="true" outlineLevel="0" collapsed="false">
      <c r="A17" s="13" t="s">
        <v>152</v>
      </c>
      <c r="B17" s="15" t="s">
        <v>93</v>
      </c>
      <c r="C17" s="15" t="s">
        <v>148</v>
      </c>
      <c r="D17" s="14" t="s">
        <v>153</v>
      </c>
      <c r="E17" s="15" t="s">
        <v>154</v>
      </c>
      <c r="F17" s="14" t="s">
        <v>155</v>
      </c>
    </row>
    <row r="18" customFormat="false" ht="48" hidden="false" customHeight="true" outlineLevel="0" collapsed="false">
      <c r="A18" s="13" t="s">
        <v>156</v>
      </c>
      <c r="B18" s="15" t="s">
        <v>93</v>
      </c>
      <c r="C18" s="15" t="s">
        <v>94</v>
      </c>
      <c r="D18" s="14" t="s">
        <v>157</v>
      </c>
      <c r="E18" s="15" t="s">
        <v>158</v>
      </c>
      <c r="F18" s="15" t="s">
        <v>159</v>
      </c>
    </row>
    <row r="19" customFormat="false" ht="33.75" hidden="false" customHeight="true" outlineLevel="0" collapsed="false">
      <c r="A19" s="13" t="s">
        <v>160</v>
      </c>
      <c r="B19" s="15" t="s">
        <v>93</v>
      </c>
      <c r="C19" s="15" t="s">
        <v>94</v>
      </c>
      <c r="D19" s="14" t="s">
        <v>161</v>
      </c>
      <c r="E19" s="15" t="s">
        <v>162</v>
      </c>
      <c r="F19" s="15" t="s">
        <v>163</v>
      </c>
    </row>
    <row r="20" customFormat="false" ht="90" hidden="false" customHeight="true" outlineLevel="0" collapsed="false">
      <c r="A20" s="13" t="s">
        <v>164</v>
      </c>
      <c r="B20" s="15" t="s">
        <v>93</v>
      </c>
      <c r="C20" s="15" t="s">
        <v>94</v>
      </c>
      <c r="D20" s="14" t="s">
        <v>165</v>
      </c>
      <c r="E20" s="15" t="s">
        <v>166</v>
      </c>
      <c r="F20" s="15" t="s">
        <v>167</v>
      </c>
    </row>
    <row r="21" customFormat="false" ht="75.75" hidden="false" customHeight="true" outlineLevel="0" collapsed="false">
      <c r="A21" s="13" t="s">
        <v>168</v>
      </c>
      <c r="B21" s="15" t="s">
        <v>93</v>
      </c>
      <c r="C21" s="15" t="s">
        <v>94</v>
      </c>
      <c r="D21" s="14" t="s">
        <v>169</v>
      </c>
      <c r="E21" s="15" t="s">
        <v>170</v>
      </c>
      <c r="F21" s="15" t="s">
        <v>171</v>
      </c>
    </row>
    <row r="22" customFormat="false" ht="61.5" hidden="false" customHeight="true" outlineLevel="0" collapsed="false">
      <c r="A22" s="13" t="s">
        <v>172</v>
      </c>
      <c r="B22" s="15" t="s">
        <v>93</v>
      </c>
      <c r="C22" s="15" t="s">
        <v>94</v>
      </c>
      <c r="D22" s="15" t="s">
        <v>173</v>
      </c>
      <c r="E22" s="15" t="s">
        <v>174</v>
      </c>
      <c r="F22" s="15" t="s">
        <v>175</v>
      </c>
    </row>
    <row r="23" customFormat="false" ht="48" hidden="false" customHeight="true" outlineLevel="0" collapsed="false">
      <c r="A23" s="13" t="s">
        <v>176</v>
      </c>
      <c r="B23" s="15" t="s">
        <v>93</v>
      </c>
      <c r="C23" s="15" t="s">
        <v>148</v>
      </c>
      <c r="D23" s="15" t="s">
        <v>177</v>
      </c>
      <c r="E23" s="14" t="s">
        <v>178</v>
      </c>
      <c r="F23" s="14" t="s">
        <v>179</v>
      </c>
    </row>
    <row r="24" customFormat="false" ht="48" hidden="false" customHeight="true" outlineLevel="0" collapsed="false">
      <c r="A24" s="13" t="s">
        <v>180</v>
      </c>
      <c r="B24" s="15" t="s">
        <v>93</v>
      </c>
      <c r="C24" s="15" t="s">
        <v>181</v>
      </c>
      <c r="D24" s="15" t="s">
        <v>182</v>
      </c>
      <c r="E24" s="15"/>
      <c r="F24" s="15"/>
    </row>
    <row r="25" customFormat="false" ht="75.75" hidden="false" customHeight="true" outlineLevel="0" collapsed="false">
      <c r="A25" s="13" t="s">
        <v>183</v>
      </c>
      <c r="B25" s="15" t="s">
        <v>93</v>
      </c>
      <c r="C25" s="15" t="s">
        <v>148</v>
      </c>
      <c r="D25" s="15" t="s">
        <v>184</v>
      </c>
      <c r="E25" s="15" t="s">
        <v>185</v>
      </c>
      <c r="F25" s="15" t="s">
        <v>186</v>
      </c>
    </row>
    <row r="26" customFormat="false" ht="61.5" hidden="false" customHeight="true" outlineLevel="0" collapsed="false">
      <c r="A26" s="13" t="s">
        <v>183</v>
      </c>
      <c r="B26" s="15" t="s">
        <v>93</v>
      </c>
      <c r="C26" s="15" t="s">
        <v>181</v>
      </c>
      <c r="D26" s="14" t="s">
        <v>187</v>
      </c>
      <c r="E26" s="15"/>
      <c r="F26" s="15"/>
    </row>
    <row r="27" customFormat="false" ht="33.75" hidden="false" customHeight="true" outlineLevel="0" collapsed="false">
      <c r="A27" s="13" t="s">
        <v>188</v>
      </c>
      <c r="B27" s="15" t="s">
        <v>93</v>
      </c>
      <c r="C27" s="15" t="s">
        <v>135</v>
      </c>
      <c r="D27" s="15" t="s">
        <v>189</v>
      </c>
      <c r="E27" s="15"/>
      <c r="F27" s="15"/>
    </row>
    <row r="28" customFormat="false" ht="33.75" hidden="false" customHeight="true" outlineLevel="0" collapsed="false">
      <c r="A28" s="13" t="s">
        <v>190</v>
      </c>
      <c r="B28" s="15" t="s">
        <v>191</v>
      </c>
      <c r="C28" s="15" t="s">
        <v>94</v>
      </c>
      <c r="D28" s="15" t="s">
        <v>192</v>
      </c>
      <c r="E28" s="15" t="s">
        <v>193</v>
      </c>
      <c r="F28" s="15" t="s">
        <v>194</v>
      </c>
    </row>
    <row r="29" customFormat="false" ht="75.75" hidden="false" customHeight="true" outlineLevel="0" collapsed="false">
      <c r="A29" s="13" t="s">
        <v>195</v>
      </c>
      <c r="B29" s="15" t="s">
        <v>191</v>
      </c>
      <c r="C29" s="15" t="s">
        <v>94</v>
      </c>
      <c r="D29" s="14" t="s">
        <v>196</v>
      </c>
      <c r="E29" s="15" t="s">
        <v>197</v>
      </c>
      <c r="F29" s="15" t="s">
        <v>198</v>
      </c>
    </row>
    <row r="30" customFormat="false" ht="61.5" hidden="false" customHeight="true" outlineLevel="0" collapsed="false">
      <c r="A30" s="13" t="s">
        <v>199</v>
      </c>
      <c r="B30" s="15" t="s">
        <v>191</v>
      </c>
      <c r="C30" s="15" t="s">
        <v>94</v>
      </c>
      <c r="D30" s="15" t="s">
        <v>200</v>
      </c>
      <c r="E30" s="15" t="s">
        <v>201</v>
      </c>
      <c r="F30" s="15" t="s">
        <v>202</v>
      </c>
    </row>
    <row r="31" customFormat="false" ht="61.5" hidden="false" customHeight="true" outlineLevel="0" collapsed="false">
      <c r="A31" s="13" t="s">
        <v>203</v>
      </c>
      <c r="B31" s="15" t="s">
        <v>191</v>
      </c>
      <c r="C31" s="15" t="s">
        <v>148</v>
      </c>
      <c r="D31" s="15" t="s">
        <v>204</v>
      </c>
      <c r="E31" s="15" t="s">
        <v>205</v>
      </c>
      <c r="F31" s="15" t="s">
        <v>206</v>
      </c>
    </row>
    <row r="32" customFormat="false" ht="33.75" hidden="false" customHeight="true" outlineLevel="0" collapsed="false">
      <c r="A32" s="13" t="s">
        <v>207</v>
      </c>
      <c r="B32" s="15" t="s">
        <v>191</v>
      </c>
      <c r="C32" s="15" t="s">
        <v>94</v>
      </c>
      <c r="D32" s="14" t="s">
        <v>208</v>
      </c>
      <c r="E32" s="15" t="s">
        <v>209</v>
      </c>
      <c r="F32" s="15" t="s">
        <v>210</v>
      </c>
    </row>
    <row r="33" customFormat="false" ht="61.5" hidden="false" customHeight="true" outlineLevel="0" collapsed="false">
      <c r="A33" s="13" t="s">
        <v>211</v>
      </c>
      <c r="B33" s="15" t="s">
        <v>191</v>
      </c>
      <c r="C33" s="15" t="s">
        <v>94</v>
      </c>
      <c r="D33" s="14" t="s">
        <v>212</v>
      </c>
      <c r="E33" s="15" t="s">
        <v>213</v>
      </c>
      <c r="F33" s="15" t="s">
        <v>214</v>
      </c>
    </row>
    <row r="34" customFormat="false" ht="19.5" hidden="false" customHeight="true" outlineLevel="0" collapsed="false">
      <c r="A34" s="13" t="s">
        <v>215</v>
      </c>
      <c r="B34" s="15" t="s">
        <v>191</v>
      </c>
      <c r="C34" s="15" t="s">
        <v>148</v>
      </c>
      <c r="D34" s="14" t="s">
        <v>216</v>
      </c>
      <c r="E34" s="15" t="s">
        <v>217</v>
      </c>
      <c r="F34" s="15" t="s">
        <v>218</v>
      </c>
    </row>
    <row r="35" customFormat="false" ht="48" hidden="false" customHeight="true" outlineLevel="0" collapsed="false">
      <c r="A35" s="13" t="s">
        <v>219</v>
      </c>
      <c r="B35" s="15" t="s">
        <v>191</v>
      </c>
      <c r="C35" s="15" t="s">
        <v>148</v>
      </c>
      <c r="D35" s="14" t="s">
        <v>216</v>
      </c>
      <c r="E35" s="15" t="s">
        <v>220</v>
      </c>
      <c r="F35" s="15" t="s">
        <v>221</v>
      </c>
    </row>
    <row r="36" customFormat="false" ht="90" hidden="false" customHeight="true" outlineLevel="0" collapsed="false">
      <c r="A36" s="13" t="s">
        <v>222</v>
      </c>
      <c r="B36" s="15" t="s">
        <v>191</v>
      </c>
      <c r="C36" s="15" t="s">
        <v>223</v>
      </c>
      <c r="D36" s="14" t="s">
        <v>224</v>
      </c>
      <c r="E36" s="15"/>
      <c r="F36" s="15" t="s">
        <v>225</v>
      </c>
    </row>
    <row r="37" customFormat="false" ht="19.5" hidden="false" customHeight="true" outlineLevel="0" collapsed="false">
      <c r="A37" s="13" t="s">
        <v>226</v>
      </c>
      <c r="B37" s="15" t="s">
        <v>191</v>
      </c>
      <c r="C37" s="15" t="s">
        <v>223</v>
      </c>
      <c r="D37" s="14" t="s">
        <v>227</v>
      </c>
      <c r="E37" s="15"/>
      <c r="F37" s="15" t="s">
        <v>228</v>
      </c>
    </row>
    <row r="38" customFormat="false" ht="19.5" hidden="false" customHeight="true" outlineLevel="0" collapsed="false">
      <c r="A38" s="13" t="s">
        <v>229</v>
      </c>
      <c r="B38" s="15" t="s">
        <v>191</v>
      </c>
      <c r="C38" s="15" t="s">
        <v>230</v>
      </c>
      <c r="D38" s="14" t="s">
        <v>231</v>
      </c>
      <c r="E38" s="14" t="s">
        <v>232</v>
      </c>
      <c r="F38" s="14" t="s">
        <v>179</v>
      </c>
    </row>
    <row r="39" customFormat="false" ht="33.75" hidden="false" customHeight="true" outlineLevel="0" collapsed="false">
      <c r="A39" s="13" t="s">
        <v>233</v>
      </c>
      <c r="B39" s="15" t="s">
        <v>191</v>
      </c>
      <c r="C39" s="15" t="s">
        <v>94</v>
      </c>
      <c r="D39" s="14" t="s">
        <v>234</v>
      </c>
      <c r="E39" s="15" t="s">
        <v>235</v>
      </c>
      <c r="F39" s="15" t="s">
        <v>236</v>
      </c>
    </row>
    <row r="40" customFormat="false" ht="48" hidden="false" customHeight="true" outlineLevel="0" collapsed="false">
      <c r="A40" s="13" t="s">
        <v>237</v>
      </c>
      <c r="B40" s="15" t="s">
        <v>191</v>
      </c>
      <c r="C40" s="15" t="s">
        <v>148</v>
      </c>
      <c r="D40" s="14" t="s">
        <v>238</v>
      </c>
      <c r="E40" s="15" t="s">
        <v>239</v>
      </c>
      <c r="F40" s="15" t="s">
        <v>240</v>
      </c>
    </row>
    <row r="41" customFormat="false" ht="61.5" hidden="false" customHeight="true" outlineLevel="0" collapsed="false">
      <c r="A41" s="13" t="s">
        <v>241</v>
      </c>
      <c r="B41" s="15" t="s">
        <v>242</v>
      </c>
      <c r="C41" s="15" t="s">
        <v>94</v>
      </c>
      <c r="D41" s="15" t="s">
        <v>243</v>
      </c>
      <c r="E41" s="15" t="s">
        <v>244</v>
      </c>
      <c r="F41" s="15" t="s">
        <v>245</v>
      </c>
    </row>
    <row r="42" customFormat="false" ht="75.75" hidden="false" customHeight="true" outlineLevel="0" collapsed="false">
      <c r="A42" s="13" t="s">
        <v>246</v>
      </c>
      <c r="B42" s="15" t="s">
        <v>242</v>
      </c>
      <c r="C42" s="15" t="s">
        <v>94</v>
      </c>
      <c r="D42" s="14" t="s">
        <v>247</v>
      </c>
      <c r="E42" s="15" t="s">
        <v>248</v>
      </c>
      <c r="F42" s="15" t="s">
        <v>249</v>
      </c>
    </row>
    <row r="43" customFormat="false" ht="61.5" hidden="false" customHeight="true" outlineLevel="0" collapsed="false">
      <c r="A43" s="13" t="s">
        <v>250</v>
      </c>
      <c r="B43" s="15" t="s">
        <v>242</v>
      </c>
      <c r="C43" s="15" t="s">
        <v>94</v>
      </c>
      <c r="D43" s="14" t="s">
        <v>251</v>
      </c>
      <c r="E43" s="15" t="s">
        <v>252</v>
      </c>
      <c r="F43" s="15" t="s">
        <v>253</v>
      </c>
    </row>
    <row r="44" customFormat="false" ht="61.5" hidden="false" customHeight="true" outlineLevel="0" collapsed="false">
      <c r="A44" s="13" t="s">
        <v>254</v>
      </c>
      <c r="B44" s="15" t="s">
        <v>242</v>
      </c>
      <c r="C44" s="15" t="s">
        <v>148</v>
      </c>
      <c r="D44" s="14" t="s">
        <v>255</v>
      </c>
      <c r="E44" s="15" t="s">
        <v>256</v>
      </c>
      <c r="F44" s="15" t="s">
        <v>257</v>
      </c>
    </row>
    <row r="45" customFormat="false" ht="61.5" hidden="false" customHeight="true" outlineLevel="0" collapsed="false">
      <c r="A45" s="13" t="s">
        <v>258</v>
      </c>
      <c r="B45" s="15" t="s">
        <v>242</v>
      </c>
      <c r="C45" s="15" t="s">
        <v>94</v>
      </c>
      <c r="D45" s="15" t="s">
        <v>243</v>
      </c>
      <c r="E45" s="15" t="s">
        <v>259</v>
      </c>
      <c r="F45" s="15" t="s">
        <v>260</v>
      </c>
    </row>
    <row r="46" customFormat="false" ht="33.75" hidden="false" customHeight="true" outlineLevel="0" collapsed="false">
      <c r="A46" s="13" t="s">
        <v>261</v>
      </c>
      <c r="B46" s="15" t="s">
        <v>242</v>
      </c>
      <c r="C46" s="15" t="s">
        <v>148</v>
      </c>
      <c r="D46" s="14" t="s">
        <v>251</v>
      </c>
      <c r="E46" s="15" t="s">
        <v>262</v>
      </c>
      <c r="F46" s="15" t="s">
        <v>263</v>
      </c>
    </row>
    <row r="47" customFormat="false" ht="61.5" hidden="false" customHeight="true" outlineLevel="0" collapsed="false">
      <c r="A47" s="13" t="s">
        <v>264</v>
      </c>
      <c r="B47" s="15" t="s">
        <v>242</v>
      </c>
      <c r="C47" s="15" t="s">
        <v>94</v>
      </c>
      <c r="D47" s="14" t="s">
        <v>265</v>
      </c>
      <c r="E47" s="15" t="s">
        <v>266</v>
      </c>
      <c r="F47" s="15" t="s">
        <v>267</v>
      </c>
    </row>
    <row r="48" customFormat="false" ht="75.75" hidden="false" customHeight="true" outlineLevel="0" collapsed="false">
      <c r="A48" s="13" t="s">
        <v>268</v>
      </c>
      <c r="B48" s="15" t="s">
        <v>242</v>
      </c>
      <c r="C48" s="15" t="s">
        <v>94</v>
      </c>
      <c r="D48" s="14" t="s">
        <v>269</v>
      </c>
      <c r="E48" s="15" t="s">
        <v>270</v>
      </c>
      <c r="F48" s="15" t="s">
        <v>271</v>
      </c>
    </row>
    <row r="49" customFormat="false" ht="33.75" hidden="false" customHeight="true" outlineLevel="0" collapsed="false">
      <c r="A49" s="13" t="s">
        <v>272</v>
      </c>
      <c r="B49" s="15" t="s">
        <v>242</v>
      </c>
      <c r="C49" s="15" t="s">
        <v>148</v>
      </c>
      <c r="D49" s="14" t="s">
        <v>273</v>
      </c>
      <c r="E49" s="15" t="s">
        <v>274</v>
      </c>
      <c r="F49" s="15" t="s">
        <v>275</v>
      </c>
    </row>
    <row r="50" customFormat="false" ht="61.5" hidden="false" customHeight="true" outlineLevel="0" collapsed="false">
      <c r="A50" s="13" t="s">
        <v>276</v>
      </c>
      <c r="B50" s="15" t="s">
        <v>242</v>
      </c>
      <c r="C50" s="15" t="s">
        <v>94</v>
      </c>
      <c r="D50" s="15" t="s">
        <v>243</v>
      </c>
      <c r="E50" s="15" t="s">
        <v>277</v>
      </c>
      <c r="F50" s="15" t="s">
        <v>278</v>
      </c>
    </row>
    <row r="51" customFormat="false" ht="48" hidden="false" customHeight="true" outlineLevel="0" collapsed="false">
      <c r="A51" s="13" t="s">
        <v>279</v>
      </c>
      <c r="B51" s="15" t="s">
        <v>242</v>
      </c>
      <c r="C51" s="15" t="s">
        <v>94</v>
      </c>
      <c r="D51" s="14" t="s">
        <v>280</v>
      </c>
      <c r="E51" s="15" t="s">
        <v>281</v>
      </c>
      <c r="F51" s="15" t="s">
        <v>282</v>
      </c>
    </row>
    <row r="52" customFormat="false" ht="75.75" hidden="false" customHeight="true" outlineLevel="0" collapsed="false">
      <c r="A52" s="13" t="s">
        <v>283</v>
      </c>
      <c r="B52" s="15" t="s">
        <v>242</v>
      </c>
      <c r="C52" s="15" t="s">
        <v>94</v>
      </c>
      <c r="D52" s="14" t="s">
        <v>284</v>
      </c>
      <c r="E52" s="15" t="s">
        <v>285</v>
      </c>
      <c r="F52" s="15" t="s">
        <v>286</v>
      </c>
    </row>
    <row r="53" customFormat="false" ht="61.5" hidden="false" customHeight="true" outlineLevel="0" collapsed="false">
      <c r="A53" s="13" t="s">
        <v>287</v>
      </c>
      <c r="B53" s="15" t="s">
        <v>242</v>
      </c>
      <c r="C53" s="15" t="s">
        <v>94</v>
      </c>
      <c r="D53" s="15" t="s">
        <v>243</v>
      </c>
      <c r="E53" s="15" t="s">
        <v>288</v>
      </c>
      <c r="F53" s="15" t="s">
        <v>289</v>
      </c>
    </row>
    <row r="54" customFormat="false" ht="33.75" hidden="false" customHeight="true" outlineLevel="0" collapsed="false">
      <c r="A54" s="13" t="s">
        <v>290</v>
      </c>
      <c r="B54" s="15" t="s">
        <v>242</v>
      </c>
      <c r="C54" s="15" t="s">
        <v>94</v>
      </c>
      <c r="D54" s="14" t="s">
        <v>291</v>
      </c>
      <c r="E54" s="14" t="s">
        <v>292</v>
      </c>
      <c r="F54" s="14" t="s">
        <v>293</v>
      </c>
    </row>
    <row r="55" customFormat="false" ht="61.5" hidden="false" customHeight="true" outlineLevel="0" collapsed="false">
      <c r="A55" s="13" t="s">
        <v>294</v>
      </c>
      <c r="B55" s="15" t="s">
        <v>242</v>
      </c>
      <c r="C55" s="15" t="s">
        <v>94</v>
      </c>
      <c r="D55" s="15" t="s">
        <v>243</v>
      </c>
      <c r="E55" s="15" t="s">
        <v>295</v>
      </c>
      <c r="F55" s="15" t="s">
        <v>296</v>
      </c>
    </row>
    <row r="56" customFormat="false" ht="61.5" hidden="false" customHeight="true" outlineLevel="0" collapsed="false">
      <c r="A56" s="13" t="s">
        <v>297</v>
      </c>
      <c r="B56" s="15" t="s">
        <v>242</v>
      </c>
      <c r="C56" s="15" t="s">
        <v>94</v>
      </c>
      <c r="D56" s="15" t="s">
        <v>243</v>
      </c>
      <c r="E56" s="15" t="s">
        <v>298</v>
      </c>
      <c r="F56" s="15" t="s">
        <v>299</v>
      </c>
    </row>
    <row r="57" customFormat="false" ht="61.5" hidden="false" customHeight="true" outlineLevel="0" collapsed="false">
      <c r="A57" s="13" t="s">
        <v>300</v>
      </c>
      <c r="B57" s="15" t="s">
        <v>242</v>
      </c>
      <c r="C57" s="15" t="s">
        <v>94</v>
      </c>
      <c r="D57" s="14" t="s">
        <v>301</v>
      </c>
      <c r="E57" s="15" t="s">
        <v>302</v>
      </c>
      <c r="F57" s="15" t="s">
        <v>303</v>
      </c>
    </row>
    <row r="58" customFormat="false" ht="33.75" hidden="false" customHeight="true" outlineLevel="0" collapsed="false">
      <c r="A58" s="13" t="s">
        <v>304</v>
      </c>
      <c r="B58" s="15" t="s">
        <v>242</v>
      </c>
      <c r="C58" s="15" t="s">
        <v>94</v>
      </c>
      <c r="D58" s="14" t="s">
        <v>305</v>
      </c>
      <c r="E58" s="15" t="s">
        <v>306</v>
      </c>
      <c r="F58" s="14" t="s">
        <v>307</v>
      </c>
    </row>
    <row r="59" customFormat="false" ht="48" hidden="false" customHeight="true" outlineLevel="0" collapsed="false">
      <c r="A59" s="13" t="s">
        <v>308</v>
      </c>
      <c r="B59" s="15" t="s">
        <v>242</v>
      </c>
      <c r="C59" s="15" t="s">
        <v>94</v>
      </c>
      <c r="D59" s="14" t="s">
        <v>309</v>
      </c>
      <c r="E59" s="15" t="s">
        <v>310</v>
      </c>
      <c r="F59" s="15" t="s">
        <v>311</v>
      </c>
    </row>
    <row r="60" customFormat="false" ht="61.5" hidden="false" customHeight="true" outlineLevel="0" collapsed="false">
      <c r="A60" s="13" t="s">
        <v>312</v>
      </c>
      <c r="B60" s="15" t="s">
        <v>242</v>
      </c>
      <c r="C60" s="15" t="s">
        <v>94</v>
      </c>
      <c r="D60" s="15" t="s">
        <v>243</v>
      </c>
      <c r="E60" s="15" t="s">
        <v>313</v>
      </c>
      <c r="F60" s="15" t="s">
        <v>314</v>
      </c>
    </row>
    <row r="61" customFormat="false" ht="61.5" hidden="false" customHeight="true" outlineLevel="0" collapsed="false">
      <c r="A61" s="13" t="s">
        <v>315</v>
      </c>
      <c r="B61" s="15" t="s">
        <v>242</v>
      </c>
      <c r="C61" s="15" t="s">
        <v>94</v>
      </c>
      <c r="D61" s="14" t="s">
        <v>316</v>
      </c>
      <c r="E61" s="15" t="s">
        <v>317</v>
      </c>
      <c r="F61" s="15" t="s">
        <v>318</v>
      </c>
    </row>
    <row r="62" customFormat="false" ht="48" hidden="false" customHeight="true" outlineLevel="0" collapsed="false">
      <c r="A62" s="13" t="s">
        <v>319</v>
      </c>
      <c r="B62" s="15" t="s">
        <v>242</v>
      </c>
      <c r="C62" s="15" t="s">
        <v>94</v>
      </c>
      <c r="D62" s="15" t="s">
        <v>320</v>
      </c>
      <c r="E62" s="14" t="s">
        <v>321</v>
      </c>
      <c r="F62" s="15" t="s">
        <v>322</v>
      </c>
    </row>
    <row r="63" customFormat="false" ht="61.5" hidden="false" customHeight="true" outlineLevel="0" collapsed="false">
      <c r="A63" s="13" t="s">
        <v>323</v>
      </c>
      <c r="B63" s="15" t="s">
        <v>242</v>
      </c>
      <c r="C63" s="15" t="s">
        <v>94</v>
      </c>
      <c r="D63" s="15" t="s">
        <v>243</v>
      </c>
      <c r="E63" s="15" t="s">
        <v>324</v>
      </c>
      <c r="F63" s="15" t="s">
        <v>325</v>
      </c>
    </row>
    <row r="64" customFormat="false" ht="33.75" hidden="false" customHeight="true" outlineLevel="0" collapsed="false">
      <c r="A64" s="13" t="s">
        <v>326</v>
      </c>
      <c r="B64" s="15" t="s">
        <v>242</v>
      </c>
      <c r="C64" s="15" t="s">
        <v>94</v>
      </c>
      <c r="D64" s="14" t="s">
        <v>327</v>
      </c>
      <c r="E64" s="15" t="s">
        <v>328</v>
      </c>
      <c r="F64" s="15" t="s">
        <v>329</v>
      </c>
    </row>
    <row r="65" customFormat="false" ht="33.75" hidden="false" customHeight="true" outlineLevel="0" collapsed="false">
      <c r="A65" s="13" t="s">
        <v>330</v>
      </c>
      <c r="B65" s="15" t="s">
        <v>242</v>
      </c>
      <c r="C65" s="15" t="s">
        <v>94</v>
      </c>
      <c r="D65" s="14" t="s">
        <v>331</v>
      </c>
      <c r="E65" s="15" t="s">
        <v>332</v>
      </c>
      <c r="F65" s="15" t="s">
        <v>333</v>
      </c>
    </row>
    <row r="66" customFormat="false" ht="48" hidden="false" customHeight="true" outlineLevel="0" collapsed="false">
      <c r="A66" s="13" t="s">
        <v>334</v>
      </c>
      <c r="B66" s="15" t="s">
        <v>242</v>
      </c>
      <c r="C66" s="15" t="s">
        <v>94</v>
      </c>
      <c r="D66" s="14" t="s">
        <v>335</v>
      </c>
      <c r="E66" s="15" t="s">
        <v>336</v>
      </c>
      <c r="F66" s="15" t="s">
        <v>337</v>
      </c>
    </row>
    <row r="67" customFormat="false" ht="61.5" hidden="false" customHeight="true" outlineLevel="0" collapsed="false">
      <c r="A67" s="13" t="s">
        <v>338</v>
      </c>
      <c r="B67" s="15" t="s">
        <v>242</v>
      </c>
      <c r="C67" s="15" t="s">
        <v>94</v>
      </c>
      <c r="D67" s="15" t="s">
        <v>243</v>
      </c>
      <c r="E67" s="15" t="s">
        <v>339</v>
      </c>
      <c r="F67" s="15" t="s">
        <v>340</v>
      </c>
    </row>
    <row r="68" customFormat="false" ht="61.5" hidden="false" customHeight="true" outlineLevel="0" collapsed="false">
      <c r="A68" s="13" t="s">
        <v>341</v>
      </c>
      <c r="B68" s="15" t="s">
        <v>242</v>
      </c>
      <c r="C68" s="15" t="s">
        <v>94</v>
      </c>
      <c r="D68" s="15" t="s">
        <v>342</v>
      </c>
      <c r="E68" s="14" t="s">
        <v>343</v>
      </c>
      <c r="F68" s="14" t="s">
        <v>344</v>
      </c>
    </row>
    <row r="69" customFormat="false" ht="75.75" hidden="false" customHeight="true" outlineLevel="0" collapsed="false">
      <c r="A69" s="13" t="s">
        <v>345</v>
      </c>
      <c r="B69" s="15" t="s">
        <v>242</v>
      </c>
      <c r="C69" s="15" t="s">
        <v>94</v>
      </c>
      <c r="D69" s="14" t="s">
        <v>346</v>
      </c>
      <c r="E69" s="15" t="s">
        <v>347</v>
      </c>
      <c r="F69" s="15" t="s">
        <v>348</v>
      </c>
    </row>
    <row r="70" customFormat="false" ht="61.5" hidden="false" customHeight="true" outlineLevel="0" collapsed="false">
      <c r="A70" s="13" t="s">
        <v>349</v>
      </c>
      <c r="B70" s="15" t="s">
        <v>242</v>
      </c>
      <c r="C70" s="15" t="s">
        <v>94</v>
      </c>
      <c r="D70" s="14" t="s">
        <v>350</v>
      </c>
      <c r="E70" s="15" t="s">
        <v>351</v>
      </c>
      <c r="F70" s="15" t="s">
        <v>352</v>
      </c>
    </row>
    <row r="71" customFormat="false" ht="48" hidden="false" customHeight="true" outlineLevel="0" collapsed="false">
      <c r="A71" s="13" t="s">
        <v>353</v>
      </c>
      <c r="B71" s="15" t="s">
        <v>242</v>
      </c>
      <c r="C71" s="15" t="s">
        <v>94</v>
      </c>
      <c r="D71" s="14" t="s">
        <v>354</v>
      </c>
      <c r="E71" s="15" t="s">
        <v>355</v>
      </c>
      <c r="F71" s="15" t="s">
        <v>356</v>
      </c>
    </row>
    <row r="72" customFormat="false" ht="48" hidden="false" customHeight="true" outlineLevel="0" collapsed="false">
      <c r="A72" s="13" t="s">
        <v>357</v>
      </c>
      <c r="B72" s="15" t="s">
        <v>242</v>
      </c>
      <c r="C72" s="15" t="s">
        <v>94</v>
      </c>
      <c r="D72" s="15" t="s">
        <v>243</v>
      </c>
      <c r="E72" s="15" t="s">
        <v>358</v>
      </c>
      <c r="F72" s="15" t="s">
        <v>359</v>
      </c>
    </row>
    <row r="73" customFormat="false" ht="61.5" hidden="false" customHeight="true" outlineLevel="0" collapsed="false">
      <c r="A73" s="13" t="s">
        <v>360</v>
      </c>
      <c r="B73" s="15" t="s">
        <v>242</v>
      </c>
      <c r="C73" s="15" t="s">
        <v>94</v>
      </c>
      <c r="D73" s="14" t="s">
        <v>361</v>
      </c>
      <c r="E73" s="14" t="s">
        <v>362</v>
      </c>
      <c r="F73" s="14" t="s">
        <v>363</v>
      </c>
    </row>
    <row r="74" customFormat="false" ht="61.5" hidden="false" customHeight="true" outlineLevel="0" collapsed="false">
      <c r="A74" s="13" t="s">
        <v>364</v>
      </c>
      <c r="B74" s="15" t="s">
        <v>242</v>
      </c>
      <c r="C74" s="15" t="s">
        <v>94</v>
      </c>
      <c r="D74" s="14" t="s">
        <v>365</v>
      </c>
      <c r="E74" s="15" t="s">
        <v>366</v>
      </c>
      <c r="F74" s="15" t="s">
        <v>367</v>
      </c>
    </row>
    <row r="75" customFormat="false" ht="33.75" hidden="false" customHeight="true" outlineLevel="0" collapsed="false">
      <c r="A75" s="13" t="s">
        <v>368</v>
      </c>
      <c r="B75" s="15" t="s">
        <v>242</v>
      </c>
      <c r="C75" s="15" t="s">
        <v>94</v>
      </c>
      <c r="D75" s="15" t="s">
        <v>369</v>
      </c>
      <c r="E75" s="15" t="s">
        <v>370</v>
      </c>
      <c r="F75" s="15" t="s">
        <v>371</v>
      </c>
    </row>
    <row r="76" customFormat="false" ht="61.5" hidden="false" customHeight="true" outlineLevel="0" collapsed="false">
      <c r="A76" s="13" t="s">
        <v>372</v>
      </c>
      <c r="B76" s="15" t="s">
        <v>242</v>
      </c>
      <c r="C76" s="15" t="s">
        <v>94</v>
      </c>
      <c r="D76" s="15" t="s">
        <v>243</v>
      </c>
      <c r="E76" s="15" t="s">
        <v>373</v>
      </c>
      <c r="F76" s="15" t="s">
        <v>374</v>
      </c>
    </row>
    <row r="77" customFormat="false" ht="61.5" hidden="false" customHeight="true" outlineLevel="0" collapsed="false">
      <c r="A77" s="13" t="s">
        <v>375</v>
      </c>
      <c r="B77" s="15" t="s">
        <v>242</v>
      </c>
      <c r="C77" s="15" t="s">
        <v>94</v>
      </c>
      <c r="D77" s="14" t="s">
        <v>376</v>
      </c>
      <c r="E77" s="15" t="s">
        <v>377</v>
      </c>
      <c r="F77" s="15" t="s">
        <v>378</v>
      </c>
    </row>
    <row r="78" customFormat="false" ht="61.5" hidden="false" customHeight="true" outlineLevel="0" collapsed="false">
      <c r="A78" s="13" t="s">
        <v>379</v>
      </c>
      <c r="B78" s="15" t="s">
        <v>242</v>
      </c>
      <c r="C78" s="15" t="s">
        <v>94</v>
      </c>
      <c r="D78" s="15" t="s">
        <v>243</v>
      </c>
      <c r="E78" s="15" t="s">
        <v>380</v>
      </c>
      <c r="F78" s="15" t="s">
        <v>381</v>
      </c>
    </row>
    <row r="79" customFormat="false" ht="75.75" hidden="false" customHeight="true" outlineLevel="0" collapsed="false">
      <c r="A79" s="13" t="s">
        <v>382</v>
      </c>
      <c r="B79" s="15" t="s">
        <v>242</v>
      </c>
      <c r="C79" s="15" t="s">
        <v>94</v>
      </c>
      <c r="D79" s="14" t="s">
        <v>383</v>
      </c>
      <c r="E79" s="15" t="s">
        <v>384</v>
      </c>
      <c r="F79" s="15" t="s">
        <v>385</v>
      </c>
    </row>
    <row r="80" customFormat="false" ht="48" hidden="false" customHeight="true" outlineLevel="0" collapsed="false">
      <c r="A80" s="13" t="s">
        <v>386</v>
      </c>
      <c r="B80" s="15" t="s">
        <v>242</v>
      </c>
      <c r="C80" s="15" t="s">
        <v>148</v>
      </c>
      <c r="D80" s="14" t="s">
        <v>387</v>
      </c>
      <c r="E80" s="15" t="s">
        <v>388</v>
      </c>
      <c r="F80" s="15" t="s">
        <v>389</v>
      </c>
    </row>
    <row r="81" customFormat="false" ht="61.5" hidden="false" customHeight="true" outlineLevel="0" collapsed="false">
      <c r="A81" s="13" t="s">
        <v>390</v>
      </c>
      <c r="B81" s="15" t="s">
        <v>242</v>
      </c>
      <c r="C81" s="15" t="s">
        <v>94</v>
      </c>
      <c r="D81" s="14" t="s">
        <v>391</v>
      </c>
      <c r="E81" s="15" t="s">
        <v>392</v>
      </c>
      <c r="F81" s="15" t="s">
        <v>393</v>
      </c>
    </row>
    <row r="82" customFormat="false" ht="61.5" hidden="false" customHeight="true" outlineLevel="0" collapsed="false">
      <c r="A82" s="13" t="s">
        <v>394</v>
      </c>
      <c r="B82" s="15" t="s">
        <v>242</v>
      </c>
      <c r="C82" s="15" t="s">
        <v>94</v>
      </c>
      <c r="D82" s="15" t="s">
        <v>243</v>
      </c>
      <c r="E82" s="15" t="s">
        <v>395</v>
      </c>
      <c r="F82" s="15" t="s">
        <v>396</v>
      </c>
    </row>
    <row r="83" customFormat="false" ht="48" hidden="false" customHeight="true" outlineLevel="0" collapsed="false">
      <c r="A83" s="13" t="s">
        <v>397</v>
      </c>
      <c r="B83" s="15" t="s">
        <v>242</v>
      </c>
      <c r="C83" s="15" t="s">
        <v>94</v>
      </c>
      <c r="D83" s="14" t="s">
        <v>398</v>
      </c>
      <c r="E83" s="15" t="s">
        <v>399</v>
      </c>
      <c r="F83" s="15" t="s">
        <v>400</v>
      </c>
    </row>
    <row r="84" customFormat="false" ht="61.5" hidden="false" customHeight="true" outlineLevel="0" collapsed="false">
      <c r="A84" s="13" t="s">
        <v>401</v>
      </c>
      <c r="B84" s="15" t="s">
        <v>242</v>
      </c>
      <c r="C84" s="15" t="s">
        <v>94</v>
      </c>
      <c r="D84" s="14" t="s">
        <v>402</v>
      </c>
      <c r="E84" s="15" t="s">
        <v>403</v>
      </c>
      <c r="F84" s="15" t="s">
        <v>404</v>
      </c>
    </row>
    <row r="85" customFormat="false" ht="19.5" hidden="false" customHeight="true" outlineLevel="0" collapsed="false">
      <c r="A85" s="13" t="s">
        <v>405</v>
      </c>
      <c r="B85" s="15" t="s">
        <v>242</v>
      </c>
      <c r="C85" s="15" t="s">
        <v>94</v>
      </c>
      <c r="D85" s="14" t="s">
        <v>406</v>
      </c>
      <c r="E85" s="14" t="s">
        <v>407</v>
      </c>
      <c r="F85" s="14" t="s">
        <v>408</v>
      </c>
    </row>
    <row r="86" customFormat="false" ht="33.75" hidden="false" customHeight="true" outlineLevel="0" collapsed="false">
      <c r="A86" s="13" t="s">
        <v>409</v>
      </c>
      <c r="B86" s="15" t="s">
        <v>242</v>
      </c>
      <c r="C86" s="15" t="s">
        <v>94</v>
      </c>
      <c r="D86" s="14" t="s">
        <v>410</v>
      </c>
      <c r="E86" s="15" t="s">
        <v>411</v>
      </c>
      <c r="F86" s="15" t="s">
        <v>412</v>
      </c>
    </row>
    <row r="87" customFormat="false" ht="48" hidden="false" customHeight="true" outlineLevel="0" collapsed="false">
      <c r="A87" s="13" t="s">
        <v>413</v>
      </c>
      <c r="B87" s="15" t="s">
        <v>242</v>
      </c>
      <c r="C87" s="15" t="s">
        <v>94</v>
      </c>
      <c r="D87" s="14" t="s">
        <v>414</v>
      </c>
      <c r="E87" s="15" t="s">
        <v>415</v>
      </c>
      <c r="F87" s="15" t="s">
        <v>416</v>
      </c>
    </row>
    <row r="88" customFormat="false" ht="61.5" hidden="false" customHeight="true" outlineLevel="0" collapsed="false">
      <c r="A88" s="13" t="s">
        <v>417</v>
      </c>
      <c r="B88" s="15" t="s">
        <v>242</v>
      </c>
      <c r="C88" s="15" t="s">
        <v>94</v>
      </c>
      <c r="D88" s="15" t="s">
        <v>243</v>
      </c>
      <c r="E88" s="15" t="s">
        <v>418</v>
      </c>
      <c r="F88" s="15" t="s">
        <v>419</v>
      </c>
    </row>
    <row r="89" customFormat="false" ht="48" hidden="false" customHeight="true" outlineLevel="0" collapsed="false">
      <c r="A89" s="13" t="s">
        <v>420</v>
      </c>
      <c r="B89" s="15" t="s">
        <v>242</v>
      </c>
      <c r="C89" s="15" t="s">
        <v>148</v>
      </c>
      <c r="D89" s="15" t="s">
        <v>421</v>
      </c>
      <c r="E89" s="15" t="s">
        <v>422</v>
      </c>
      <c r="F89" s="15" t="s">
        <v>423</v>
      </c>
    </row>
    <row r="90" customFormat="false" ht="33.75" hidden="false" customHeight="true" outlineLevel="0" collapsed="false">
      <c r="A90" s="13" t="s">
        <v>424</v>
      </c>
      <c r="B90" s="15" t="s">
        <v>242</v>
      </c>
      <c r="C90" s="15" t="s">
        <v>94</v>
      </c>
      <c r="D90" s="15" t="s">
        <v>425</v>
      </c>
      <c r="E90" s="15" t="s">
        <v>426</v>
      </c>
      <c r="F90" s="15" t="s">
        <v>427</v>
      </c>
    </row>
    <row r="91" customFormat="false" ht="61.5" hidden="false" customHeight="true" outlineLevel="0" collapsed="false">
      <c r="A91" s="13" t="s">
        <v>428</v>
      </c>
      <c r="B91" s="15" t="s">
        <v>242</v>
      </c>
      <c r="C91" s="15" t="s">
        <v>94</v>
      </c>
      <c r="D91" s="15" t="s">
        <v>243</v>
      </c>
      <c r="E91" s="15" t="s">
        <v>429</v>
      </c>
      <c r="F91" s="15" t="s">
        <v>430</v>
      </c>
    </row>
    <row r="92" customFormat="false" ht="48" hidden="false" customHeight="true" outlineLevel="0" collapsed="false">
      <c r="A92" s="13" t="s">
        <v>431</v>
      </c>
      <c r="B92" s="15" t="s">
        <v>242</v>
      </c>
      <c r="C92" s="15" t="s">
        <v>94</v>
      </c>
      <c r="D92" s="15" t="s">
        <v>432</v>
      </c>
      <c r="E92" s="15" t="s">
        <v>433</v>
      </c>
      <c r="F92" s="15" t="s">
        <v>434</v>
      </c>
    </row>
    <row r="93" customFormat="false" ht="33.75" hidden="false" customHeight="true" outlineLevel="0" collapsed="false">
      <c r="A93" s="13" t="s">
        <v>435</v>
      </c>
      <c r="B93" s="15" t="s">
        <v>242</v>
      </c>
      <c r="C93" s="15" t="s">
        <v>148</v>
      </c>
      <c r="D93" s="14" t="s">
        <v>251</v>
      </c>
      <c r="E93" s="15" t="s">
        <v>436</v>
      </c>
      <c r="F93" s="15" t="s">
        <v>437</v>
      </c>
    </row>
    <row r="94" customFormat="false" ht="61.5" hidden="false" customHeight="true" outlineLevel="0" collapsed="false">
      <c r="A94" s="13" t="s">
        <v>438</v>
      </c>
      <c r="B94" s="15" t="s">
        <v>242</v>
      </c>
      <c r="C94" s="15" t="s">
        <v>94</v>
      </c>
      <c r="D94" s="15" t="s">
        <v>243</v>
      </c>
      <c r="E94" s="15" t="s">
        <v>439</v>
      </c>
      <c r="F94" s="15" t="s">
        <v>440</v>
      </c>
    </row>
    <row r="95" customFormat="false" ht="75.75" hidden="false" customHeight="true" outlineLevel="0" collapsed="false">
      <c r="A95" s="13" t="s">
        <v>441</v>
      </c>
      <c r="B95" s="15" t="s">
        <v>242</v>
      </c>
      <c r="C95" s="15" t="s">
        <v>94</v>
      </c>
      <c r="D95" s="14" t="s">
        <v>442</v>
      </c>
      <c r="E95" s="15" t="s">
        <v>443</v>
      </c>
      <c r="F95" s="15" t="s">
        <v>444</v>
      </c>
    </row>
    <row r="96" customFormat="false" ht="61.5" hidden="false" customHeight="true" outlineLevel="0" collapsed="false">
      <c r="A96" s="13" t="s">
        <v>445</v>
      </c>
      <c r="B96" s="15" t="s">
        <v>242</v>
      </c>
      <c r="C96" s="15" t="s">
        <v>94</v>
      </c>
      <c r="D96" s="15" t="s">
        <v>243</v>
      </c>
      <c r="E96" s="15" t="s">
        <v>446</v>
      </c>
      <c r="F96" s="15" t="s">
        <v>447</v>
      </c>
    </row>
    <row r="97" customFormat="false" ht="61.5" hidden="false" customHeight="true" outlineLevel="0" collapsed="false">
      <c r="A97" s="13" t="s">
        <v>448</v>
      </c>
      <c r="B97" s="15" t="s">
        <v>242</v>
      </c>
      <c r="C97" s="15" t="s">
        <v>94</v>
      </c>
      <c r="D97" s="14" t="s">
        <v>449</v>
      </c>
      <c r="E97" s="15" t="s">
        <v>450</v>
      </c>
      <c r="F97" s="15" t="s">
        <v>451</v>
      </c>
    </row>
    <row r="98" customFormat="false" ht="48" hidden="false" customHeight="true" outlineLevel="0" collapsed="false">
      <c r="A98" s="13" t="s">
        <v>452</v>
      </c>
      <c r="B98" s="15" t="s">
        <v>242</v>
      </c>
      <c r="C98" s="15" t="s">
        <v>94</v>
      </c>
      <c r="D98" s="14" t="s">
        <v>453</v>
      </c>
      <c r="E98" s="15" t="s">
        <v>454</v>
      </c>
      <c r="F98" s="15" t="s">
        <v>455</v>
      </c>
    </row>
    <row r="99" customFormat="false" ht="75.75" hidden="false" customHeight="true" outlineLevel="0" collapsed="false">
      <c r="A99" s="13" t="s">
        <v>456</v>
      </c>
      <c r="B99" s="15" t="s">
        <v>242</v>
      </c>
      <c r="C99" s="15" t="s">
        <v>94</v>
      </c>
      <c r="D99" s="14" t="s">
        <v>457</v>
      </c>
      <c r="E99" s="15" t="s">
        <v>458</v>
      </c>
      <c r="F99" s="15" t="s">
        <v>459</v>
      </c>
    </row>
    <row r="100" customFormat="false" ht="48" hidden="false" customHeight="true" outlineLevel="0" collapsed="false">
      <c r="A100" s="13" t="s">
        <v>460</v>
      </c>
      <c r="B100" s="15" t="s">
        <v>242</v>
      </c>
      <c r="C100" s="15" t="s">
        <v>94</v>
      </c>
      <c r="D100" s="14" t="s">
        <v>461</v>
      </c>
      <c r="E100" s="15" t="s">
        <v>462</v>
      </c>
      <c r="F100" s="15" t="s">
        <v>463</v>
      </c>
    </row>
    <row r="101" customFormat="false" ht="61.5" hidden="false" customHeight="true" outlineLevel="0" collapsed="false">
      <c r="A101" s="13" t="s">
        <v>464</v>
      </c>
      <c r="B101" s="15" t="s">
        <v>242</v>
      </c>
      <c r="C101" s="15" t="s">
        <v>94</v>
      </c>
      <c r="D101" s="15" t="s">
        <v>243</v>
      </c>
      <c r="E101" s="15" t="s">
        <v>465</v>
      </c>
      <c r="F101" s="15" t="s">
        <v>466</v>
      </c>
    </row>
    <row r="102" customFormat="false" ht="33.75" hidden="false" customHeight="true" outlineLevel="0" collapsed="false">
      <c r="A102" s="13" t="s">
        <v>467</v>
      </c>
      <c r="B102" s="15" t="s">
        <v>242</v>
      </c>
      <c r="C102" s="15" t="s">
        <v>94</v>
      </c>
      <c r="D102" s="14" t="s">
        <v>468</v>
      </c>
      <c r="E102" s="15" t="s">
        <v>469</v>
      </c>
      <c r="F102" s="15" t="s">
        <v>470</v>
      </c>
    </row>
    <row r="103" customFormat="false" ht="61.5" hidden="false" customHeight="true" outlineLevel="0" collapsed="false">
      <c r="A103" s="13" t="s">
        <v>471</v>
      </c>
      <c r="B103" s="15" t="s">
        <v>242</v>
      </c>
      <c r="C103" s="15" t="s">
        <v>94</v>
      </c>
      <c r="D103" s="14" t="s">
        <v>472</v>
      </c>
      <c r="E103" s="15" t="s">
        <v>473</v>
      </c>
      <c r="F103" s="15" t="s">
        <v>474</v>
      </c>
    </row>
    <row r="104" customFormat="false" ht="75.75" hidden="false" customHeight="true" outlineLevel="0" collapsed="false">
      <c r="A104" s="13" t="s">
        <v>475</v>
      </c>
      <c r="B104" s="15" t="s">
        <v>242</v>
      </c>
      <c r="C104" s="15" t="s">
        <v>94</v>
      </c>
      <c r="D104" s="14" t="s">
        <v>476</v>
      </c>
      <c r="E104" s="15" t="s">
        <v>477</v>
      </c>
      <c r="F104" s="15" t="s">
        <v>478</v>
      </c>
    </row>
    <row r="105" customFormat="false" ht="61.5" hidden="false" customHeight="true" outlineLevel="0" collapsed="false">
      <c r="A105" s="13" t="s">
        <v>479</v>
      </c>
      <c r="B105" s="15" t="s">
        <v>242</v>
      </c>
      <c r="C105" s="15" t="s">
        <v>94</v>
      </c>
      <c r="D105" s="15" t="s">
        <v>243</v>
      </c>
      <c r="E105" s="15" t="s">
        <v>480</v>
      </c>
      <c r="F105" s="15" t="s">
        <v>481</v>
      </c>
    </row>
    <row r="106" customFormat="false" ht="75.75" hidden="false" customHeight="true" outlineLevel="0" collapsed="false">
      <c r="A106" s="13" t="s">
        <v>482</v>
      </c>
      <c r="B106" s="15" t="s">
        <v>242</v>
      </c>
      <c r="C106" s="15" t="s">
        <v>94</v>
      </c>
      <c r="D106" s="14" t="s">
        <v>483</v>
      </c>
      <c r="E106" s="15" t="s">
        <v>484</v>
      </c>
      <c r="F106" s="15" t="s">
        <v>485</v>
      </c>
    </row>
    <row r="107" customFormat="false" ht="75.75" hidden="false" customHeight="true" outlineLevel="0" collapsed="false">
      <c r="A107" s="13" t="s">
        <v>486</v>
      </c>
      <c r="B107" s="15" t="s">
        <v>242</v>
      </c>
      <c r="C107" s="15" t="s">
        <v>94</v>
      </c>
      <c r="D107" s="14" t="s">
        <v>487</v>
      </c>
      <c r="E107" s="15" t="s">
        <v>488</v>
      </c>
      <c r="F107" s="15" t="s">
        <v>489</v>
      </c>
    </row>
    <row r="108" customFormat="false" ht="61.5" hidden="false" customHeight="true" outlineLevel="0" collapsed="false">
      <c r="A108" s="13" t="s">
        <v>490</v>
      </c>
      <c r="B108" s="15" t="s">
        <v>242</v>
      </c>
      <c r="C108" s="15" t="s">
        <v>94</v>
      </c>
      <c r="D108" s="14" t="s">
        <v>491</v>
      </c>
      <c r="E108" s="15" t="s">
        <v>492</v>
      </c>
      <c r="F108" s="15" t="s">
        <v>493</v>
      </c>
    </row>
    <row r="109" customFormat="false" ht="61.5" hidden="false" customHeight="true" outlineLevel="0" collapsed="false">
      <c r="A109" s="13" t="s">
        <v>494</v>
      </c>
      <c r="B109" s="15" t="s">
        <v>242</v>
      </c>
      <c r="C109" s="15" t="s">
        <v>94</v>
      </c>
      <c r="D109" s="15" t="s">
        <v>243</v>
      </c>
      <c r="E109" s="15" t="s">
        <v>495</v>
      </c>
      <c r="F109" s="15" t="s">
        <v>496</v>
      </c>
    </row>
    <row r="110" customFormat="false" ht="75.75" hidden="false" customHeight="true" outlineLevel="0" collapsed="false">
      <c r="A110" s="13" t="s">
        <v>497</v>
      </c>
      <c r="B110" s="15" t="s">
        <v>242</v>
      </c>
      <c r="C110" s="15" t="s">
        <v>94</v>
      </c>
      <c r="D110" s="14" t="s">
        <v>498</v>
      </c>
      <c r="E110" s="15" t="s">
        <v>499</v>
      </c>
      <c r="F110" s="15" t="s">
        <v>500</v>
      </c>
    </row>
    <row r="111" customFormat="false" ht="33.75" hidden="false" customHeight="true" outlineLevel="0" collapsed="false">
      <c r="A111" s="13" t="s">
        <v>501</v>
      </c>
      <c r="B111" s="15" t="s">
        <v>242</v>
      </c>
      <c r="C111" s="15" t="s">
        <v>94</v>
      </c>
      <c r="D111" s="15" t="s">
        <v>502</v>
      </c>
      <c r="E111" s="15" t="s">
        <v>503</v>
      </c>
      <c r="F111" s="15" t="s">
        <v>504</v>
      </c>
    </row>
    <row r="112" customFormat="false" ht="61.5" hidden="false" customHeight="true" outlineLevel="0" collapsed="false">
      <c r="A112" s="13" t="s">
        <v>505</v>
      </c>
      <c r="B112" s="15" t="s">
        <v>242</v>
      </c>
      <c r="C112" s="15" t="s">
        <v>94</v>
      </c>
      <c r="D112" s="15" t="s">
        <v>243</v>
      </c>
      <c r="E112" s="15" t="s">
        <v>506</v>
      </c>
      <c r="F112" s="15" t="s">
        <v>507</v>
      </c>
    </row>
    <row r="113" customFormat="false" ht="75.75" hidden="false" customHeight="true" outlineLevel="0" collapsed="false">
      <c r="A113" s="13" t="s">
        <v>508</v>
      </c>
      <c r="B113" s="15" t="s">
        <v>242</v>
      </c>
      <c r="C113" s="15" t="s">
        <v>94</v>
      </c>
      <c r="D113" s="14" t="s">
        <v>509</v>
      </c>
      <c r="E113" s="15" t="s">
        <v>510</v>
      </c>
      <c r="F113" s="15" t="s">
        <v>511</v>
      </c>
    </row>
    <row r="114" customFormat="false" ht="75.75" hidden="false" customHeight="true" outlineLevel="0" collapsed="false">
      <c r="A114" s="13" t="s">
        <v>512</v>
      </c>
      <c r="B114" s="15" t="s">
        <v>242</v>
      </c>
      <c r="C114" s="15" t="s">
        <v>94</v>
      </c>
      <c r="D114" s="14" t="s">
        <v>513</v>
      </c>
      <c r="E114" s="15" t="s">
        <v>514</v>
      </c>
      <c r="F114" s="15" t="s">
        <v>515</v>
      </c>
    </row>
    <row r="115" customFormat="false" ht="33.75" hidden="false" customHeight="true" outlineLevel="0" collapsed="false">
      <c r="A115" s="13" t="s">
        <v>516</v>
      </c>
      <c r="B115" s="15" t="s">
        <v>242</v>
      </c>
      <c r="C115" s="15" t="s">
        <v>94</v>
      </c>
      <c r="D115" s="14" t="s">
        <v>517</v>
      </c>
      <c r="E115" s="15" t="s">
        <v>518</v>
      </c>
      <c r="F115" s="15" t="s">
        <v>519</v>
      </c>
    </row>
    <row r="116" customFormat="false" ht="61.5" hidden="false" customHeight="true" outlineLevel="0" collapsed="false">
      <c r="A116" s="13" t="s">
        <v>520</v>
      </c>
      <c r="B116" s="15" t="s">
        <v>242</v>
      </c>
      <c r="C116" s="15" t="s">
        <v>94</v>
      </c>
      <c r="D116" s="15" t="s">
        <v>243</v>
      </c>
      <c r="E116" s="15" t="s">
        <v>521</v>
      </c>
      <c r="F116" s="15" t="s">
        <v>522</v>
      </c>
    </row>
    <row r="117" customFormat="false" ht="48" hidden="false" customHeight="true" outlineLevel="0" collapsed="false">
      <c r="A117" s="13" t="s">
        <v>523</v>
      </c>
      <c r="B117" s="15" t="s">
        <v>242</v>
      </c>
      <c r="C117" s="15" t="s">
        <v>94</v>
      </c>
      <c r="D117" s="14" t="s">
        <v>524</v>
      </c>
      <c r="E117" s="15" t="s">
        <v>525</v>
      </c>
      <c r="F117" s="15" t="s">
        <v>526</v>
      </c>
    </row>
    <row r="118" customFormat="false" ht="33.75" hidden="false" customHeight="true" outlineLevel="0" collapsed="false">
      <c r="A118" s="13" t="s">
        <v>527</v>
      </c>
      <c r="B118" s="15" t="s">
        <v>242</v>
      </c>
      <c r="C118" s="15" t="s">
        <v>94</v>
      </c>
      <c r="D118" s="14" t="s">
        <v>528</v>
      </c>
      <c r="E118" s="15" t="s">
        <v>529</v>
      </c>
      <c r="F118" s="15" t="s">
        <v>530</v>
      </c>
    </row>
    <row r="119" customFormat="false" ht="90" hidden="false" customHeight="true" outlineLevel="0" collapsed="false">
      <c r="A119" s="13" t="s">
        <v>531</v>
      </c>
      <c r="B119" s="15" t="s">
        <v>242</v>
      </c>
      <c r="C119" s="15" t="s">
        <v>223</v>
      </c>
      <c r="D119" s="14" t="s">
        <v>532</v>
      </c>
      <c r="E119" s="15"/>
      <c r="F119" s="15" t="s">
        <v>533</v>
      </c>
    </row>
    <row r="120" customFormat="false" ht="19.5" hidden="false" customHeight="true" outlineLevel="0" collapsed="false">
      <c r="A120" s="13" t="s">
        <v>534</v>
      </c>
      <c r="B120" s="15" t="s">
        <v>242</v>
      </c>
      <c r="C120" s="15" t="s">
        <v>223</v>
      </c>
      <c r="D120" s="14" t="s">
        <v>535</v>
      </c>
      <c r="E120" s="15"/>
      <c r="F120" s="15" t="s">
        <v>536</v>
      </c>
    </row>
    <row r="121" customFormat="false" ht="33.75" hidden="false" customHeight="true" outlineLevel="0" collapsed="false">
      <c r="A121" s="13" t="s">
        <v>537</v>
      </c>
      <c r="B121" s="15" t="s">
        <v>242</v>
      </c>
      <c r="C121" s="15" t="s">
        <v>223</v>
      </c>
      <c r="D121" s="15" t="s">
        <v>538</v>
      </c>
      <c r="E121" s="15"/>
      <c r="F121" s="15" t="s">
        <v>539</v>
      </c>
    </row>
    <row r="122" customFormat="false" ht="48" hidden="false" customHeight="true" outlineLevel="0" collapsed="false">
      <c r="A122" s="13" t="s">
        <v>540</v>
      </c>
      <c r="B122" s="15" t="s">
        <v>242</v>
      </c>
      <c r="C122" s="15" t="s">
        <v>94</v>
      </c>
      <c r="D122" s="14" t="s">
        <v>541</v>
      </c>
      <c r="E122" s="15" t="s">
        <v>542</v>
      </c>
      <c r="F122" s="15" t="s">
        <v>543</v>
      </c>
    </row>
    <row r="123" customFormat="false" ht="48" hidden="false" customHeight="true" outlineLevel="0" collapsed="false">
      <c r="A123" s="13" t="s">
        <v>544</v>
      </c>
      <c r="B123" s="15" t="s">
        <v>242</v>
      </c>
      <c r="C123" s="15" t="s">
        <v>223</v>
      </c>
      <c r="D123" s="14" t="s">
        <v>545</v>
      </c>
      <c r="E123" s="15"/>
      <c r="F123" s="15" t="s">
        <v>546</v>
      </c>
    </row>
    <row r="124" customFormat="false" ht="48" hidden="false" customHeight="true" outlineLevel="0" collapsed="false">
      <c r="A124" s="13" t="s">
        <v>547</v>
      </c>
      <c r="B124" s="15" t="s">
        <v>242</v>
      </c>
      <c r="C124" s="15" t="s">
        <v>223</v>
      </c>
      <c r="D124" s="14" t="s">
        <v>548</v>
      </c>
      <c r="E124" s="15"/>
      <c r="F124" s="15" t="s">
        <v>549</v>
      </c>
    </row>
    <row r="125" customFormat="false" ht="117.75" hidden="false" customHeight="true" outlineLevel="0" collapsed="false">
      <c r="A125" s="13" t="s">
        <v>550</v>
      </c>
      <c r="B125" s="15" t="s">
        <v>242</v>
      </c>
      <c r="C125" s="15" t="s">
        <v>94</v>
      </c>
      <c r="D125" s="14" t="s">
        <v>551</v>
      </c>
      <c r="E125" s="15" t="s">
        <v>552</v>
      </c>
      <c r="F125" s="15" t="s">
        <v>553</v>
      </c>
    </row>
  </sheetData>
  <autoFilter ref="A1:F12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12F53"/>
    <pageSetUpPr fitToPage="false"/>
  </sheetPr>
  <dimension ref="A1:I133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2"/>
    <col collapsed="false" customWidth="true" hidden="false" outlineLevel="0" max="3" min="3" style="0" width="26"/>
    <col collapsed="false" customWidth="true" hidden="false" outlineLevel="0" max="4" min="4" style="0" width="62"/>
    <col collapsed="false" customWidth="true" hidden="false" outlineLevel="0" max="5" min="5" style="0" width="10"/>
    <col collapsed="false" customWidth="true" hidden="false" outlineLevel="0" max="6" min="6" style="0" width="56"/>
    <col collapsed="false" customWidth="true" hidden="false" outlineLevel="0" max="7" min="7" style="0" width="30"/>
    <col collapsed="false" customWidth="true" hidden="false" outlineLevel="0" max="8" min="8" style="0" width="9"/>
    <col collapsed="false" customWidth="true" hidden="false" outlineLevel="0" max="9" min="9" style="0" width="10"/>
  </cols>
  <sheetData>
    <row r="1" customFormat="false" ht="30" hidden="false" customHeight="true" outlineLevel="0" collapsed="false">
      <c r="A1" s="11" t="s">
        <v>554</v>
      </c>
      <c r="B1" s="12" t="s">
        <v>25</v>
      </c>
      <c r="C1" s="12" t="s">
        <v>26</v>
      </c>
      <c r="D1" s="12" t="s">
        <v>27</v>
      </c>
      <c r="E1" s="12" t="s">
        <v>28</v>
      </c>
      <c r="F1" s="12" t="s">
        <v>29</v>
      </c>
      <c r="G1" s="12" t="s">
        <v>30</v>
      </c>
      <c r="H1" s="12" t="s">
        <v>555</v>
      </c>
      <c r="I1" s="12" t="s">
        <v>556</v>
      </c>
    </row>
    <row r="2" customFormat="false" ht="33.75" hidden="false" customHeight="true" outlineLevel="0" collapsed="false">
      <c r="A2" s="13" t="s">
        <v>557</v>
      </c>
      <c r="B2" s="14" t="s">
        <v>558</v>
      </c>
      <c r="C2" s="15" t="s">
        <v>559</v>
      </c>
      <c r="D2" s="15" t="s">
        <v>560</v>
      </c>
      <c r="E2" s="23" t="s">
        <v>19</v>
      </c>
      <c r="F2" s="16"/>
      <c r="G2" s="16"/>
      <c r="H2" s="19" t="n">
        <f aca="false">LEN(IF(F2&lt;&gt;"",F2,D2))</f>
        <v>16</v>
      </c>
      <c r="I2" s="24" t="str">
        <f aca="false">IF(OR(H2&lt;6,H2&gt;260),"분량 확인","")</f>
        <v/>
      </c>
    </row>
    <row r="3" customFormat="false" ht="75.75" hidden="false" customHeight="true" outlineLevel="0" collapsed="false">
      <c r="A3" s="13" t="s">
        <v>561</v>
      </c>
      <c r="B3" s="14" t="s">
        <v>558</v>
      </c>
      <c r="C3" s="15" t="s">
        <v>562</v>
      </c>
      <c r="D3" s="15" t="s">
        <v>563</v>
      </c>
      <c r="E3" s="23" t="s">
        <v>19</v>
      </c>
      <c r="F3" s="16"/>
      <c r="G3" s="16"/>
      <c r="H3" s="19" t="n">
        <f aca="false">LEN(IF(F3&lt;&gt;"",F3,D3))</f>
        <v>129</v>
      </c>
      <c r="I3" s="24" t="str">
        <f aca="false">IF(OR(H3&lt;6,H3&gt;260),"분량 확인","")</f>
        <v/>
      </c>
    </row>
    <row r="4" customFormat="false" ht="61.5" hidden="false" customHeight="true" outlineLevel="0" collapsed="false">
      <c r="A4" s="13" t="s">
        <v>564</v>
      </c>
      <c r="B4" s="14" t="s">
        <v>558</v>
      </c>
      <c r="C4" s="15" t="s">
        <v>565</v>
      </c>
      <c r="D4" s="15" t="s">
        <v>566</v>
      </c>
      <c r="E4" s="23" t="s">
        <v>19</v>
      </c>
      <c r="F4" s="16"/>
      <c r="G4" s="16"/>
      <c r="H4" s="19" t="n">
        <f aca="false">LEN(IF(F4&lt;&gt;"",F4,D4))</f>
        <v>90</v>
      </c>
      <c r="I4" s="24" t="str">
        <f aca="false">IF(OR(H4&lt;6,H4&gt;260),"분량 확인","")</f>
        <v/>
      </c>
    </row>
    <row r="5" customFormat="false" ht="33.75" hidden="false" customHeight="true" outlineLevel="0" collapsed="false">
      <c r="A5" s="13" t="s">
        <v>567</v>
      </c>
      <c r="B5" s="14" t="s">
        <v>558</v>
      </c>
      <c r="C5" s="15" t="s">
        <v>568</v>
      </c>
      <c r="D5" s="15" t="s">
        <v>569</v>
      </c>
      <c r="E5" s="23" t="s">
        <v>19</v>
      </c>
      <c r="F5" s="16"/>
      <c r="G5" s="16"/>
      <c r="H5" s="19" t="n">
        <f aca="false">LEN(IF(F5&lt;&gt;"",F5,D5))</f>
        <v>22</v>
      </c>
      <c r="I5" s="24" t="str">
        <f aca="false">IF(OR(H5&lt;6,H5&gt;260),"분량 확인","")</f>
        <v/>
      </c>
    </row>
    <row r="6" customFormat="false" ht="75.75" hidden="false" customHeight="true" outlineLevel="0" collapsed="false">
      <c r="A6" s="13" t="s">
        <v>570</v>
      </c>
      <c r="B6" s="14" t="s">
        <v>558</v>
      </c>
      <c r="C6" s="15" t="s">
        <v>571</v>
      </c>
      <c r="D6" s="15" t="s">
        <v>572</v>
      </c>
      <c r="E6" s="23" t="s">
        <v>19</v>
      </c>
      <c r="F6" s="16"/>
      <c r="G6" s="16"/>
      <c r="H6" s="19" t="n">
        <f aca="false">LEN(IF(F6&lt;&gt;"",F6,D6))</f>
        <v>139</v>
      </c>
      <c r="I6" s="24" t="str">
        <f aca="false">IF(OR(H6&lt;6,H6&gt;260),"분량 확인","")</f>
        <v/>
      </c>
    </row>
    <row r="7" customFormat="false" ht="48" hidden="false" customHeight="true" outlineLevel="0" collapsed="false">
      <c r="A7" s="13" t="s">
        <v>573</v>
      </c>
      <c r="B7" s="14" t="s">
        <v>558</v>
      </c>
      <c r="C7" s="15" t="s">
        <v>574</v>
      </c>
      <c r="D7" s="15" t="s">
        <v>575</v>
      </c>
      <c r="E7" s="23" t="s">
        <v>19</v>
      </c>
      <c r="F7" s="16"/>
      <c r="G7" s="16"/>
      <c r="H7" s="19" t="n">
        <f aca="false">LEN(IF(F7&lt;&gt;"",F7,D7))</f>
        <v>82</v>
      </c>
      <c r="I7" s="24" t="str">
        <f aca="false">IF(OR(H7&lt;6,H7&gt;260),"분량 확인","")</f>
        <v/>
      </c>
    </row>
    <row r="8" customFormat="false" ht="33.75" hidden="false" customHeight="true" outlineLevel="0" collapsed="false">
      <c r="A8" s="13" t="s">
        <v>576</v>
      </c>
      <c r="B8" s="14" t="s">
        <v>577</v>
      </c>
      <c r="C8" s="15" t="s">
        <v>559</v>
      </c>
      <c r="D8" s="15" t="s">
        <v>578</v>
      </c>
      <c r="E8" s="23" t="s">
        <v>19</v>
      </c>
      <c r="F8" s="16"/>
      <c r="G8" s="16"/>
      <c r="H8" s="19" t="n">
        <f aca="false">LEN(IF(F8&lt;&gt;"",F8,D8))</f>
        <v>16</v>
      </c>
      <c r="I8" s="24" t="str">
        <f aca="false">IF(OR(H8&lt;6,H8&gt;260),"분량 확인","")</f>
        <v/>
      </c>
    </row>
    <row r="9" customFormat="false" ht="75.75" hidden="false" customHeight="true" outlineLevel="0" collapsed="false">
      <c r="A9" s="13" t="s">
        <v>579</v>
      </c>
      <c r="B9" s="14" t="s">
        <v>577</v>
      </c>
      <c r="C9" s="15" t="s">
        <v>562</v>
      </c>
      <c r="D9" s="15" t="s">
        <v>580</v>
      </c>
      <c r="E9" s="23" t="s">
        <v>19</v>
      </c>
      <c r="F9" s="16"/>
      <c r="G9" s="16"/>
      <c r="H9" s="19" t="n">
        <f aca="false">LEN(IF(F9&lt;&gt;"",F9,D9))</f>
        <v>136</v>
      </c>
      <c r="I9" s="24" t="str">
        <f aca="false">IF(OR(H9&lt;6,H9&gt;260),"분량 확인","")</f>
        <v/>
      </c>
    </row>
    <row r="10" customFormat="false" ht="61.5" hidden="false" customHeight="true" outlineLevel="0" collapsed="false">
      <c r="A10" s="13" t="s">
        <v>581</v>
      </c>
      <c r="B10" s="14" t="s">
        <v>577</v>
      </c>
      <c r="C10" s="15" t="s">
        <v>565</v>
      </c>
      <c r="D10" s="15" t="s">
        <v>582</v>
      </c>
      <c r="E10" s="23" t="s">
        <v>19</v>
      </c>
      <c r="F10" s="16"/>
      <c r="G10" s="16"/>
      <c r="H10" s="19" t="n">
        <f aca="false">LEN(IF(F10&lt;&gt;"",F10,D10))</f>
        <v>94</v>
      </c>
      <c r="I10" s="24" t="str">
        <f aca="false">IF(OR(H10&lt;6,H10&gt;260),"분량 확인","")</f>
        <v/>
      </c>
    </row>
    <row r="11" customFormat="false" ht="33.75" hidden="false" customHeight="true" outlineLevel="0" collapsed="false">
      <c r="A11" s="13" t="s">
        <v>583</v>
      </c>
      <c r="B11" s="14" t="s">
        <v>577</v>
      </c>
      <c r="C11" s="15" t="s">
        <v>568</v>
      </c>
      <c r="D11" s="15" t="s">
        <v>584</v>
      </c>
      <c r="E11" s="23" t="s">
        <v>19</v>
      </c>
      <c r="F11" s="16"/>
      <c r="G11" s="16"/>
      <c r="H11" s="19" t="n">
        <f aca="false">LEN(IF(F11&lt;&gt;"",F11,D11))</f>
        <v>19</v>
      </c>
      <c r="I11" s="24" t="str">
        <f aca="false">IF(OR(H11&lt;6,H11&gt;260),"분량 확인","")</f>
        <v/>
      </c>
    </row>
    <row r="12" customFormat="false" ht="75.75" hidden="false" customHeight="true" outlineLevel="0" collapsed="false">
      <c r="A12" s="13" t="s">
        <v>585</v>
      </c>
      <c r="B12" s="14" t="s">
        <v>577</v>
      </c>
      <c r="C12" s="15" t="s">
        <v>571</v>
      </c>
      <c r="D12" s="15" t="s">
        <v>586</v>
      </c>
      <c r="E12" s="23" t="s">
        <v>19</v>
      </c>
      <c r="F12" s="16"/>
      <c r="G12" s="16"/>
      <c r="H12" s="19" t="n">
        <f aca="false">LEN(IF(F12&lt;&gt;"",F12,D12))</f>
        <v>137</v>
      </c>
      <c r="I12" s="24" t="str">
        <f aca="false">IF(OR(H12&lt;6,H12&gt;260),"분량 확인","")</f>
        <v/>
      </c>
    </row>
    <row r="13" customFormat="false" ht="48" hidden="false" customHeight="true" outlineLevel="0" collapsed="false">
      <c r="A13" s="13" t="s">
        <v>587</v>
      </c>
      <c r="B13" s="14" t="s">
        <v>577</v>
      </c>
      <c r="C13" s="15" t="s">
        <v>574</v>
      </c>
      <c r="D13" s="15" t="s">
        <v>588</v>
      </c>
      <c r="E13" s="23" t="s">
        <v>19</v>
      </c>
      <c r="F13" s="16"/>
      <c r="G13" s="16"/>
      <c r="H13" s="19" t="n">
        <f aca="false">LEN(IF(F13&lt;&gt;"",F13,D13))</f>
        <v>86</v>
      </c>
      <c r="I13" s="24" t="str">
        <f aca="false">IF(OR(H13&lt;6,H13&gt;260),"분량 확인","")</f>
        <v/>
      </c>
    </row>
    <row r="14" customFormat="false" ht="33.75" hidden="false" customHeight="true" outlineLevel="0" collapsed="false">
      <c r="A14" s="13" t="s">
        <v>589</v>
      </c>
      <c r="B14" s="14" t="s">
        <v>590</v>
      </c>
      <c r="C14" s="15" t="s">
        <v>559</v>
      </c>
      <c r="D14" s="15" t="s">
        <v>591</v>
      </c>
      <c r="E14" s="23" t="s">
        <v>19</v>
      </c>
      <c r="F14" s="16"/>
      <c r="G14" s="16"/>
      <c r="H14" s="19" t="n">
        <f aca="false">LEN(IF(F14&lt;&gt;"",F14,D14))</f>
        <v>19</v>
      </c>
      <c r="I14" s="24" t="str">
        <f aca="false">IF(OR(H14&lt;6,H14&gt;260),"분량 확인","")</f>
        <v/>
      </c>
    </row>
    <row r="15" customFormat="false" ht="75.75" hidden="false" customHeight="true" outlineLevel="0" collapsed="false">
      <c r="A15" s="13" t="s">
        <v>592</v>
      </c>
      <c r="B15" s="14" t="s">
        <v>590</v>
      </c>
      <c r="C15" s="15" t="s">
        <v>562</v>
      </c>
      <c r="D15" s="15" t="s">
        <v>593</v>
      </c>
      <c r="E15" s="23" t="s">
        <v>19</v>
      </c>
      <c r="F15" s="16"/>
      <c r="G15" s="16"/>
      <c r="H15" s="19" t="n">
        <f aca="false">LEN(IF(F15&lt;&gt;"",F15,D15))</f>
        <v>118</v>
      </c>
      <c r="I15" s="24" t="str">
        <f aca="false">IF(OR(H15&lt;6,H15&gt;260),"분량 확인","")</f>
        <v/>
      </c>
    </row>
    <row r="16" customFormat="false" ht="48" hidden="false" customHeight="true" outlineLevel="0" collapsed="false">
      <c r="A16" s="13" t="s">
        <v>594</v>
      </c>
      <c r="B16" s="14" t="s">
        <v>590</v>
      </c>
      <c r="C16" s="15" t="s">
        <v>565</v>
      </c>
      <c r="D16" s="15" t="s">
        <v>595</v>
      </c>
      <c r="E16" s="23" t="s">
        <v>19</v>
      </c>
      <c r="F16" s="16"/>
      <c r="G16" s="16"/>
      <c r="H16" s="19" t="n">
        <f aca="false">LEN(IF(F16&lt;&gt;"",F16,D16))</f>
        <v>84</v>
      </c>
      <c r="I16" s="24" t="str">
        <f aca="false">IF(OR(H16&lt;6,H16&gt;260),"분량 확인","")</f>
        <v/>
      </c>
    </row>
    <row r="17" customFormat="false" ht="33.75" hidden="false" customHeight="true" outlineLevel="0" collapsed="false">
      <c r="A17" s="13" t="s">
        <v>596</v>
      </c>
      <c r="B17" s="14" t="s">
        <v>590</v>
      </c>
      <c r="C17" s="15" t="s">
        <v>568</v>
      </c>
      <c r="D17" s="15" t="s">
        <v>597</v>
      </c>
      <c r="E17" s="23" t="s">
        <v>19</v>
      </c>
      <c r="F17" s="16"/>
      <c r="G17" s="16"/>
      <c r="H17" s="19" t="n">
        <f aca="false">LEN(IF(F17&lt;&gt;"",F17,D17))</f>
        <v>25</v>
      </c>
      <c r="I17" s="24" t="str">
        <f aca="false">IF(OR(H17&lt;6,H17&gt;260),"분량 확인","")</f>
        <v/>
      </c>
    </row>
    <row r="18" customFormat="false" ht="75.75" hidden="false" customHeight="true" outlineLevel="0" collapsed="false">
      <c r="A18" s="13" t="s">
        <v>598</v>
      </c>
      <c r="B18" s="14" t="s">
        <v>590</v>
      </c>
      <c r="C18" s="15" t="s">
        <v>571</v>
      </c>
      <c r="D18" s="15" t="s">
        <v>599</v>
      </c>
      <c r="E18" s="23" t="s">
        <v>19</v>
      </c>
      <c r="F18" s="16"/>
      <c r="G18" s="16"/>
      <c r="H18" s="19" t="n">
        <f aca="false">LEN(IF(F18&lt;&gt;"",F18,D18))</f>
        <v>130</v>
      </c>
      <c r="I18" s="24" t="str">
        <f aca="false">IF(OR(H18&lt;6,H18&gt;260),"분량 확인","")</f>
        <v/>
      </c>
    </row>
    <row r="19" customFormat="false" ht="48" hidden="false" customHeight="true" outlineLevel="0" collapsed="false">
      <c r="A19" s="13" t="s">
        <v>600</v>
      </c>
      <c r="B19" s="14" t="s">
        <v>590</v>
      </c>
      <c r="C19" s="15" t="s">
        <v>574</v>
      </c>
      <c r="D19" s="15" t="s">
        <v>601</v>
      </c>
      <c r="E19" s="23" t="s">
        <v>19</v>
      </c>
      <c r="F19" s="16"/>
      <c r="G19" s="16"/>
      <c r="H19" s="19" t="n">
        <f aca="false">LEN(IF(F19&lt;&gt;"",F19,D19))</f>
        <v>81</v>
      </c>
      <c r="I19" s="24" t="str">
        <f aca="false">IF(OR(H19&lt;6,H19&gt;260),"분량 확인","")</f>
        <v/>
      </c>
    </row>
    <row r="20" customFormat="false" ht="33.75" hidden="false" customHeight="true" outlineLevel="0" collapsed="false">
      <c r="A20" s="13" t="s">
        <v>602</v>
      </c>
      <c r="B20" s="14" t="s">
        <v>603</v>
      </c>
      <c r="C20" s="15" t="s">
        <v>559</v>
      </c>
      <c r="D20" s="15" t="s">
        <v>604</v>
      </c>
      <c r="E20" s="23" t="s">
        <v>19</v>
      </c>
      <c r="F20" s="16"/>
      <c r="G20" s="16"/>
      <c r="H20" s="19" t="n">
        <f aca="false">LEN(IF(F20&lt;&gt;"",F20,D20))</f>
        <v>17</v>
      </c>
      <c r="I20" s="24" t="str">
        <f aca="false">IF(OR(H20&lt;6,H20&gt;260),"분량 확인","")</f>
        <v/>
      </c>
    </row>
    <row r="21" customFormat="false" ht="75.75" hidden="false" customHeight="true" outlineLevel="0" collapsed="false">
      <c r="A21" s="13" t="s">
        <v>605</v>
      </c>
      <c r="B21" s="14" t="s">
        <v>603</v>
      </c>
      <c r="C21" s="15" t="s">
        <v>562</v>
      </c>
      <c r="D21" s="15" t="s">
        <v>606</v>
      </c>
      <c r="E21" s="23" t="s">
        <v>19</v>
      </c>
      <c r="F21" s="16"/>
      <c r="G21" s="16"/>
      <c r="H21" s="19" t="n">
        <f aca="false">LEN(IF(F21&lt;&gt;"",F21,D21))</f>
        <v>131</v>
      </c>
      <c r="I21" s="24" t="str">
        <f aca="false">IF(OR(H21&lt;6,H21&gt;260),"분량 확인","")</f>
        <v/>
      </c>
    </row>
    <row r="22" customFormat="false" ht="48" hidden="false" customHeight="true" outlineLevel="0" collapsed="false">
      <c r="A22" s="13" t="s">
        <v>607</v>
      </c>
      <c r="B22" s="14" t="s">
        <v>603</v>
      </c>
      <c r="C22" s="15" t="s">
        <v>565</v>
      </c>
      <c r="D22" s="15" t="s">
        <v>608</v>
      </c>
      <c r="E22" s="23" t="s">
        <v>19</v>
      </c>
      <c r="F22" s="16"/>
      <c r="G22" s="16"/>
      <c r="H22" s="19" t="n">
        <f aca="false">LEN(IF(F22&lt;&gt;"",F22,D22))</f>
        <v>85</v>
      </c>
      <c r="I22" s="24" t="str">
        <f aca="false">IF(OR(H22&lt;6,H22&gt;260),"분량 확인","")</f>
        <v/>
      </c>
    </row>
    <row r="23" customFormat="false" ht="33.75" hidden="false" customHeight="true" outlineLevel="0" collapsed="false">
      <c r="A23" s="13" t="s">
        <v>609</v>
      </c>
      <c r="B23" s="14" t="s">
        <v>603</v>
      </c>
      <c r="C23" s="15" t="s">
        <v>568</v>
      </c>
      <c r="D23" s="15" t="s">
        <v>610</v>
      </c>
      <c r="E23" s="23" t="s">
        <v>19</v>
      </c>
      <c r="F23" s="16"/>
      <c r="G23" s="16"/>
      <c r="H23" s="19" t="n">
        <f aca="false">LEN(IF(F23&lt;&gt;"",F23,D23))</f>
        <v>22</v>
      </c>
      <c r="I23" s="24" t="str">
        <f aca="false">IF(OR(H23&lt;6,H23&gt;260),"분량 확인","")</f>
        <v/>
      </c>
    </row>
    <row r="24" customFormat="false" ht="75.75" hidden="false" customHeight="true" outlineLevel="0" collapsed="false">
      <c r="A24" s="13" t="s">
        <v>611</v>
      </c>
      <c r="B24" s="14" t="s">
        <v>603</v>
      </c>
      <c r="C24" s="15" t="s">
        <v>571</v>
      </c>
      <c r="D24" s="15" t="s">
        <v>612</v>
      </c>
      <c r="E24" s="23" t="s">
        <v>19</v>
      </c>
      <c r="F24" s="16"/>
      <c r="G24" s="16"/>
      <c r="H24" s="19" t="n">
        <f aca="false">LEN(IF(F24&lt;&gt;"",F24,D24))</f>
        <v>141</v>
      </c>
      <c r="I24" s="24" t="str">
        <f aca="false">IF(OR(H24&lt;6,H24&gt;260),"분량 확인","")</f>
        <v/>
      </c>
    </row>
    <row r="25" customFormat="false" ht="48" hidden="false" customHeight="true" outlineLevel="0" collapsed="false">
      <c r="A25" s="13" t="s">
        <v>613</v>
      </c>
      <c r="B25" s="14" t="s">
        <v>603</v>
      </c>
      <c r="C25" s="15" t="s">
        <v>574</v>
      </c>
      <c r="D25" s="15" t="s">
        <v>614</v>
      </c>
      <c r="E25" s="23" t="s">
        <v>19</v>
      </c>
      <c r="F25" s="16"/>
      <c r="G25" s="16"/>
      <c r="H25" s="19" t="n">
        <f aca="false">LEN(IF(F25&lt;&gt;"",F25,D25))</f>
        <v>83</v>
      </c>
      <c r="I25" s="24" t="str">
        <f aca="false">IF(OR(H25&lt;6,H25&gt;260),"분량 확인","")</f>
        <v/>
      </c>
    </row>
    <row r="26" customFormat="false" ht="33.75" hidden="false" customHeight="true" outlineLevel="0" collapsed="false">
      <c r="A26" s="13" t="s">
        <v>615</v>
      </c>
      <c r="B26" s="14" t="s">
        <v>616</v>
      </c>
      <c r="C26" s="15" t="s">
        <v>559</v>
      </c>
      <c r="D26" s="15" t="s">
        <v>617</v>
      </c>
      <c r="E26" s="23" t="s">
        <v>19</v>
      </c>
      <c r="F26" s="16"/>
      <c r="G26" s="16"/>
      <c r="H26" s="19" t="n">
        <f aca="false">LEN(IF(F26&lt;&gt;"",F26,D26))</f>
        <v>15</v>
      </c>
      <c r="I26" s="24" t="str">
        <f aca="false">IF(OR(H26&lt;6,H26&gt;260),"분량 확인","")</f>
        <v/>
      </c>
    </row>
    <row r="27" customFormat="false" ht="75.75" hidden="false" customHeight="true" outlineLevel="0" collapsed="false">
      <c r="A27" s="13" t="s">
        <v>618</v>
      </c>
      <c r="B27" s="14" t="s">
        <v>616</v>
      </c>
      <c r="C27" s="15" t="s">
        <v>562</v>
      </c>
      <c r="D27" s="15" t="s">
        <v>619</v>
      </c>
      <c r="E27" s="23" t="s">
        <v>19</v>
      </c>
      <c r="F27" s="16"/>
      <c r="G27" s="16"/>
      <c r="H27" s="19" t="n">
        <f aca="false">LEN(IF(F27&lt;&gt;"",F27,D27))</f>
        <v>126</v>
      </c>
      <c r="I27" s="24" t="str">
        <f aca="false">IF(OR(H27&lt;6,H27&gt;260),"분량 확인","")</f>
        <v/>
      </c>
    </row>
    <row r="28" customFormat="false" ht="48" hidden="false" customHeight="true" outlineLevel="0" collapsed="false">
      <c r="A28" s="13" t="s">
        <v>620</v>
      </c>
      <c r="B28" s="14" t="s">
        <v>616</v>
      </c>
      <c r="C28" s="15" t="s">
        <v>565</v>
      </c>
      <c r="D28" s="15" t="s">
        <v>621</v>
      </c>
      <c r="E28" s="23" t="s">
        <v>19</v>
      </c>
      <c r="F28" s="16"/>
      <c r="G28" s="16"/>
      <c r="H28" s="19" t="n">
        <f aca="false">LEN(IF(F28&lt;&gt;"",F28,D28))</f>
        <v>80</v>
      </c>
      <c r="I28" s="24" t="str">
        <f aca="false">IF(OR(H28&lt;6,H28&gt;260),"분량 확인","")</f>
        <v/>
      </c>
    </row>
    <row r="29" customFormat="false" ht="33.75" hidden="false" customHeight="true" outlineLevel="0" collapsed="false">
      <c r="A29" s="13" t="s">
        <v>622</v>
      </c>
      <c r="B29" s="14" t="s">
        <v>616</v>
      </c>
      <c r="C29" s="15" t="s">
        <v>568</v>
      </c>
      <c r="D29" s="15" t="s">
        <v>623</v>
      </c>
      <c r="E29" s="23" t="s">
        <v>19</v>
      </c>
      <c r="F29" s="16"/>
      <c r="G29" s="16"/>
      <c r="H29" s="19" t="n">
        <f aca="false">LEN(IF(F29&lt;&gt;"",F29,D29))</f>
        <v>18</v>
      </c>
      <c r="I29" s="24" t="str">
        <f aca="false">IF(OR(H29&lt;6,H29&gt;260),"분량 확인","")</f>
        <v/>
      </c>
    </row>
    <row r="30" customFormat="false" ht="75.75" hidden="false" customHeight="true" outlineLevel="0" collapsed="false">
      <c r="A30" s="13" t="s">
        <v>624</v>
      </c>
      <c r="B30" s="14" t="s">
        <v>616</v>
      </c>
      <c r="C30" s="15" t="s">
        <v>571</v>
      </c>
      <c r="D30" s="15" t="s">
        <v>625</v>
      </c>
      <c r="E30" s="23" t="s">
        <v>19</v>
      </c>
      <c r="F30" s="16"/>
      <c r="G30" s="16"/>
      <c r="H30" s="19" t="n">
        <f aca="false">LEN(IF(F30&lt;&gt;"",F30,D30))</f>
        <v>132</v>
      </c>
      <c r="I30" s="24" t="str">
        <f aca="false">IF(OR(H30&lt;6,H30&gt;260),"분량 확인","")</f>
        <v/>
      </c>
    </row>
    <row r="31" customFormat="false" ht="48" hidden="false" customHeight="true" outlineLevel="0" collapsed="false">
      <c r="A31" s="13" t="s">
        <v>626</v>
      </c>
      <c r="B31" s="14" t="s">
        <v>616</v>
      </c>
      <c r="C31" s="15" t="s">
        <v>574</v>
      </c>
      <c r="D31" s="15" t="s">
        <v>627</v>
      </c>
      <c r="E31" s="23" t="s">
        <v>19</v>
      </c>
      <c r="F31" s="16"/>
      <c r="G31" s="16"/>
      <c r="H31" s="19" t="n">
        <f aca="false">LEN(IF(F31&lt;&gt;"",F31,D31))</f>
        <v>74</v>
      </c>
      <c r="I31" s="24" t="str">
        <f aca="false">IF(OR(H31&lt;6,H31&gt;260),"분량 확인","")</f>
        <v/>
      </c>
    </row>
    <row r="32" customFormat="false" ht="33.75" hidden="false" customHeight="true" outlineLevel="0" collapsed="false">
      <c r="A32" s="13" t="s">
        <v>628</v>
      </c>
      <c r="B32" s="14" t="s">
        <v>629</v>
      </c>
      <c r="C32" s="15" t="s">
        <v>559</v>
      </c>
      <c r="D32" s="15" t="s">
        <v>630</v>
      </c>
      <c r="E32" s="23" t="s">
        <v>19</v>
      </c>
      <c r="F32" s="16"/>
      <c r="G32" s="16"/>
      <c r="H32" s="19" t="n">
        <f aca="false">LEN(IF(F32&lt;&gt;"",F32,D32))</f>
        <v>16</v>
      </c>
      <c r="I32" s="24" t="str">
        <f aca="false">IF(OR(H32&lt;6,H32&gt;260),"분량 확인","")</f>
        <v/>
      </c>
    </row>
    <row r="33" customFormat="false" ht="75.75" hidden="false" customHeight="true" outlineLevel="0" collapsed="false">
      <c r="A33" s="13" t="s">
        <v>631</v>
      </c>
      <c r="B33" s="14" t="s">
        <v>629</v>
      </c>
      <c r="C33" s="15" t="s">
        <v>562</v>
      </c>
      <c r="D33" s="15" t="s">
        <v>632</v>
      </c>
      <c r="E33" s="23" t="s">
        <v>19</v>
      </c>
      <c r="F33" s="16"/>
      <c r="G33" s="16"/>
      <c r="H33" s="19" t="n">
        <f aca="false">LEN(IF(F33&lt;&gt;"",F33,D33))</f>
        <v>135</v>
      </c>
      <c r="I33" s="24" t="str">
        <f aca="false">IF(OR(H33&lt;6,H33&gt;260),"분량 확인","")</f>
        <v/>
      </c>
    </row>
    <row r="34" customFormat="false" ht="61.5" hidden="false" customHeight="true" outlineLevel="0" collapsed="false">
      <c r="A34" s="13" t="s">
        <v>633</v>
      </c>
      <c r="B34" s="14" t="s">
        <v>629</v>
      </c>
      <c r="C34" s="15" t="s">
        <v>565</v>
      </c>
      <c r="D34" s="15" t="s">
        <v>634</v>
      </c>
      <c r="E34" s="23" t="s">
        <v>19</v>
      </c>
      <c r="F34" s="16"/>
      <c r="G34" s="16"/>
      <c r="H34" s="19" t="n">
        <f aca="false">LEN(IF(F34&lt;&gt;"",F34,D34))</f>
        <v>88</v>
      </c>
      <c r="I34" s="24" t="str">
        <f aca="false">IF(OR(H34&lt;6,H34&gt;260),"분량 확인","")</f>
        <v/>
      </c>
    </row>
    <row r="35" customFormat="false" ht="33.75" hidden="false" customHeight="true" outlineLevel="0" collapsed="false">
      <c r="A35" s="13" t="s">
        <v>635</v>
      </c>
      <c r="B35" s="14" t="s">
        <v>629</v>
      </c>
      <c r="C35" s="15" t="s">
        <v>568</v>
      </c>
      <c r="D35" s="15" t="s">
        <v>636</v>
      </c>
      <c r="E35" s="23" t="s">
        <v>19</v>
      </c>
      <c r="F35" s="16"/>
      <c r="G35" s="16"/>
      <c r="H35" s="19" t="n">
        <f aca="false">LEN(IF(F35&lt;&gt;"",F35,D35))</f>
        <v>25</v>
      </c>
      <c r="I35" s="24" t="str">
        <f aca="false">IF(OR(H35&lt;6,H35&gt;260),"분량 확인","")</f>
        <v/>
      </c>
    </row>
    <row r="36" customFormat="false" ht="75.75" hidden="false" customHeight="true" outlineLevel="0" collapsed="false">
      <c r="A36" s="13" t="s">
        <v>637</v>
      </c>
      <c r="B36" s="14" t="s">
        <v>629</v>
      </c>
      <c r="C36" s="15" t="s">
        <v>571</v>
      </c>
      <c r="D36" s="15" t="s">
        <v>638</v>
      </c>
      <c r="E36" s="23" t="s">
        <v>19</v>
      </c>
      <c r="F36" s="16"/>
      <c r="G36" s="16"/>
      <c r="H36" s="19" t="n">
        <f aca="false">LEN(IF(F36&lt;&gt;"",F36,D36))</f>
        <v>140</v>
      </c>
      <c r="I36" s="24" t="str">
        <f aca="false">IF(OR(H36&lt;6,H36&gt;260),"분량 확인","")</f>
        <v/>
      </c>
    </row>
    <row r="37" customFormat="false" ht="48" hidden="false" customHeight="true" outlineLevel="0" collapsed="false">
      <c r="A37" s="13" t="s">
        <v>639</v>
      </c>
      <c r="B37" s="14" t="s">
        <v>629</v>
      </c>
      <c r="C37" s="15" t="s">
        <v>574</v>
      </c>
      <c r="D37" s="15" t="s">
        <v>640</v>
      </c>
      <c r="E37" s="23" t="s">
        <v>19</v>
      </c>
      <c r="F37" s="16"/>
      <c r="G37" s="16"/>
      <c r="H37" s="19" t="n">
        <f aca="false">LEN(IF(F37&lt;&gt;"",F37,D37))</f>
        <v>74</v>
      </c>
      <c r="I37" s="24" t="str">
        <f aca="false">IF(OR(H37&lt;6,H37&gt;260),"분량 확인","")</f>
        <v/>
      </c>
    </row>
    <row r="38" customFormat="false" ht="33.75" hidden="false" customHeight="true" outlineLevel="0" collapsed="false">
      <c r="A38" s="13" t="s">
        <v>641</v>
      </c>
      <c r="B38" s="14" t="s">
        <v>642</v>
      </c>
      <c r="C38" s="15" t="s">
        <v>559</v>
      </c>
      <c r="D38" s="15" t="s">
        <v>643</v>
      </c>
      <c r="E38" s="23" t="s">
        <v>19</v>
      </c>
      <c r="F38" s="16"/>
      <c r="G38" s="16"/>
      <c r="H38" s="19" t="n">
        <f aca="false">LEN(IF(F38&lt;&gt;"",F38,D38))</f>
        <v>14</v>
      </c>
      <c r="I38" s="24" t="str">
        <f aca="false">IF(OR(H38&lt;6,H38&gt;260),"분량 확인","")</f>
        <v/>
      </c>
    </row>
    <row r="39" customFormat="false" ht="75.75" hidden="false" customHeight="true" outlineLevel="0" collapsed="false">
      <c r="A39" s="13" t="s">
        <v>644</v>
      </c>
      <c r="B39" s="14" t="s">
        <v>642</v>
      </c>
      <c r="C39" s="15" t="s">
        <v>562</v>
      </c>
      <c r="D39" s="15" t="s">
        <v>645</v>
      </c>
      <c r="E39" s="23" t="s">
        <v>19</v>
      </c>
      <c r="F39" s="16"/>
      <c r="G39" s="16"/>
      <c r="H39" s="19" t="n">
        <f aca="false">LEN(IF(F39&lt;&gt;"",F39,D39))</f>
        <v>139</v>
      </c>
      <c r="I39" s="24" t="str">
        <f aca="false">IF(OR(H39&lt;6,H39&gt;260),"분량 확인","")</f>
        <v/>
      </c>
    </row>
    <row r="40" customFormat="false" ht="61.5" hidden="false" customHeight="true" outlineLevel="0" collapsed="false">
      <c r="A40" s="13" t="s">
        <v>646</v>
      </c>
      <c r="B40" s="14" t="s">
        <v>642</v>
      </c>
      <c r="C40" s="15" t="s">
        <v>565</v>
      </c>
      <c r="D40" s="15" t="s">
        <v>647</v>
      </c>
      <c r="E40" s="23" t="s">
        <v>19</v>
      </c>
      <c r="F40" s="16"/>
      <c r="G40" s="16"/>
      <c r="H40" s="19" t="n">
        <f aca="false">LEN(IF(F40&lt;&gt;"",F40,D40))</f>
        <v>95</v>
      </c>
      <c r="I40" s="24" t="str">
        <f aca="false">IF(OR(H40&lt;6,H40&gt;260),"분량 확인","")</f>
        <v/>
      </c>
    </row>
    <row r="41" customFormat="false" ht="33.75" hidden="false" customHeight="true" outlineLevel="0" collapsed="false">
      <c r="A41" s="13" t="s">
        <v>648</v>
      </c>
      <c r="B41" s="14" t="s">
        <v>642</v>
      </c>
      <c r="C41" s="15" t="s">
        <v>568</v>
      </c>
      <c r="D41" s="15" t="s">
        <v>649</v>
      </c>
      <c r="E41" s="23" t="s">
        <v>19</v>
      </c>
      <c r="F41" s="16"/>
      <c r="G41" s="16"/>
      <c r="H41" s="19" t="n">
        <f aca="false">LEN(IF(F41&lt;&gt;"",F41,D41))</f>
        <v>25</v>
      </c>
      <c r="I41" s="24" t="str">
        <f aca="false">IF(OR(H41&lt;6,H41&gt;260),"분량 확인","")</f>
        <v/>
      </c>
    </row>
    <row r="42" customFormat="false" ht="75.75" hidden="false" customHeight="true" outlineLevel="0" collapsed="false">
      <c r="A42" s="13" t="s">
        <v>650</v>
      </c>
      <c r="B42" s="14" t="s">
        <v>642</v>
      </c>
      <c r="C42" s="15" t="s">
        <v>571</v>
      </c>
      <c r="D42" s="15" t="s">
        <v>651</v>
      </c>
      <c r="E42" s="23" t="s">
        <v>19</v>
      </c>
      <c r="F42" s="16"/>
      <c r="G42" s="16"/>
      <c r="H42" s="19" t="n">
        <f aca="false">LEN(IF(F42&lt;&gt;"",F42,D42))</f>
        <v>144</v>
      </c>
      <c r="I42" s="24" t="str">
        <f aca="false">IF(OR(H42&lt;6,H42&gt;260),"분량 확인","")</f>
        <v/>
      </c>
    </row>
    <row r="43" customFormat="false" ht="48" hidden="false" customHeight="true" outlineLevel="0" collapsed="false">
      <c r="A43" s="13" t="s">
        <v>652</v>
      </c>
      <c r="B43" s="14" t="s">
        <v>642</v>
      </c>
      <c r="C43" s="15" t="s">
        <v>574</v>
      </c>
      <c r="D43" s="15" t="s">
        <v>653</v>
      </c>
      <c r="E43" s="23" t="s">
        <v>19</v>
      </c>
      <c r="F43" s="16"/>
      <c r="G43" s="16"/>
      <c r="H43" s="19" t="n">
        <f aca="false">LEN(IF(F43&lt;&gt;"",F43,D43))</f>
        <v>85</v>
      </c>
      <c r="I43" s="24" t="str">
        <f aca="false">IF(OR(H43&lt;6,H43&gt;260),"분량 확인","")</f>
        <v/>
      </c>
    </row>
    <row r="44" customFormat="false" ht="33.75" hidden="false" customHeight="true" outlineLevel="0" collapsed="false">
      <c r="A44" s="13" t="s">
        <v>654</v>
      </c>
      <c r="B44" s="14" t="s">
        <v>655</v>
      </c>
      <c r="C44" s="15" t="s">
        <v>559</v>
      </c>
      <c r="D44" s="15" t="s">
        <v>656</v>
      </c>
      <c r="E44" s="23" t="s">
        <v>19</v>
      </c>
      <c r="F44" s="16"/>
      <c r="G44" s="16"/>
      <c r="H44" s="19" t="n">
        <f aca="false">LEN(IF(F44&lt;&gt;"",F44,D44))</f>
        <v>15</v>
      </c>
      <c r="I44" s="24" t="str">
        <f aca="false">IF(OR(H44&lt;6,H44&gt;260),"분량 확인","")</f>
        <v/>
      </c>
    </row>
    <row r="45" customFormat="false" ht="75.75" hidden="false" customHeight="true" outlineLevel="0" collapsed="false">
      <c r="A45" s="13" t="s">
        <v>657</v>
      </c>
      <c r="B45" s="14" t="s">
        <v>655</v>
      </c>
      <c r="C45" s="15" t="s">
        <v>562</v>
      </c>
      <c r="D45" s="15" t="s">
        <v>658</v>
      </c>
      <c r="E45" s="23" t="s">
        <v>19</v>
      </c>
      <c r="F45" s="16"/>
      <c r="G45" s="16"/>
      <c r="H45" s="19" t="n">
        <f aca="false">LEN(IF(F45&lt;&gt;"",F45,D45))</f>
        <v>134</v>
      </c>
      <c r="I45" s="24" t="str">
        <f aca="false">IF(OR(H45&lt;6,H45&gt;260),"분량 확인","")</f>
        <v/>
      </c>
    </row>
    <row r="46" customFormat="false" ht="48" hidden="false" customHeight="true" outlineLevel="0" collapsed="false">
      <c r="A46" s="13" t="s">
        <v>659</v>
      </c>
      <c r="B46" s="14" t="s">
        <v>655</v>
      </c>
      <c r="C46" s="15" t="s">
        <v>565</v>
      </c>
      <c r="D46" s="15" t="s">
        <v>660</v>
      </c>
      <c r="E46" s="23" t="s">
        <v>19</v>
      </c>
      <c r="F46" s="16"/>
      <c r="G46" s="16"/>
      <c r="H46" s="19" t="n">
        <f aca="false">LEN(IF(F46&lt;&gt;"",F46,D46))</f>
        <v>87</v>
      </c>
      <c r="I46" s="24" t="str">
        <f aca="false">IF(OR(H46&lt;6,H46&gt;260),"분량 확인","")</f>
        <v/>
      </c>
    </row>
    <row r="47" customFormat="false" ht="33.75" hidden="false" customHeight="true" outlineLevel="0" collapsed="false">
      <c r="A47" s="13" t="s">
        <v>661</v>
      </c>
      <c r="B47" s="14" t="s">
        <v>655</v>
      </c>
      <c r="C47" s="15" t="s">
        <v>568</v>
      </c>
      <c r="D47" s="15" t="s">
        <v>662</v>
      </c>
      <c r="E47" s="23" t="s">
        <v>19</v>
      </c>
      <c r="F47" s="16"/>
      <c r="G47" s="16"/>
      <c r="H47" s="19" t="n">
        <f aca="false">LEN(IF(F47&lt;&gt;"",F47,D47))</f>
        <v>21</v>
      </c>
      <c r="I47" s="24" t="str">
        <f aca="false">IF(OR(H47&lt;6,H47&gt;260),"분량 확인","")</f>
        <v/>
      </c>
    </row>
    <row r="48" customFormat="false" ht="75.75" hidden="false" customHeight="true" outlineLevel="0" collapsed="false">
      <c r="A48" s="13" t="s">
        <v>663</v>
      </c>
      <c r="B48" s="14" t="s">
        <v>655</v>
      </c>
      <c r="C48" s="15" t="s">
        <v>571</v>
      </c>
      <c r="D48" s="15" t="s">
        <v>664</v>
      </c>
      <c r="E48" s="23" t="s">
        <v>19</v>
      </c>
      <c r="F48" s="16"/>
      <c r="G48" s="16"/>
      <c r="H48" s="19" t="n">
        <f aca="false">LEN(IF(F48&lt;&gt;"",F48,D48))</f>
        <v>126</v>
      </c>
      <c r="I48" s="24" t="str">
        <f aca="false">IF(OR(H48&lt;6,H48&gt;260),"분량 확인","")</f>
        <v/>
      </c>
    </row>
    <row r="49" customFormat="false" ht="48" hidden="false" customHeight="true" outlineLevel="0" collapsed="false">
      <c r="A49" s="13" t="s">
        <v>665</v>
      </c>
      <c r="B49" s="14" t="s">
        <v>655</v>
      </c>
      <c r="C49" s="15" t="s">
        <v>574</v>
      </c>
      <c r="D49" s="15" t="s">
        <v>666</v>
      </c>
      <c r="E49" s="23" t="s">
        <v>19</v>
      </c>
      <c r="F49" s="16"/>
      <c r="G49" s="16"/>
      <c r="H49" s="19" t="n">
        <f aca="false">LEN(IF(F49&lt;&gt;"",F49,D49))</f>
        <v>84</v>
      </c>
      <c r="I49" s="24" t="str">
        <f aca="false">IF(OR(H49&lt;6,H49&gt;260),"분량 확인","")</f>
        <v/>
      </c>
    </row>
    <row r="50" customFormat="false" ht="33.75" hidden="false" customHeight="true" outlineLevel="0" collapsed="false">
      <c r="A50" s="13" t="s">
        <v>667</v>
      </c>
      <c r="B50" s="14" t="s">
        <v>668</v>
      </c>
      <c r="C50" s="15" t="s">
        <v>559</v>
      </c>
      <c r="D50" s="15" t="s">
        <v>669</v>
      </c>
      <c r="E50" s="23" t="s">
        <v>19</v>
      </c>
      <c r="F50" s="16"/>
      <c r="G50" s="16"/>
      <c r="H50" s="19" t="n">
        <f aca="false">LEN(IF(F50&lt;&gt;"",F50,D50))</f>
        <v>22</v>
      </c>
      <c r="I50" s="24" t="str">
        <f aca="false">IF(OR(H50&lt;6,H50&gt;260),"분량 확인","")</f>
        <v/>
      </c>
    </row>
    <row r="51" customFormat="false" ht="75.75" hidden="false" customHeight="true" outlineLevel="0" collapsed="false">
      <c r="A51" s="13" t="s">
        <v>670</v>
      </c>
      <c r="B51" s="14" t="s">
        <v>668</v>
      </c>
      <c r="C51" s="15" t="s">
        <v>562</v>
      </c>
      <c r="D51" s="15" t="s">
        <v>671</v>
      </c>
      <c r="E51" s="23" t="s">
        <v>19</v>
      </c>
      <c r="F51" s="16"/>
      <c r="G51" s="16"/>
      <c r="H51" s="19" t="n">
        <f aca="false">LEN(IF(F51&lt;&gt;"",F51,D51))</f>
        <v>140</v>
      </c>
      <c r="I51" s="24" t="str">
        <f aca="false">IF(OR(H51&lt;6,H51&gt;260),"분량 확인","")</f>
        <v/>
      </c>
    </row>
    <row r="52" customFormat="false" ht="48" hidden="false" customHeight="true" outlineLevel="0" collapsed="false">
      <c r="A52" s="13" t="s">
        <v>672</v>
      </c>
      <c r="B52" s="14" t="s">
        <v>668</v>
      </c>
      <c r="C52" s="15" t="s">
        <v>565</v>
      </c>
      <c r="D52" s="15" t="s">
        <v>673</v>
      </c>
      <c r="E52" s="23" t="s">
        <v>19</v>
      </c>
      <c r="F52" s="16"/>
      <c r="G52" s="16"/>
      <c r="H52" s="19" t="n">
        <f aca="false">LEN(IF(F52&lt;&gt;"",F52,D52))</f>
        <v>83</v>
      </c>
      <c r="I52" s="24" t="str">
        <f aca="false">IF(OR(H52&lt;6,H52&gt;260),"분량 확인","")</f>
        <v/>
      </c>
    </row>
    <row r="53" customFormat="false" ht="33.75" hidden="false" customHeight="true" outlineLevel="0" collapsed="false">
      <c r="A53" s="13" t="s">
        <v>674</v>
      </c>
      <c r="B53" s="14" t="s">
        <v>668</v>
      </c>
      <c r="C53" s="15" t="s">
        <v>568</v>
      </c>
      <c r="D53" s="15" t="s">
        <v>675</v>
      </c>
      <c r="E53" s="23" t="s">
        <v>19</v>
      </c>
      <c r="F53" s="16"/>
      <c r="G53" s="16"/>
      <c r="H53" s="19" t="n">
        <f aca="false">LEN(IF(F53&lt;&gt;"",F53,D53))</f>
        <v>22</v>
      </c>
      <c r="I53" s="24" t="str">
        <f aca="false">IF(OR(H53&lt;6,H53&gt;260),"분량 확인","")</f>
        <v/>
      </c>
    </row>
    <row r="54" customFormat="false" ht="75.75" hidden="false" customHeight="true" outlineLevel="0" collapsed="false">
      <c r="A54" s="13" t="s">
        <v>676</v>
      </c>
      <c r="B54" s="14" t="s">
        <v>668</v>
      </c>
      <c r="C54" s="15" t="s">
        <v>571</v>
      </c>
      <c r="D54" s="15" t="s">
        <v>677</v>
      </c>
      <c r="E54" s="23" t="s">
        <v>19</v>
      </c>
      <c r="F54" s="16"/>
      <c r="G54" s="16"/>
      <c r="H54" s="19" t="n">
        <f aca="false">LEN(IF(F54&lt;&gt;"",F54,D54))</f>
        <v>140</v>
      </c>
      <c r="I54" s="24" t="str">
        <f aca="false">IF(OR(H54&lt;6,H54&gt;260),"분량 확인","")</f>
        <v/>
      </c>
    </row>
    <row r="55" customFormat="false" ht="48" hidden="false" customHeight="true" outlineLevel="0" collapsed="false">
      <c r="A55" s="13" t="s">
        <v>678</v>
      </c>
      <c r="B55" s="14" t="s">
        <v>668</v>
      </c>
      <c r="C55" s="15" t="s">
        <v>574</v>
      </c>
      <c r="D55" s="15" t="s">
        <v>679</v>
      </c>
      <c r="E55" s="23" t="s">
        <v>19</v>
      </c>
      <c r="F55" s="16"/>
      <c r="G55" s="16"/>
      <c r="H55" s="19" t="n">
        <f aca="false">LEN(IF(F55&lt;&gt;"",F55,D55))</f>
        <v>71</v>
      </c>
      <c r="I55" s="24" t="str">
        <f aca="false">IF(OR(H55&lt;6,H55&gt;260),"분량 확인","")</f>
        <v/>
      </c>
    </row>
    <row r="56" customFormat="false" ht="33.75" hidden="false" customHeight="true" outlineLevel="0" collapsed="false">
      <c r="A56" s="13" t="s">
        <v>680</v>
      </c>
      <c r="B56" s="14" t="s">
        <v>681</v>
      </c>
      <c r="C56" s="15" t="s">
        <v>559</v>
      </c>
      <c r="D56" s="15" t="s">
        <v>682</v>
      </c>
      <c r="E56" s="23" t="s">
        <v>19</v>
      </c>
      <c r="F56" s="16"/>
      <c r="G56" s="16"/>
      <c r="H56" s="19" t="n">
        <f aca="false">LEN(IF(F56&lt;&gt;"",F56,D56))</f>
        <v>22</v>
      </c>
      <c r="I56" s="24" t="str">
        <f aca="false">IF(OR(H56&lt;6,H56&gt;260),"분량 확인","")</f>
        <v/>
      </c>
    </row>
    <row r="57" customFormat="false" ht="75.75" hidden="false" customHeight="true" outlineLevel="0" collapsed="false">
      <c r="A57" s="13" t="s">
        <v>683</v>
      </c>
      <c r="B57" s="14" t="s">
        <v>681</v>
      </c>
      <c r="C57" s="15" t="s">
        <v>562</v>
      </c>
      <c r="D57" s="15" t="s">
        <v>684</v>
      </c>
      <c r="E57" s="23" t="s">
        <v>19</v>
      </c>
      <c r="F57" s="16"/>
      <c r="G57" s="16"/>
      <c r="H57" s="19" t="n">
        <f aca="false">LEN(IF(F57&lt;&gt;"",F57,D57))</f>
        <v>119</v>
      </c>
      <c r="I57" s="24" t="str">
        <f aca="false">IF(OR(H57&lt;6,H57&gt;260),"분량 확인","")</f>
        <v/>
      </c>
    </row>
    <row r="58" customFormat="false" ht="48" hidden="false" customHeight="true" outlineLevel="0" collapsed="false">
      <c r="A58" s="13" t="s">
        <v>685</v>
      </c>
      <c r="B58" s="14" t="s">
        <v>681</v>
      </c>
      <c r="C58" s="15" t="s">
        <v>565</v>
      </c>
      <c r="D58" s="15" t="s">
        <v>686</v>
      </c>
      <c r="E58" s="23" t="s">
        <v>19</v>
      </c>
      <c r="F58" s="16"/>
      <c r="G58" s="16"/>
      <c r="H58" s="19" t="n">
        <f aca="false">LEN(IF(F58&lt;&gt;"",F58,D58))</f>
        <v>84</v>
      </c>
      <c r="I58" s="24" t="str">
        <f aca="false">IF(OR(H58&lt;6,H58&gt;260),"분량 확인","")</f>
        <v/>
      </c>
    </row>
    <row r="59" customFormat="false" ht="33.75" hidden="false" customHeight="true" outlineLevel="0" collapsed="false">
      <c r="A59" s="13" t="s">
        <v>687</v>
      </c>
      <c r="B59" s="14" t="s">
        <v>681</v>
      </c>
      <c r="C59" s="15" t="s">
        <v>568</v>
      </c>
      <c r="D59" s="15" t="s">
        <v>688</v>
      </c>
      <c r="E59" s="23" t="s">
        <v>19</v>
      </c>
      <c r="F59" s="16"/>
      <c r="G59" s="16"/>
      <c r="H59" s="19" t="n">
        <f aca="false">LEN(IF(F59&lt;&gt;"",F59,D59))</f>
        <v>19</v>
      </c>
      <c r="I59" s="24" t="str">
        <f aca="false">IF(OR(H59&lt;6,H59&gt;260),"분량 확인","")</f>
        <v/>
      </c>
    </row>
    <row r="60" customFormat="false" ht="75.75" hidden="false" customHeight="true" outlineLevel="0" collapsed="false">
      <c r="A60" s="13" t="s">
        <v>689</v>
      </c>
      <c r="B60" s="14" t="s">
        <v>681</v>
      </c>
      <c r="C60" s="15" t="s">
        <v>571</v>
      </c>
      <c r="D60" s="15" t="s">
        <v>690</v>
      </c>
      <c r="E60" s="23" t="s">
        <v>19</v>
      </c>
      <c r="F60" s="16"/>
      <c r="G60" s="16"/>
      <c r="H60" s="19" t="n">
        <f aca="false">LEN(IF(F60&lt;&gt;"",F60,D60))</f>
        <v>137</v>
      </c>
      <c r="I60" s="24" t="str">
        <f aca="false">IF(OR(H60&lt;6,H60&gt;260),"분량 확인","")</f>
        <v/>
      </c>
    </row>
    <row r="61" customFormat="false" ht="48" hidden="false" customHeight="true" outlineLevel="0" collapsed="false">
      <c r="A61" s="13" t="s">
        <v>691</v>
      </c>
      <c r="B61" s="14" t="s">
        <v>681</v>
      </c>
      <c r="C61" s="15" t="s">
        <v>574</v>
      </c>
      <c r="D61" s="15" t="s">
        <v>692</v>
      </c>
      <c r="E61" s="23" t="s">
        <v>19</v>
      </c>
      <c r="F61" s="16"/>
      <c r="G61" s="16"/>
      <c r="H61" s="19" t="n">
        <f aca="false">LEN(IF(F61&lt;&gt;"",F61,D61))</f>
        <v>80</v>
      </c>
      <c r="I61" s="24" t="str">
        <f aca="false">IF(OR(H61&lt;6,H61&gt;260),"분량 확인","")</f>
        <v/>
      </c>
    </row>
    <row r="62" customFormat="false" ht="33.75" hidden="false" customHeight="true" outlineLevel="0" collapsed="false">
      <c r="A62" s="13" t="s">
        <v>693</v>
      </c>
      <c r="B62" s="14" t="s">
        <v>694</v>
      </c>
      <c r="C62" s="15" t="s">
        <v>559</v>
      </c>
      <c r="D62" s="15" t="s">
        <v>695</v>
      </c>
      <c r="E62" s="23" t="s">
        <v>19</v>
      </c>
      <c r="F62" s="16"/>
      <c r="G62" s="16"/>
      <c r="H62" s="19" t="n">
        <f aca="false">LEN(IF(F62&lt;&gt;"",F62,D62))</f>
        <v>15</v>
      </c>
      <c r="I62" s="24" t="str">
        <f aca="false">IF(OR(H62&lt;6,H62&gt;260),"분량 확인","")</f>
        <v/>
      </c>
    </row>
    <row r="63" customFormat="false" ht="75.75" hidden="false" customHeight="true" outlineLevel="0" collapsed="false">
      <c r="A63" s="13" t="s">
        <v>696</v>
      </c>
      <c r="B63" s="14" t="s">
        <v>694</v>
      </c>
      <c r="C63" s="15" t="s">
        <v>562</v>
      </c>
      <c r="D63" s="15" t="s">
        <v>697</v>
      </c>
      <c r="E63" s="23" t="s">
        <v>19</v>
      </c>
      <c r="F63" s="16"/>
      <c r="G63" s="16"/>
      <c r="H63" s="19" t="n">
        <f aca="false">LEN(IF(F63&lt;&gt;"",F63,D63))</f>
        <v>132</v>
      </c>
      <c r="I63" s="24" t="str">
        <f aca="false">IF(OR(H63&lt;6,H63&gt;260),"분량 확인","")</f>
        <v/>
      </c>
    </row>
    <row r="64" customFormat="false" ht="61.5" hidden="false" customHeight="true" outlineLevel="0" collapsed="false">
      <c r="A64" s="13" t="s">
        <v>698</v>
      </c>
      <c r="B64" s="14" t="s">
        <v>694</v>
      </c>
      <c r="C64" s="15" t="s">
        <v>565</v>
      </c>
      <c r="D64" s="15" t="s">
        <v>699</v>
      </c>
      <c r="E64" s="23" t="s">
        <v>19</v>
      </c>
      <c r="F64" s="16"/>
      <c r="G64" s="16"/>
      <c r="H64" s="19" t="n">
        <f aca="false">LEN(IF(F64&lt;&gt;"",F64,D64))</f>
        <v>94</v>
      </c>
      <c r="I64" s="24" t="str">
        <f aca="false">IF(OR(H64&lt;6,H64&gt;260),"분량 확인","")</f>
        <v/>
      </c>
    </row>
    <row r="65" customFormat="false" ht="33.75" hidden="false" customHeight="true" outlineLevel="0" collapsed="false">
      <c r="A65" s="13" t="s">
        <v>700</v>
      </c>
      <c r="B65" s="14" t="s">
        <v>694</v>
      </c>
      <c r="C65" s="15" t="s">
        <v>568</v>
      </c>
      <c r="D65" s="15" t="s">
        <v>701</v>
      </c>
      <c r="E65" s="23" t="s">
        <v>19</v>
      </c>
      <c r="F65" s="16"/>
      <c r="G65" s="16"/>
      <c r="H65" s="19" t="n">
        <f aca="false">LEN(IF(F65&lt;&gt;"",F65,D65))</f>
        <v>19</v>
      </c>
      <c r="I65" s="24" t="str">
        <f aca="false">IF(OR(H65&lt;6,H65&gt;260),"분량 확인","")</f>
        <v/>
      </c>
    </row>
    <row r="66" customFormat="false" ht="75.75" hidden="false" customHeight="true" outlineLevel="0" collapsed="false">
      <c r="A66" s="13" t="s">
        <v>702</v>
      </c>
      <c r="B66" s="14" t="s">
        <v>694</v>
      </c>
      <c r="C66" s="15" t="s">
        <v>571</v>
      </c>
      <c r="D66" s="15" t="s">
        <v>703</v>
      </c>
      <c r="E66" s="23" t="s">
        <v>19</v>
      </c>
      <c r="F66" s="16"/>
      <c r="G66" s="16"/>
      <c r="H66" s="19" t="n">
        <f aca="false">LEN(IF(F66&lt;&gt;"",F66,D66))</f>
        <v>138</v>
      </c>
      <c r="I66" s="24" t="str">
        <f aca="false">IF(OR(H66&lt;6,H66&gt;260),"분량 확인","")</f>
        <v/>
      </c>
    </row>
    <row r="67" customFormat="false" ht="48" hidden="false" customHeight="true" outlineLevel="0" collapsed="false">
      <c r="A67" s="13" t="s">
        <v>704</v>
      </c>
      <c r="B67" s="14" t="s">
        <v>694</v>
      </c>
      <c r="C67" s="15" t="s">
        <v>574</v>
      </c>
      <c r="D67" s="15" t="s">
        <v>705</v>
      </c>
      <c r="E67" s="23" t="s">
        <v>19</v>
      </c>
      <c r="F67" s="16"/>
      <c r="G67" s="16"/>
      <c r="H67" s="19" t="n">
        <f aca="false">LEN(IF(F67&lt;&gt;"",F67,D67))</f>
        <v>73</v>
      </c>
      <c r="I67" s="24" t="str">
        <f aca="false">IF(OR(H67&lt;6,H67&gt;260),"분량 확인","")</f>
        <v/>
      </c>
    </row>
    <row r="68" customFormat="false" ht="33.75" hidden="false" customHeight="true" outlineLevel="0" collapsed="false">
      <c r="A68" s="13" t="s">
        <v>706</v>
      </c>
      <c r="B68" s="14" t="s">
        <v>707</v>
      </c>
      <c r="C68" s="15" t="s">
        <v>559</v>
      </c>
      <c r="D68" s="15" t="s">
        <v>708</v>
      </c>
      <c r="E68" s="23" t="s">
        <v>19</v>
      </c>
      <c r="F68" s="16"/>
      <c r="G68" s="16"/>
      <c r="H68" s="19" t="n">
        <f aca="false">LEN(IF(F68&lt;&gt;"",F68,D68))</f>
        <v>14</v>
      </c>
      <c r="I68" s="24" t="str">
        <f aca="false">IF(OR(H68&lt;6,H68&gt;260),"분량 확인","")</f>
        <v/>
      </c>
    </row>
    <row r="69" customFormat="false" ht="75.75" hidden="false" customHeight="true" outlineLevel="0" collapsed="false">
      <c r="A69" s="13" t="s">
        <v>709</v>
      </c>
      <c r="B69" s="14" t="s">
        <v>707</v>
      </c>
      <c r="C69" s="15" t="s">
        <v>562</v>
      </c>
      <c r="D69" s="15" t="s">
        <v>710</v>
      </c>
      <c r="E69" s="23" t="s">
        <v>19</v>
      </c>
      <c r="F69" s="16"/>
      <c r="G69" s="16"/>
      <c r="H69" s="19" t="n">
        <f aca="false">LEN(IF(F69&lt;&gt;"",F69,D69))</f>
        <v>119</v>
      </c>
      <c r="I69" s="24" t="str">
        <f aca="false">IF(OR(H69&lt;6,H69&gt;260),"분량 확인","")</f>
        <v/>
      </c>
    </row>
    <row r="70" customFormat="false" ht="61.5" hidden="false" customHeight="true" outlineLevel="0" collapsed="false">
      <c r="A70" s="13" t="s">
        <v>711</v>
      </c>
      <c r="B70" s="14" t="s">
        <v>707</v>
      </c>
      <c r="C70" s="15" t="s">
        <v>565</v>
      </c>
      <c r="D70" s="15" t="s">
        <v>712</v>
      </c>
      <c r="E70" s="23" t="s">
        <v>19</v>
      </c>
      <c r="F70" s="16"/>
      <c r="G70" s="16"/>
      <c r="H70" s="19" t="n">
        <f aca="false">LEN(IF(F70&lt;&gt;"",F70,D70))</f>
        <v>88</v>
      </c>
      <c r="I70" s="24" t="str">
        <f aca="false">IF(OR(H70&lt;6,H70&gt;260),"분량 확인","")</f>
        <v/>
      </c>
    </row>
    <row r="71" customFormat="false" ht="33.75" hidden="false" customHeight="true" outlineLevel="0" collapsed="false">
      <c r="A71" s="13" t="s">
        <v>713</v>
      </c>
      <c r="B71" s="14" t="s">
        <v>707</v>
      </c>
      <c r="C71" s="15" t="s">
        <v>568</v>
      </c>
      <c r="D71" s="15" t="s">
        <v>714</v>
      </c>
      <c r="E71" s="23" t="s">
        <v>19</v>
      </c>
      <c r="F71" s="16"/>
      <c r="G71" s="16"/>
      <c r="H71" s="19" t="n">
        <f aca="false">LEN(IF(F71&lt;&gt;"",F71,D71))</f>
        <v>23</v>
      </c>
      <c r="I71" s="24" t="str">
        <f aca="false">IF(OR(H71&lt;6,H71&gt;260),"분량 확인","")</f>
        <v/>
      </c>
    </row>
    <row r="72" customFormat="false" ht="75.75" hidden="false" customHeight="true" outlineLevel="0" collapsed="false">
      <c r="A72" s="13" t="s">
        <v>715</v>
      </c>
      <c r="B72" s="14" t="s">
        <v>707</v>
      </c>
      <c r="C72" s="15" t="s">
        <v>571</v>
      </c>
      <c r="D72" s="15" t="s">
        <v>716</v>
      </c>
      <c r="E72" s="23" t="s">
        <v>19</v>
      </c>
      <c r="F72" s="16"/>
      <c r="G72" s="16"/>
      <c r="H72" s="19" t="n">
        <f aca="false">LEN(IF(F72&lt;&gt;"",F72,D72))</f>
        <v>137</v>
      </c>
      <c r="I72" s="24" t="str">
        <f aca="false">IF(OR(H72&lt;6,H72&gt;260),"분량 확인","")</f>
        <v/>
      </c>
    </row>
    <row r="73" customFormat="false" ht="48" hidden="false" customHeight="true" outlineLevel="0" collapsed="false">
      <c r="A73" s="13" t="s">
        <v>717</v>
      </c>
      <c r="B73" s="14" t="s">
        <v>707</v>
      </c>
      <c r="C73" s="15" t="s">
        <v>574</v>
      </c>
      <c r="D73" s="15" t="s">
        <v>718</v>
      </c>
      <c r="E73" s="23" t="s">
        <v>19</v>
      </c>
      <c r="F73" s="16"/>
      <c r="G73" s="16"/>
      <c r="H73" s="19" t="n">
        <f aca="false">LEN(IF(F73&lt;&gt;"",F73,D73))</f>
        <v>83</v>
      </c>
      <c r="I73" s="24" t="str">
        <f aca="false">IF(OR(H73&lt;6,H73&gt;260),"분량 확인","")</f>
        <v/>
      </c>
    </row>
    <row r="74" customFormat="false" ht="33.75" hidden="false" customHeight="true" outlineLevel="0" collapsed="false">
      <c r="A74" s="13" t="s">
        <v>719</v>
      </c>
      <c r="B74" s="14" t="s">
        <v>32</v>
      </c>
      <c r="C74" s="15" t="s">
        <v>559</v>
      </c>
      <c r="D74" s="15" t="s">
        <v>720</v>
      </c>
      <c r="E74" s="23" t="s">
        <v>19</v>
      </c>
      <c r="F74" s="16"/>
      <c r="G74" s="16"/>
      <c r="H74" s="19" t="n">
        <f aca="false">LEN(IF(F74&lt;&gt;"",F74,D74))</f>
        <v>17</v>
      </c>
      <c r="I74" s="24" t="str">
        <f aca="false">IF(OR(H74&lt;6,H74&gt;260),"분량 확인","")</f>
        <v/>
      </c>
    </row>
    <row r="75" customFormat="false" ht="75.75" hidden="false" customHeight="true" outlineLevel="0" collapsed="false">
      <c r="A75" s="13" t="s">
        <v>721</v>
      </c>
      <c r="B75" s="14" t="s">
        <v>32</v>
      </c>
      <c r="C75" s="15" t="s">
        <v>562</v>
      </c>
      <c r="D75" s="15" t="s">
        <v>722</v>
      </c>
      <c r="E75" s="23" t="s">
        <v>19</v>
      </c>
      <c r="F75" s="16"/>
      <c r="G75" s="16"/>
      <c r="H75" s="19" t="n">
        <f aca="false">LEN(IF(F75&lt;&gt;"",F75,D75))</f>
        <v>131</v>
      </c>
      <c r="I75" s="24" t="str">
        <f aca="false">IF(OR(H75&lt;6,H75&gt;260),"분량 확인","")</f>
        <v/>
      </c>
    </row>
    <row r="76" customFormat="false" ht="61.5" hidden="false" customHeight="true" outlineLevel="0" collapsed="false">
      <c r="A76" s="13" t="s">
        <v>723</v>
      </c>
      <c r="B76" s="14" t="s">
        <v>32</v>
      </c>
      <c r="C76" s="15" t="s">
        <v>565</v>
      </c>
      <c r="D76" s="15" t="s">
        <v>724</v>
      </c>
      <c r="E76" s="23" t="s">
        <v>19</v>
      </c>
      <c r="F76" s="16"/>
      <c r="G76" s="16"/>
      <c r="H76" s="19" t="n">
        <f aca="false">LEN(IF(F76&lt;&gt;"",F76,D76))</f>
        <v>95</v>
      </c>
      <c r="I76" s="24" t="str">
        <f aca="false">IF(OR(H76&lt;6,H76&gt;260),"분량 확인","")</f>
        <v/>
      </c>
    </row>
    <row r="77" customFormat="false" ht="33.75" hidden="false" customHeight="true" outlineLevel="0" collapsed="false">
      <c r="A77" s="13" t="s">
        <v>725</v>
      </c>
      <c r="B77" s="14" t="s">
        <v>32</v>
      </c>
      <c r="C77" s="15" t="s">
        <v>568</v>
      </c>
      <c r="D77" s="15" t="s">
        <v>726</v>
      </c>
      <c r="E77" s="23" t="s">
        <v>19</v>
      </c>
      <c r="F77" s="16"/>
      <c r="G77" s="16"/>
      <c r="H77" s="19" t="n">
        <f aca="false">LEN(IF(F77&lt;&gt;"",F77,D77))</f>
        <v>24</v>
      </c>
      <c r="I77" s="24" t="str">
        <f aca="false">IF(OR(H77&lt;6,H77&gt;260),"분량 확인","")</f>
        <v/>
      </c>
    </row>
    <row r="78" customFormat="false" ht="75.75" hidden="false" customHeight="true" outlineLevel="0" collapsed="false">
      <c r="A78" s="13" t="s">
        <v>727</v>
      </c>
      <c r="B78" s="14" t="s">
        <v>32</v>
      </c>
      <c r="C78" s="15" t="s">
        <v>571</v>
      </c>
      <c r="D78" s="15" t="s">
        <v>728</v>
      </c>
      <c r="E78" s="23" t="s">
        <v>19</v>
      </c>
      <c r="F78" s="16"/>
      <c r="G78" s="16"/>
      <c r="H78" s="19" t="n">
        <f aca="false">LEN(IF(F78&lt;&gt;"",F78,D78))</f>
        <v>133</v>
      </c>
      <c r="I78" s="24" t="str">
        <f aca="false">IF(OR(H78&lt;6,H78&gt;260),"분량 확인","")</f>
        <v/>
      </c>
    </row>
    <row r="79" customFormat="false" ht="48" hidden="false" customHeight="true" outlineLevel="0" collapsed="false">
      <c r="A79" s="13" t="s">
        <v>729</v>
      </c>
      <c r="B79" s="14" t="s">
        <v>32</v>
      </c>
      <c r="C79" s="15" t="s">
        <v>574</v>
      </c>
      <c r="D79" s="15" t="s">
        <v>730</v>
      </c>
      <c r="E79" s="23" t="s">
        <v>19</v>
      </c>
      <c r="F79" s="16"/>
      <c r="G79" s="16"/>
      <c r="H79" s="19" t="n">
        <f aca="false">LEN(IF(F79&lt;&gt;"",F79,D79))</f>
        <v>77</v>
      </c>
      <c r="I79" s="24" t="str">
        <f aca="false">IF(OR(H79&lt;6,H79&gt;260),"분량 확인","")</f>
        <v/>
      </c>
    </row>
    <row r="80" customFormat="false" ht="33.75" hidden="false" customHeight="true" outlineLevel="0" collapsed="false">
      <c r="A80" s="13" t="s">
        <v>731</v>
      </c>
      <c r="B80" s="14" t="s">
        <v>732</v>
      </c>
      <c r="C80" s="15" t="s">
        <v>559</v>
      </c>
      <c r="D80" s="15" t="s">
        <v>733</v>
      </c>
      <c r="E80" s="23" t="s">
        <v>19</v>
      </c>
      <c r="F80" s="16"/>
      <c r="G80" s="16"/>
      <c r="H80" s="19" t="n">
        <f aca="false">LEN(IF(F80&lt;&gt;"",F80,D80))</f>
        <v>19</v>
      </c>
      <c r="I80" s="24" t="str">
        <f aca="false">IF(OR(H80&lt;6,H80&gt;260),"분량 확인","")</f>
        <v/>
      </c>
    </row>
    <row r="81" customFormat="false" ht="75.75" hidden="false" customHeight="true" outlineLevel="0" collapsed="false">
      <c r="A81" s="13" t="s">
        <v>734</v>
      </c>
      <c r="B81" s="14" t="s">
        <v>732</v>
      </c>
      <c r="C81" s="15" t="s">
        <v>562</v>
      </c>
      <c r="D81" s="15" t="s">
        <v>735</v>
      </c>
      <c r="E81" s="23" t="s">
        <v>19</v>
      </c>
      <c r="F81" s="16"/>
      <c r="G81" s="16"/>
      <c r="H81" s="19" t="n">
        <f aca="false">LEN(IF(F81&lt;&gt;"",F81,D81))</f>
        <v>136</v>
      </c>
      <c r="I81" s="24" t="str">
        <f aca="false">IF(OR(H81&lt;6,H81&gt;260),"분량 확인","")</f>
        <v/>
      </c>
    </row>
    <row r="82" customFormat="false" ht="48" hidden="false" customHeight="true" outlineLevel="0" collapsed="false">
      <c r="A82" s="13" t="s">
        <v>736</v>
      </c>
      <c r="B82" s="14" t="s">
        <v>732</v>
      </c>
      <c r="C82" s="15" t="s">
        <v>565</v>
      </c>
      <c r="D82" s="15" t="s">
        <v>737</v>
      </c>
      <c r="E82" s="23" t="s">
        <v>19</v>
      </c>
      <c r="F82" s="16"/>
      <c r="G82" s="16"/>
      <c r="H82" s="19" t="n">
        <f aca="false">LEN(IF(F82&lt;&gt;"",F82,D82))</f>
        <v>87</v>
      </c>
      <c r="I82" s="24" t="str">
        <f aca="false">IF(OR(H82&lt;6,H82&gt;260),"분량 확인","")</f>
        <v/>
      </c>
    </row>
    <row r="83" customFormat="false" ht="33.75" hidden="false" customHeight="true" outlineLevel="0" collapsed="false">
      <c r="A83" s="13" t="s">
        <v>738</v>
      </c>
      <c r="B83" s="14" t="s">
        <v>732</v>
      </c>
      <c r="C83" s="15" t="s">
        <v>568</v>
      </c>
      <c r="D83" s="15" t="s">
        <v>739</v>
      </c>
      <c r="E83" s="23" t="s">
        <v>19</v>
      </c>
      <c r="F83" s="16"/>
      <c r="G83" s="16"/>
      <c r="H83" s="19" t="n">
        <f aca="false">LEN(IF(F83&lt;&gt;"",F83,D83))</f>
        <v>21</v>
      </c>
      <c r="I83" s="24" t="str">
        <f aca="false">IF(OR(H83&lt;6,H83&gt;260),"분량 확인","")</f>
        <v/>
      </c>
    </row>
    <row r="84" customFormat="false" ht="75.75" hidden="false" customHeight="true" outlineLevel="0" collapsed="false">
      <c r="A84" s="13" t="s">
        <v>740</v>
      </c>
      <c r="B84" s="14" t="s">
        <v>732</v>
      </c>
      <c r="C84" s="15" t="s">
        <v>571</v>
      </c>
      <c r="D84" s="15" t="s">
        <v>741</v>
      </c>
      <c r="E84" s="23" t="s">
        <v>19</v>
      </c>
      <c r="F84" s="16"/>
      <c r="G84" s="16"/>
      <c r="H84" s="19" t="n">
        <f aca="false">LEN(IF(F84&lt;&gt;"",F84,D84))</f>
        <v>128</v>
      </c>
      <c r="I84" s="24" t="str">
        <f aca="false">IF(OR(H84&lt;6,H84&gt;260),"분량 확인","")</f>
        <v/>
      </c>
    </row>
    <row r="85" customFormat="false" ht="48" hidden="false" customHeight="true" outlineLevel="0" collapsed="false">
      <c r="A85" s="13" t="s">
        <v>742</v>
      </c>
      <c r="B85" s="14" t="s">
        <v>732</v>
      </c>
      <c r="C85" s="15" t="s">
        <v>574</v>
      </c>
      <c r="D85" s="15" t="s">
        <v>743</v>
      </c>
      <c r="E85" s="23" t="s">
        <v>19</v>
      </c>
      <c r="F85" s="16"/>
      <c r="G85" s="16"/>
      <c r="H85" s="19" t="n">
        <f aca="false">LEN(IF(F85&lt;&gt;"",F85,D85))</f>
        <v>82</v>
      </c>
      <c r="I85" s="24" t="str">
        <f aca="false">IF(OR(H85&lt;6,H85&gt;260),"분량 확인","")</f>
        <v/>
      </c>
    </row>
    <row r="86" customFormat="false" ht="33.75" hidden="false" customHeight="true" outlineLevel="0" collapsed="false">
      <c r="A86" s="13" t="s">
        <v>744</v>
      </c>
      <c r="B86" s="14" t="s">
        <v>745</v>
      </c>
      <c r="C86" s="15" t="s">
        <v>559</v>
      </c>
      <c r="D86" s="15" t="s">
        <v>746</v>
      </c>
      <c r="E86" s="23" t="s">
        <v>19</v>
      </c>
      <c r="F86" s="16"/>
      <c r="G86" s="16"/>
      <c r="H86" s="19" t="n">
        <f aca="false">LEN(IF(F86&lt;&gt;"",F86,D86))</f>
        <v>15</v>
      </c>
      <c r="I86" s="24" t="str">
        <f aca="false">IF(OR(H86&lt;6,H86&gt;260),"분량 확인","")</f>
        <v/>
      </c>
    </row>
    <row r="87" customFormat="false" ht="75.75" hidden="false" customHeight="true" outlineLevel="0" collapsed="false">
      <c r="A87" s="13" t="s">
        <v>747</v>
      </c>
      <c r="B87" s="14" t="s">
        <v>745</v>
      </c>
      <c r="C87" s="15" t="s">
        <v>562</v>
      </c>
      <c r="D87" s="15" t="s">
        <v>748</v>
      </c>
      <c r="E87" s="23" t="s">
        <v>19</v>
      </c>
      <c r="F87" s="16"/>
      <c r="G87" s="16"/>
      <c r="H87" s="19" t="n">
        <f aca="false">LEN(IF(F87&lt;&gt;"",F87,D87))</f>
        <v>136</v>
      </c>
      <c r="I87" s="24" t="str">
        <f aca="false">IF(OR(H87&lt;6,H87&gt;260),"분량 확인","")</f>
        <v/>
      </c>
    </row>
    <row r="88" customFormat="false" ht="48" hidden="false" customHeight="true" outlineLevel="0" collapsed="false">
      <c r="A88" s="13" t="s">
        <v>749</v>
      </c>
      <c r="B88" s="14" t="s">
        <v>745</v>
      </c>
      <c r="C88" s="15" t="s">
        <v>565</v>
      </c>
      <c r="D88" s="15" t="s">
        <v>750</v>
      </c>
      <c r="E88" s="23" t="s">
        <v>19</v>
      </c>
      <c r="F88" s="16"/>
      <c r="G88" s="16"/>
      <c r="H88" s="19" t="n">
        <f aca="false">LEN(IF(F88&lt;&gt;"",F88,D88))</f>
        <v>84</v>
      </c>
      <c r="I88" s="24" t="str">
        <f aca="false">IF(OR(H88&lt;6,H88&gt;260),"분량 확인","")</f>
        <v/>
      </c>
    </row>
    <row r="89" customFormat="false" ht="33.75" hidden="false" customHeight="true" outlineLevel="0" collapsed="false">
      <c r="A89" s="13" t="s">
        <v>751</v>
      </c>
      <c r="B89" s="14" t="s">
        <v>745</v>
      </c>
      <c r="C89" s="15" t="s">
        <v>568</v>
      </c>
      <c r="D89" s="15" t="s">
        <v>752</v>
      </c>
      <c r="E89" s="23" t="s">
        <v>19</v>
      </c>
      <c r="F89" s="16"/>
      <c r="G89" s="16"/>
      <c r="H89" s="19" t="n">
        <f aca="false">LEN(IF(F89&lt;&gt;"",F89,D89))</f>
        <v>15</v>
      </c>
      <c r="I89" s="24" t="str">
        <f aca="false">IF(OR(H89&lt;6,H89&gt;260),"분량 확인","")</f>
        <v/>
      </c>
    </row>
    <row r="90" customFormat="false" ht="75.75" hidden="false" customHeight="true" outlineLevel="0" collapsed="false">
      <c r="A90" s="13" t="s">
        <v>753</v>
      </c>
      <c r="B90" s="14" t="s">
        <v>745</v>
      </c>
      <c r="C90" s="15" t="s">
        <v>571</v>
      </c>
      <c r="D90" s="15" t="s">
        <v>754</v>
      </c>
      <c r="E90" s="23" t="s">
        <v>19</v>
      </c>
      <c r="F90" s="16"/>
      <c r="G90" s="16"/>
      <c r="H90" s="19" t="n">
        <f aca="false">LEN(IF(F90&lt;&gt;"",F90,D90))</f>
        <v>131</v>
      </c>
      <c r="I90" s="24" t="str">
        <f aca="false">IF(OR(H90&lt;6,H90&gt;260),"분량 확인","")</f>
        <v/>
      </c>
    </row>
    <row r="91" customFormat="false" ht="48" hidden="false" customHeight="true" outlineLevel="0" collapsed="false">
      <c r="A91" s="13" t="s">
        <v>755</v>
      </c>
      <c r="B91" s="14" t="s">
        <v>745</v>
      </c>
      <c r="C91" s="15" t="s">
        <v>574</v>
      </c>
      <c r="D91" s="15" t="s">
        <v>756</v>
      </c>
      <c r="E91" s="23" t="s">
        <v>19</v>
      </c>
      <c r="F91" s="16"/>
      <c r="G91" s="16"/>
      <c r="H91" s="19" t="n">
        <f aca="false">LEN(IF(F91&lt;&gt;"",F91,D91))</f>
        <v>80</v>
      </c>
      <c r="I91" s="24" t="str">
        <f aca="false">IF(OR(H91&lt;6,H91&gt;260),"분량 확인","")</f>
        <v/>
      </c>
    </row>
    <row r="92" customFormat="false" ht="33.75" hidden="false" customHeight="true" outlineLevel="0" collapsed="false">
      <c r="A92" s="13" t="s">
        <v>757</v>
      </c>
      <c r="B92" s="14" t="s">
        <v>758</v>
      </c>
      <c r="C92" s="15" t="s">
        <v>559</v>
      </c>
      <c r="D92" s="15" t="s">
        <v>759</v>
      </c>
      <c r="E92" s="23" t="s">
        <v>19</v>
      </c>
      <c r="F92" s="16"/>
      <c r="G92" s="16"/>
      <c r="H92" s="19" t="n">
        <f aca="false">LEN(IF(F92&lt;&gt;"",F92,D92))</f>
        <v>16</v>
      </c>
      <c r="I92" s="24" t="str">
        <f aca="false">IF(OR(H92&lt;6,H92&gt;260),"분량 확인","")</f>
        <v/>
      </c>
    </row>
    <row r="93" customFormat="false" ht="90" hidden="false" customHeight="true" outlineLevel="0" collapsed="false">
      <c r="A93" s="13" t="s">
        <v>760</v>
      </c>
      <c r="B93" s="14" t="s">
        <v>758</v>
      </c>
      <c r="C93" s="15" t="s">
        <v>562</v>
      </c>
      <c r="D93" s="15" t="s">
        <v>761</v>
      </c>
      <c r="E93" s="23" t="s">
        <v>19</v>
      </c>
      <c r="F93" s="16"/>
      <c r="G93" s="16"/>
      <c r="H93" s="19" t="n">
        <f aca="false">LEN(IF(F93&lt;&gt;"",F93,D93))</f>
        <v>149</v>
      </c>
      <c r="I93" s="24" t="str">
        <f aca="false">IF(OR(H93&lt;6,H93&gt;260),"분량 확인","")</f>
        <v/>
      </c>
    </row>
    <row r="94" customFormat="false" ht="61.5" hidden="false" customHeight="true" outlineLevel="0" collapsed="false">
      <c r="A94" s="13" t="s">
        <v>762</v>
      </c>
      <c r="B94" s="14" t="s">
        <v>758</v>
      </c>
      <c r="C94" s="15" t="s">
        <v>565</v>
      </c>
      <c r="D94" s="15" t="s">
        <v>763</v>
      </c>
      <c r="E94" s="23" t="s">
        <v>19</v>
      </c>
      <c r="F94" s="16"/>
      <c r="G94" s="16"/>
      <c r="H94" s="19" t="n">
        <f aca="false">LEN(IF(F94&lt;&gt;"",F94,D94))</f>
        <v>99</v>
      </c>
      <c r="I94" s="24" t="str">
        <f aca="false">IF(OR(H94&lt;6,H94&gt;260),"분량 확인","")</f>
        <v/>
      </c>
    </row>
    <row r="95" customFormat="false" ht="33.75" hidden="false" customHeight="true" outlineLevel="0" collapsed="false">
      <c r="A95" s="13" t="s">
        <v>764</v>
      </c>
      <c r="B95" s="14" t="s">
        <v>758</v>
      </c>
      <c r="C95" s="15" t="s">
        <v>568</v>
      </c>
      <c r="D95" s="15" t="s">
        <v>765</v>
      </c>
      <c r="E95" s="23" t="s">
        <v>19</v>
      </c>
      <c r="F95" s="16"/>
      <c r="G95" s="16"/>
      <c r="H95" s="19" t="n">
        <f aca="false">LEN(IF(F95&lt;&gt;"",F95,D95))</f>
        <v>19</v>
      </c>
      <c r="I95" s="24" t="str">
        <f aca="false">IF(OR(H95&lt;6,H95&gt;260),"분량 확인","")</f>
        <v/>
      </c>
    </row>
    <row r="96" customFormat="false" ht="75.75" hidden="false" customHeight="true" outlineLevel="0" collapsed="false">
      <c r="A96" s="13" t="s">
        <v>766</v>
      </c>
      <c r="B96" s="14" t="s">
        <v>758</v>
      </c>
      <c r="C96" s="15" t="s">
        <v>571</v>
      </c>
      <c r="D96" s="15" t="s">
        <v>767</v>
      </c>
      <c r="E96" s="23" t="s">
        <v>19</v>
      </c>
      <c r="F96" s="16"/>
      <c r="G96" s="16"/>
      <c r="H96" s="19" t="n">
        <f aca="false">LEN(IF(F96&lt;&gt;"",F96,D96))</f>
        <v>134</v>
      </c>
      <c r="I96" s="24" t="str">
        <f aca="false">IF(OR(H96&lt;6,H96&gt;260),"분량 확인","")</f>
        <v/>
      </c>
    </row>
    <row r="97" customFormat="false" ht="61.5" hidden="false" customHeight="true" outlineLevel="0" collapsed="false">
      <c r="A97" s="13" t="s">
        <v>768</v>
      </c>
      <c r="B97" s="14" t="s">
        <v>758</v>
      </c>
      <c r="C97" s="15" t="s">
        <v>574</v>
      </c>
      <c r="D97" s="15" t="s">
        <v>769</v>
      </c>
      <c r="E97" s="23" t="s">
        <v>19</v>
      </c>
      <c r="F97" s="16"/>
      <c r="G97" s="16"/>
      <c r="H97" s="19" t="n">
        <f aca="false">LEN(IF(F97&lt;&gt;"",F97,D97))</f>
        <v>88</v>
      </c>
      <c r="I97" s="24" t="str">
        <f aca="false">IF(OR(H97&lt;6,H97&gt;260),"분량 확인","")</f>
        <v/>
      </c>
    </row>
    <row r="98" customFormat="false" ht="33.75" hidden="false" customHeight="true" outlineLevel="0" collapsed="false">
      <c r="A98" s="13" t="s">
        <v>770</v>
      </c>
      <c r="B98" s="14" t="s">
        <v>771</v>
      </c>
      <c r="C98" s="15" t="s">
        <v>559</v>
      </c>
      <c r="D98" s="15" t="s">
        <v>772</v>
      </c>
      <c r="E98" s="23" t="s">
        <v>19</v>
      </c>
      <c r="F98" s="16"/>
      <c r="G98" s="16"/>
      <c r="H98" s="19" t="n">
        <f aca="false">LEN(IF(F98&lt;&gt;"",F98,D98))</f>
        <v>21</v>
      </c>
      <c r="I98" s="24" t="str">
        <f aca="false">IF(OR(H98&lt;6,H98&gt;260),"분량 확인","")</f>
        <v/>
      </c>
    </row>
    <row r="99" customFormat="false" ht="75.75" hidden="false" customHeight="true" outlineLevel="0" collapsed="false">
      <c r="A99" s="13" t="s">
        <v>773</v>
      </c>
      <c r="B99" s="14" t="s">
        <v>771</v>
      </c>
      <c r="C99" s="15" t="s">
        <v>562</v>
      </c>
      <c r="D99" s="15" t="s">
        <v>774</v>
      </c>
      <c r="E99" s="23" t="s">
        <v>19</v>
      </c>
      <c r="F99" s="16"/>
      <c r="G99" s="16"/>
      <c r="H99" s="19" t="n">
        <f aca="false">LEN(IF(F99&lt;&gt;"",F99,D99))</f>
        <v>132</v>
      </c>
      <c r="I99" s="24" t="str">
        <f aca="false">IF(OR(H99&lt;6,H99&gt;260),"분량 확인","")</f>
        <v/>
      </c>
    </row>
    <row r="100" customFormat="false" ht="48" hidden="false" customHeight="true" outlineLevel="0" collapsed="false">
      <c r="A100" s="13" t="s">
        <v>775</v>
      </c>
      <c r="B100" s="14" t="s">
        <v>771</v>
      </c>
      <c r="C100" s="15" t="s">
        <v>565</v>
      </c>
      <c r="D100" s="15" t="s">
        <v>776</v>
      </c>
      <c r="E100" s="23" t="s">
        <v>19</v>
      </c>
      <c r="F100" s="16"/>
      <c r="G100" s="16"/>
      <c r="H100" s="19" t="n">
        <f aca="false">LEN(IF(F100&lt;&gt;"",F100,D100))</f>
        <v>86</v>
      </c>
      <c r="I100" s="24" t="str">
        <f aca="false">IF(OR(H100&lt;6,H100&gt;260),"분량 확인","")</f>
        <v/>
      </c>
    </row>
    <row r="101" customFormat="false" ht="33.75" hidden="false" customHeight="true" outlineLevel="0" collapsed="false">
      <c r="A101" s="13" t="s">
        <v>777</v>
      </c>
      <c r="B101" s="14" t="s">
        <v>771</v>
      </c>
      <c r="C101" s="15" t="s">
        <v>568</v>
      </c>
      <c r="D101" s="15" t="s">
        <v>778</v>
      </c>
      <c r="E101" s="23" t="s">
        <v>19</v>
      </c>
      <c r="F101" s="16"/>
      <c r="G101" s="16"/>
      <c r="H101" s="19" t="n">
        <f aca="false">LEN(IF(F101&lt;&gt;"",F101,D101))</f>
        <v>26</v>
      </c>
      <c r="I101" s="24" t="str">
        <f aca="false">IF(OR(H101&lt;6,H101&gt;260),"분량 확인","")</f>
        <v/>
      </c>
    </row>
    <row r="102" customFormat="false" ht="75.75" hidden="false" customHeight="true" outlineLevel="0" collapsed="false">
      <c r="A102" s="13" t="s">
        <v>779</v>
      </c>
      <c r="B102" s="14" t="s">
        <v>771</v>
      </c>
      <c r="C102" s="15" t="s">
        <v>571</v>
      </c>
      <c r="D102" s="15" t="s">
        <v>780</v>
      </c>
      <c r="E102" s="23" t="s">
        <v>19</v>
      </c>
      <c r="F102" s="16"/>
      <c r="G102" s="16"/>
      <c r="H102" s="19" t="n">
        <f aca="false">LEN(IF(F102&lt;&gt;"",F102,D102))</f>
        <v>129</v>
      </c>
      <c r="I102" s="24" t="str">
        <f aca="false">IF(OR(H102&lt;6,H102&gt;260),"분량 확인","")</f>
        <v/>
      </c>
    </row>
    <row r="103" customFormat="false" ht="48" hidden="false" customHeight="true" outlineLevel="0" collapsed="false">
      <c r="A103" s="13" t="s">
        <v>781</v>
      </c>
      <c r="B103" s="14" t="s">
        <v>771</v>
      </c>
      <c r="C103" s="15" t="s">
        <v>574</v>
      </c>
      <c r="D103" s="15" t="s">
        <v>782</v>
      </c>
      <c r="E103" s="23" t="s">
        <v>19</v>
      </c>
      <c r="F103" s="16"/>
      <c r="G103" s="16"/>
      <c r="H103" s="19" t="n">
        <f aca="false">LEN(IF(F103&lt;&gt;"",F103,D103))</f>
        <v>82</v>
      </c>
      <c r="I103" s="24" t="str">
        <f aca="false">IF(OR(H103&lt;6,H103&gt;260),"분량 확인","")</f>
        <v/>
      </c>
    </row>
    <row r="104" customFormat="false" ht="33.75" hidden="false" customHeight="true" outlineLevel="0" collapsed="false">
      <c r="A104" s="13" t="s">
        <v>783</v>
      </c>
      <c r="B104" s="14" t="s">
        <v>784</v>
      </c>
      <c r="C104" s="15" t="s">
        <v>559</v>
      </c>
      <c r="D104" s="15" t="s">
        <v>785</v>
      </c>
      <c r="E104" s="23" t="s">
        <v>19</v>
      </c>
      <c r="F104" s="16"/>
      <c r="G104" s="16"/>
      <c r="H104" s="19" t="n">
        <f aca="false">LEN(IF(F104&lt;&gt;"",F104,D104))</f>
        <v>17</v>
      </c>
      <c r="I104" s="24" t="str">
        <f aca="false">IF(OR(H104&lt;6,H104&gt;260),"분량 확인","")</f>
        <v/>
      </c>
    </row>
    <row r="105" customFormat="false" ht="75.75" hidden="false" customHeight="true" outlineLevel="0" collapsed="false">
      <c r="A105" s="13" t="s">
        <v>786</v>
      </c>
      <c r="B105" s="14" t="s">
        <v>784</v>
      </c>
      <c r="C105" s="15" t="s">
        <v>562</v>
      </c>
      <c r="D105" s="15" t="s">
        <v>787</v>
      </c>
      <c r="E105" s="23" t="s">
        <v>19</v>
      </c>
      <c r="F105" s="16"/>
      <c r="G105" s="16"/>
      <c r="H105" s="19" t="n">
        <f aca="false">LEN(IF(F105&lt;&gt;"",F105,D105))</f>
        <v>125</v>
      </c>
      <c r="I105" s="24" t="str">
        <f aca="false">IF(OR(H105&lt;6,H105&gt;260),"분량 확인","")</f>
        <v/>
      </c>
    </row>
    <row r="106" customFormat="false" ht="48" hidden="false" customHeight="true" outlineLevel="0" collapsed="false">
      <c r="A106" s="13" t="s">
        <v>788</v>
      </c>
      <c r="B106" s="14" t="s">
        <v>784</v>
      </c>
      <c r="C106" s="15" t="s">
        <v>565</v>
      </c>
      <c r="D106" s="15" t="s">
        <v>789</v>
      </c>
      <c r="E106" s="23" t="s">
        <v>19</v>
      </c>
      <c r="F106" s="16"/>
      <c r="G106" s="16"/>
      <c r="H106" s="19" t="n">
        <f aca="false">LEN(IF(F106&lt;&gt;"",F106,D106))</f>
        <v>82</v>
      </c>
      <c r="I106" s="24" t="str">
        <f aca="false">IF(OR(H106&lt;6,H106&gt;260),"분량 확인","")</f>
        <v/>
      </c>
    </row>
    <row r="107" customFormat="false" ht="33.75" hidden="false" customHeight="true" outlineLevel="0" collapsed="false">
      <c r="A107" s="13" t="s">
        <v>790</v>
      </c>
      <c r="B107" s="14" t="s">
        <v>784</v>
      </c>
      <c r="C107" s="15" t="s">
        <v>568</v>
      </c>
      <c r="D107" s="15" t="s">
        <v>791</v>
      </c>
      <c r="E107" s="23" t="s">
        <v>19</v>
      </c>
      <c r="F107" s="16"/>
      <c r="G107" s="16"/>
      <c r="H107" s="19" t="n">
        <f aca="false">LEN(IF(F107&lt;&gt;"",F107,D107))</f>
        <v>21</v>
      </c>
      <c r="I107" s="24" t="str">
        <f aca="false">IF(OR(H107&lt;6,H107&gt;260),"분량 확인","")</f>
        <v/>
      </c>
    </row>
    <row r="108" customFormat="false" ht="75.75" hidden="false" customHeight="true" outlineLevel="0" collapsed="false">
      <c r="A108" s="13" t="s">
        <v>792</v>
      </c>
      <c r="B108" s="14" t="s">
        <v>784</v>
      </c>
      <c r="C108" s="15" t="s">
        <v>571</v>
      </c>
      <c r="D108" s="15" t="s">
        <v>793</v>
      </c>
      <c r="E108" s="23" t="s">
        <v>19</v>
      </c>
      <c r="F108" s="16"/>
      <c r="G108" s="16"/>
      <c r="H108" s="19" t="n">
        <f aca="false">LEN(IF(F108&lt;&gt;"",F108,D108))</f>
        <v>128</v>
      </c>
      <c r="I108" s="24" t="str">
        <f aca="false">IF(OR(H108&lt;6,H108&gt;260),"분량 확인","")</f>
        <v/>
      </c>
    </row>
    <row r="109" customFormat="false" ht="48" hidden="false" customHeight="true" outlineLevel="0" collapsed="false">
      <c r="A109" s="13" t="s">
        <v>794</v>
      </c>
      <c r="B109" s="14" t="s">
        <v>784</v>
      </c>
      <c r="C109" s="15" t="s">
        <v>574</v>
      </c>
      <c r="D109" s="15" t="s">
        <v>795</v>
      </c>
      <c r="E109" s="23" t="s">
        <v>19</v>
      </c>
      <c r="F109" s="16"/>
      <c r="G109" s="16"/>
      <c r="H109" s="19" t="n">
        <f aca="false">LEN(IF(F109&lt;&gt;"",F109,D109))</f>
        <v>84</v>
      </c>
      <c r="I109" s="24" t="str">
        <f aca="false">IF(OR(H109&lt;6,H109&gt;260),"분량 확인","")</f>
        <v/>
      </c>
    </row>
    <row r="110" customFormat="false" ht="33.75" hidden="false" customHeight="true" outlineLevel="0" collapsed="false">
      <c r="A110" s="13" t="s">
        <v>796</v>
      </c>
      <c r="B110" s="14" t="s">
        <v>797</v>
      </c>
      <c r="C110" s="15" t="s">
        <v>559</v>
      </c>
      <c r="D110" s="15" t="s">
        <v>798</v>
      </c>
      <c r="E110" s="23" t="s">
        <v>19</v>
      </c>
      <c r="F110" s="16"/>
      <c r="G110" s="16"/>
      <c r="H110" s="19" t="n">
        <f aca="false">LEN(IF(F110&lt;&gt;"",F110,D110))</f>
        <v>16</v>
      </c>
      <c r="I110" s="24" t="str">
        <f aca="false">IF(OR(H110&lt;6,H110&gt;260),"분량 확인","")</f>
        <v/>
      </c>
    </row>
    <row r="111" customFormat="false" ht="75.75" hidden="false" customHeight="true" outlineLevel="0" collapsed="false">
      <c r="A111" s="13" t="s">
        <v>799</v>
      </c>
      <c r="B111" s="14" t="s">
        <v>797</v>
      </c>
      <c r="C111" s="15" t="s">
        <v>562</v>
      </c>
      <c r="D111" s="15" t="s">
        <v>800</v>
      </c>
      <c r="E111" s="23" t="s">
        <v>19</v>
      </c>
      <c r="F111" s="16"/>
      <c r="G111" s="16"/>
      <c r="H111" s="19" t="n">
        <f aca="false">LEN(IF(F111&lt;&gt;"",F111,D111))</f>
        <v>143</v>
      </c>
      <c r="I111" s="24" t="str">
        <f aca="false">IF(OR(H111&lt;6,H111&gt;260),"분량 확인","")</f>
        <v/>
      </c>
    </row>
    <row r="112" customFormat="false" ht="61.5" hidden="false" customHeight="true" outlineLevel="0" collapsed="false">
      <c r="A112" s="13" t="s">
        <v>801</v>
      </c>
      <c r="B112" s="14" t="s">
        <v>797</v>
      </c>
      <c r="C112" s="15" t="s">
        <v>565</v>
      </c>
      <c r="D112" s="15" t="s">
        <v>802</v>
      </c>
      <c r="E112" s="23" t="s">
        <v>19</v>
      </c>
      <c r="F112" s="16"/>
      <c r="G112" s="16"/>
      <c r="H112" s="19" t="n">
        <f aca="false">LEN(IF(F112&lt;&gt;"",F112,D112))</f>
        <v>90</v>
      </c>
      <c r="I112" s="24" t="str">
        <f aca="false">IF(OR(H112&lt;6,H112&gt;260),"분량 확인","")</f>
        <v/>
      </c>
    </row>
    <row r="113" customFormat="false" ht="33.75" hidden="false" customHeight="true" outlineLevel="0" collapsed="false">
      <c r="A113" s="13" t="s">
        <v>803</v>
      </c>
      <c r="B113" s="14" t="s">
        <v>797</v>
      </c>
      <c r="C113" s="15" t="s">
        <v>568</v>
      </c>
      <c r="D113" s="15" t="s">
        <v>804</v>
      </c>
      <c r="E113" s="23" t="s">
        <v>19</v>
      </c>
      <c r="F113" s="16"/>
      <c r="G113" s="16"/>
      <c r="H113" s="19" t="n">
        <f aca="false">LEN(IF(F113&lt;&gt;"",F113,D113))</f>
        <v>25</v>
      </c>
      <c r="I113" s="24" t="str">
        <f aca="false">IF(OR(H113&lt;6,H113&gt;260),"분량 확인","")</f>
        <v/>
      </c>
    </row>
    <row r="114" customFormat="false" ht="75.75" hidden="false" customHeight="true" outlineLevel="0" collapsed="false">
      <c r="A114" s="13" t="s">
        <v>805</v>
      </c>
      <c r="B114" s="14" t="s">
        <v>797</v>
      </c>
      <c r="C114" s="15" t="s">
        <v>571</v>
      </c>
      <c r="D114" s="15" t="s">
        <v>806</v>
      </c>
      <c r="E114" s="23" t="s">
        <v>19</v>
      </c>
      <c r="F114" s="16"/>
      <c r="G114" s="16"/>
      <c r="H114" s="19" t="n">
        <f aca="false">LEN(IF(F114&lt;&gt;"",F114,D114))</f>
        <v>123</v>
      </c>
      <c r="I114" s="24" t="str">
        <f aca="false">IF(OR(H114&lt;6,H114&gt;260),"분량 확인","")</f>
        <v/>
      </c>
    </row>
    <row r="115" customFormat="false" ht="61.5" hidden="false" customHeight="true" outlineLevel="0" collapsed="false">
      <c r="A115" s="13" t="s">
        <v>807</v>
      </c>
      <c r="B115" s="14" t="s">
        <v>797</v>
      </c>
      <c r="C115" s="15" t="s">
        <v>574</v>
      </c>
      <c r="D115" s="15" t="s">
        <v>808</v>
      </c>
      <c r="E115" s="23" t="s">
        <v>19</v>
      </c>
      <c r="F115" s="16"/>
      <c r="G115" s="16"/>
      <c r="H115" s="19" t="n">
        <f aca="false">LEN(IF(F115&lt;&gt;"",F115,D115))</f>
        <v>88</v>
      </c>
      <c r="I115" s="24" t="str">
        <f aca="false">IF(OR(H115&lt;6,H115&gt;260),"분량 확인","")</f>
        <v/>
      </c>
    </row>
    <row r="116" customFormat="false" ht="33.75" hidden="false" customHeight="true" outlineLevel="0" collapsed="false">
      <c r="A116" s="13" t="s">
        <v>809</v>
      </c>
      <c r="B116" s="14" t="s">
        <v>810</v>
      </c>
      <c r="C116" s="15" t="s">
        <v>559</v>
      </c>
      <c r="D116" s="15" t="s">
        <v>811</v>
      </c>
      <c r="E116" s="23" t="s">
        <v>19</v>
      </c>
      <c r="F116" s="16"/>
      <c r="G116" s="16"/>
      <c r="H116" s="19" t="n">
        <f aca="false">LEN(IF(F116&lt;&gt;"",F116,D116))</f>
        <v>19</v>
      </c>
      <c r="I116" s="24" t="str">
        <f aca="false">IF(OR(H116&lt;6,H116&gt;260),"분량 확인","")</f>
        <v/>
      </c>
    </row>
    <row r="117" customFormat="false" ht="75.75" hidden="false" customHeight="true" outlineLevel="0" collapsed="false">
      <c r="A117" s="13" t="s">
        <v>812</v>
      </c>
      <c r="B117" s="14" t="s">
        <v>810</v>
      </c>
      <c r="C117" s="15" t="s">
        <v>562</v>
      </c>
      <c r="D117" s="15" t="s">
        <v>813</v>
      </c>
      <c r="E117" s="23" t="s">
        <v>19</v>
      </c>
      <c r="F117" s="16"/>
      <c r="G117" s="16"/>
      <c r="H117" s="19" t="n">
        <f aca="false">LEN(IF(F117&lt;&gt;"",F117,D117))</f>
        <v>133</v>
      </c>
      <c r="I117" s="24" t="str">
        <f aca="false">IF(OR(H117&lt;6,H117&gt;260),"분량 확인","")</f>
        <v/>
      </c>
    </row>
    <row r="118" customFormat="false" ht="48" hidden="false" customHeight="true" outlineLevel="0" collapsed="false">
      <c r="A118" s="13" t="s">
        <v>814</v>
      </c>
      <c r="B118" s="14" t="s">
        <v>810</v>
      </c>
      <c r="C118" s="15" t="s">
        <v>565</v>
      </c>
      <c r="D118" s="15" t="s">
        <v>815</v>
      </c>
      <c r="E118" s="23" t="s">
        <v>19</v>
      </c>
      <c r="F118" s="16"/>
      <c r="G118" s="16"/>
      <c r="H118" s="19" t="n">
        <f aca="false">LEN(IF(F118&lt;&gt;"",F118,D118))</f>
        <v>87</v>
      </c>
      <c r="I118" s="24" t="str">
        <f aca="false">IF(OR(H118&lt;6,H118&gt;260),"분량 확인","")</f>
        <v/>
      </c>
    </row>
    <row r="119" customFormat="false" ht="33.75" hidden="false" customHeight="true" outlineLevel="0" collapsed="false">
      <c r="A119" s="13" t="s">
        <v>816</v>
      </c>
      <c r="B119" s="14" t="s">
        <v>810</v>
      </c>
      <c r="C119" s="15" t="s">
        <v>568</v>
      </c>
      <c r="D119" s="15" t="s">
        <v>817</v>
      </c>
      <c r="E119" s="23" t="s">
        <v>19</v>
      </c>
      <c r="F119" s="16"/>
      <c r="G119" s="16"/>
      <c r="H119" s="19" t="n">
        <f aca="false">LEN(IF(F119&lt;&gt;"",F119,D119))</f>
        <v>26</v>
      </c>
      <c r="I119" s="24" t="str">
        <f aca="false">IF(OR(H119&lt;6,H119&gt;260),"분량 확인","")</f>
        <v/>
      </c>
    </row>
    <row r="120" customFormat="false" ht="75.75" hidden="false" customHeight="true" outlineLevel="0" collapsed="false">
      <c r="A120" s="13" t="s">
        <v>818</v>
      </c>
      <c r="B120" s="14" t="s">
        <v>810</v>
      </c>
      <c r="C120" s="15" t="s">
        <v>571</v>
      </c>
      <c r="D120" s="15" t="s">
        <v>819</v>
      </c>
      <c r="E120" s="23" t="s">
        <v>19</v>
      </c>
      <c r="F120" s="16"/>
      <c r="G120" s="16"/>
      <c r="H120" s="19" t="n">
        <f aca="false">LEN(IF(F120&lt;&gt;"",F120,D120))</f>
        <v>130</v>
      </c>
      <c r="I120" s="24" t="str">
        <f aca="false">IF(OR(H120&lt;6,H120&gt;260),"분량 확인","")</f>
        <v/>
      </c>
    </row>
    <row r="121" customFormat="false" ht="48" hidden="false" customHeight="true" outlineLevel="0" collapsed="false">
      <c r="A121" s="13" t="s">
        <v>820</v>
      </c>
      <c r="B121" s="14" t="s">
        <v>810</v>
      </c>
      <c r="C121" s="15" t="s">
        <v>574</v>
      </c>
      <c r="D121" s="15" t="s">
        <v>821</v>
      </c>
      <c r="E121" s="23" t="s">
        <v>19</v>
      </c>
      <c r="F121" s="16"/>
      <c r="G121" s="16"/>
      <c r="H121" s="19" t="n">
        <f aca="false">LEN(IF(F121&lt;&gt;"",F121,D121))</f>
        <v>79</v>
      </c>
      <c r="I121" s="24" t="str">
        <f aca="false">IF(OR(H121&lt;6,H121&gt;260),"분량 확인","")</f>
        <v/>
      </c>
    </row>
    <row r="122" customFormat="false" ht="33.75" hidden="false" customHeight="true" outlineLevel="0" collapsed="false">
      <c r="A122" s="13" t="s">
        <v>822</v>
      </c>
      <c r="B122" s="14" t="s">
        <v>823</v>
      </c>
      <c r="C122" s="15" t="s">
        <v>559</v>
      </c>
      <c r="D122" s="15" t="s">
        <v>824</v>
      </c>
      <c r="E122" s="23" t="s">
        <v>19</v>
      </c>
      <c r="F122" s="16"/>
      <c r="G122" s="16"/>
      <c r="H122" s="19" t="n">
        <f aca="false">LEN(IF(F122&lt;&gt;"",F122,D122))</f>
        <v>14</v>
      </c>
      <c r="I122" s="24" t="str">
        <f aca="false">IF(OR(H122&lt;6,H122&gt;260),"분량 확인","")</f>
        <v/>
      </c>
    </row>
    <row r="123" customFormat="false" ht="90" hidden="false" customHeight="true" outlineLevel="0" collapsed="false">
      <c r="A123" s="13" t="s">
        <v>825</v>
      </c>
      <c r="B123" s="14" t="s">
        <v>823</v>
      </c>
      <c r="C123" s="15" t="s">
        <v>562</v>
      </c>
      <c r="D123" s="15" t="s">
        <v>826</v>
      </c>
      <c r="E123" s="23" t="s">
        <v>19</v>
      </c>
      <c r="F123" s="16"/>
      <c r="G123" s="16"/>
      <c r="H123" s="19" t="n">
        <f aca="false">LEN(IF(F123&lt;&gt;"",F123,D123))</f>
        <v>147</v>
      </c>
      <c r="I123" s="24" t="str">
        <f aca="false">IF(OR(H123&lt;6,H123&gt;260),"분량 확인","")</f>
        <v/>
      </c>
    </row>
    <row r="124" customFormat="false" ht="61.5" hidden="false" customHeight="true" outlineLevel="0" collapsed="false">
      <c r="A124" s="13" t="s">
        <v>827</v>
      </c>
      <c r="B124" s="14" t="s">
        <v>823</v>
      </c>
      <c r="C124" s="15" t="s">
        <v>565</v>
      </c>
      <c r="D124" s="15" t="s">
        <v>828</v>
      </c>
      <c r="E124" s="23" t="s">
        <v>19</v>
      </c>
      <c r="F124" s="16"/>
      <c r="G124" s="16"/>
      <c r="H124" s="19" t="n">
        <f aca="false">LEN(IF(F124&lt;&gt;"",F124,D124))</f>
        <v>96</v>
      </c>
      <c r="I124" s="24" t="str">
        <f aca="false">IF(OR(H124&lt;6,H124&gt;260),"분량 확인","")</f>
        <v/>
      </c>
    </row>
    <row r="125" customFormat="false" ht="33.75" hidden="false" customHeight="true" outlineLevel="0" collapsed="false">
      <c r="A125" s="13" t="s">
        <v>829</v>
      </c>
      <c r="B125" s="14" t="s">
        <v>823</v>
      </c>
      <c r="C125" s="15" t="s">
        <v>568</v>
      </c>
      <c r="D125" s="15" t="s">
        <v>830</v>
      </c>
      <c r="E125" s="23" t="s">
        <v>19</v>
      </c>
      <c r="F125" s="16"/>
      <c r="G125" s="16"/>
      <c r="H125" s="19" t="n">
        <f aca="false">LEN(IF(F125&lt;&gt;"",F125,D125))</f>
        <v>25</v>
      </c>
      <c r="I125" s="24" t="str">
        <f aca="false">IF(OR(H125&lt;6,H125&gt;260),"분량 확인","")</f>
        <v/>
      </c>
    </row>
    <row r="126" customFormat="false" ht="75.75" hidden="false" customHeight="true" outlineLevel="0" collapsed="false">
      <c r="A126" s="13" t="s">
        <v>831</v>
      </c>
      <c r="B126" s="14" t="s">
        <v>823</v>
      </c>
      <c r="C126" s="15" t="s">
        <v>571</v>
      </c>
      <c r="D126" s="15" t="s">
        <v>832</v>
      </c>
      <c r="E126" s="23" t="s">
        <v>19</v>
      </c>
      <c r="F126" s="16"/>
      <c r="G126" s="16"/>
      <c r="H126" s="19" t="n">
        <f aca="false">LEN(IF(F126&lt;&gt;"",F126,D126))</f>
        <v>139</v>
      </c>
      <c r="I126" s="24" t="str">
        <f aca="false">IF(OR(H126&lt;6,H126&gt;260),"분량 확인","")</f>
        <v/>
      </c>
    </row>
    <row r="127" customFormat="false" ht="48" hidden="false" customHeight="true" outlineLevel="0" collapsed="false">
      <c r="A127" s="13" t="s">
        <v>833</v>
      </c>
      <c r="B127" s="14" t="s">
        <v>823</v>
      </c>
      <c r="C127" s="15" t="s">
        <v>574</v>
      </c>
      <c r="D127" s="15" t="s">
        <v>834</v>
      </c>
      <c r="E127" s="23" t="s">
        <v>19</v>
      </c>
      <c r="F127" s="16"/>
      <c r="G127" s="16"/>
      <c r="H127" s="19" t="n">
        <f aca="false">LEN(IF(F127&lt;&gt;"",F127,D127))</f>
        <v>83</v>
      </c>
      <c r="I127" s="24" t="str">
        <f aca="false">IF(OR(H127&lt;6,H127&gt;260),"분량 확인","")</f>
        <v/>
      </c>
    </row>
    <row r="128" customFormat="false" ht="48" hidden="false" customHeight="true" outlineLevel="0" collapsed="false">
      <c r="A128" s="13" t="s">
        <v>835</v>
      </c>
      <c r="B128" s="14" t="s">
        <v>836</v>
      </c>
      <c r="C128" s="15" t="s">
        <v>559</v>
      </c>
      <c r="D128" s="15" t="s">
        <v>837</v>
      </c>
      <c r="E128" s="23" t="s">
        <v>19</v>
      </c>
      <c r="F128" s="16"/>
      <c r="G128" s="16"/>
      <c r="H128" s="19" t="n">
        <f aca="false">LEN(IF(F128&lt;&gt;"",F128,D128))</f>
        <v>16</v>
      </c>
      <c r="I128" s="24" t="str">
        <f aca="false">IF(OR(H128&lt;6,H128&gt;260),"분량 확인","")</f>
        <v/>
      </c>
    </row>
    <row r="129" customFormat="false" ht="75.75" hidden="false" customHeight="true" outlineLevel="0" collapsed="false">
      <c r="A129" s="13" t="s">
        <v>838</v>
      </c>
      <c r="B129" s="14" t="s">
        <v>836</v>
      </c>
      <c r="C129" s="15" t="s">
        <v>562</v>
      </c>
      <c r="D129" s="15" t="s">
        <v>839</v>
      </c>
      <c r="E129" s="23" t="s">
        <v>19</v>
      </c>
      <c r="F129" s="16"/>
      <c r="G129" s="16"/>
      <c r="H129" s="19" t="n">
        <f aca="false">LEN(IF(F129&lt;&gt;"",F129,D129))</f>
        <v>132</v>
      </c>
      <c r="I129" s="24" t="str">
        <f aca="false">IF(OR(H129&lt;6,H129&gt;260),"분량 확인","")</f>
        <v/>
      </c>
    </row>
    <row r="130" customFormat="false" ht="61.5" hidden="false" customHeight="true" outlineLevel="0" collapsed="false">
      <c r="A130" s="13" t="s">
        <v>840</v>
      </c>
      <c r="B130" s="14" t="s">
        <v>836</v>
      </c>
      <c r="C130" s="15" t="s">
        <v>565</v>
      </c>
      <c r="D130" s="15" t="s">
        <v>841</v>
      </c>
      <c r="E130" s="23" t="s">
        <v>19</v>
      </c>
      <c r="F130" s="16"/>
      <c r="G130" s="16"/>
      <c r="H130" s="19" t="n">
        <f aca="false">LEN(IF(F130&lt;&gt;"",F130,D130))</f>
        <v>96</v>
      </c>
      <c r="I130" s="24" t="str">
        <f aca="false">IF(OR(H130&lt;6,H130&gt;260),"분량 확인","")</f>
        <v/>
      </c>
    </row>
    <row r="131" customFormat="false" ht="48" hidden="false" customHeight="true" outlineLevel="0" collapsed="false">
      <c r="A131" s="13" t="s">
        <v>842</v>
      </c>
      <c r="B131" s="14" t="s">
        <v>836</v>
      </c>
      <c r="C131" s="15" t="s">
        <v>568</v>
      </c>
      <c r="D131" s="15" t="s">
        <v>843</v>
      </c>
      <c r="E131" s="23" t="s">
        <v>19</v>
      </c>
      <c r="F131" s="16"/>
      <c r="G131" s="16"/>
      <c r="H131" s="19" t="n">
        <f aca="false">LEN(IF(F131&lt;&gt;"",F131,D131))</f>
        <v>27</v>
      </c>
      <c r="I131" s="24" t="str">
        <f aca="false">IF(OR(H131&lt;6,H131&gt;260),"분량 확인","")</f>
        <v/>
      </c>
    </row>
    <row r="132" customFormat="false" ht="75.75" hidden="false" customHeight="true" outlineLevel="0" collapsed="false">
      <c r="A132" s="13" t="s">
        <v>844</v>
      </c>
      <c r="B132" s="14" t="s">
        <v>836</v>
      </c>
      <c r="C132" s="15" t="s">
        <v>571</v>
      </c>
      <c r="D132" s="15" t="s">
        <v>845</v>
      </c>
      <c r="E132" s="23" t="s">
        <v>19</v>
      </c>
      <c r="F132" s="16"/>
      <c r="G132" s="16"/>
      <c r="H132" s="19" t="n">
        <f aca="false">LEN(IF(F132&lt;&gt;"",F132,D132))</f>
        <v>139</v>
      </c>
      <c r="I132" s="24" t="str">
        <f aca="false">IF(OR(H132&lt;6,H132&gt;260),"분량 확인","")</f>
        <v/>
      </c>
    </row>
    <row r="133" customFormat="false" ht="48" hidden="false" customHeight="true" outlineLevel="0" collapsed="false">
      <c r="A133" s="13" t="s">
        <v>846</v>
      </c>
      <c r="B133" s="14" t="s">
        <v>836</v>
      </c>
      <c r="C133" s="15" t="s">
        <v>574</v>
      </c>
      <c r="D133" s="15" t="s">
        <v>847</v>
      </c>
      <c r="E133" s="23" t="s">
        <v>19</v>
      </c>
      <c r="F133" s="16"/>
      <c r="G133" s="16"/>
      <c r="H133" s="19" t="n">
        <f aca="false">LEN(IF(F133&lt;&gt;"",F133,D133))</f>
        <v>81</v>
      </c>
      <c r="I133" s="24" t="str">
        <f aca="false">IF(OR(H133&lt;6,H133&gt;260),"분량 확인","")</f>
        <v/>
      </c>
    </row>
  </sheetData>
  <autoFilter ref="A1:I133"/>
  <conditionalFormatting sqref="E2:E133">
    <cfRule type="cellIs" priority="2" operator="equal" aboveAverage="0" equalAverage="0" bottom="0" percent="0" rank="0" text="" dxfId="5">
      <formula>"확정"</formula>
    </cfRule>
    <cfRule type="cellIs" priority="3" operator="equal" aboveAverage="0" equalAverage="0" bottom="0" percent="0" rank="0" text="" dxfId="6">
      <formula>"수정요청"</formula>
    </cfRule>
    <cfRule type="cellIs" priority="4" operator="equal" aboveAverage="0" equalAverage="0" bottom="0" percent="0" rank="0" text="" dxfId="7">
      <formula>"검수중"</formula>
    </cfRule>
    <cfRule type="cellIs" priority="5" operator="equal" aboveAverage="0" equalAverage="0" bottom="0" percent="0" rank="0" text="" dxfId="8">
      <formula>"삭제"</formula>
    </cfRule>
  </conditionalFormatting>
  <conditionalFormatting sqref="I2:I133">
    <cfRule type="expression" priority="6" aboveAverage="0" equalAverage="0" bottom="0" percent="0" rank="0" text="" dxfId="9">
      <formula>I2="분량 확인"</formula>
    </cfRule>
  </conditionalFormatting>
  <dataValidations count="1">
    <dataValidation allowBlank="false" error="초안 · 검수중 · 수정요청 · 확정 · 삭제 중에서 골라 주세요." errorStyle="stop" errorTitle="상태" operator="between" showDropDown="false" showErrorMessage="false" showInputMessage="false" sqref="E2:E133" type="list">
      <formula1>"초안,검수중,수정요청,확정,삭제"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12F53"/>
    <pageSetUpPr fitToPage="false"/>
  </sheetPr>
  <dimension ref="A1:I133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2"/>
    <col collapsed="false" customWidth="true" hidden="false" outlineLevel="0" max="3" min="3" style="0" width="26"/>
    <col collapsed="false" customWidth="true" hidden="false" outlineLevel="0" max="4" min="4" style="0" width="62"/>
    <col collapsed="false" customWidth="true" hidden="false" outlineLevel="0" max="5" min="5" style="0" width="10"/>
    <col collapsed="false" customWidth="true" hidden="false" outlineLevel="0" max="6" min="6" style="0" width="56"/>
    <col collapsed="false" customWidth="true" hidden="false" outlineLevel="0" max="7" min="7" style="0" width="30"/>
    <col collapsed="false" customWidth="true" hidden="false" outlineLevel="0" max="8" min="8" style="0" width="9"/>
    <col collapsed="false" customWidth="true" hidden="false" outlineLevel="0" max="9" min="9" style="0" width="10"/>
  </cols>
  <sheetData>
    <row r="1" customFormat="false" ht="30" hidden="false" customHeight="true" outlineLevel="0" collapsed="false">
      <c r="A1" s="11" t="s">
        <v>554</v>
      </c>
      <c r="B1" s="12" t="s">
        <v>25</v>
      </c>
      <c r="C1" s="12" t="s">
        <v>26</v>
      </c>
      <c r="D1" s="12" t="s">
        <v>27</v>
      </c>
      <c r="E1" s="12" t="s">
        <v>28</v>
      </c>
      <c r="F1" s="12" t="s">
        <v>29</v>
      </c>
      <c r="G1" s="12" t="s">
        <v>30</v>
      </c>
      <c r="H1" s="12" t="s">
        <v>555</v>
      </c>
      <c r="I1" s="12" t="s">
        <v>556</v>
      </c>
    </row>
    <row r="2" customFormat="false" ht="33.75" hidden="false" customHeight="true" outlineLevel="0" collapsed="false">
      <c r="A2" s="13" t="s">
        <v>848</v>
      </c>
      <c r="B2" s="14" t="s">
        <v>558</v>
      </c>
      <c r="C2" s="15" t="s">
        <v>849</v>
      </c>
      <c r="D2" s="15" t="s">
        <v>850</v>
      </c>
      <c r="E2" s="23" t="s">
        <v>19</v>
      </c>
      <c r="F2" s="16"/>
      <c r="G2" s="16"/>
      <c r="H2" s="19" t="n">
        <f aca="false">LEN(IF(F2&lt;&gt;"",F2,D2))</f>
        <v>12</v>
      </c>
      <c r="I2" s="24" t="str">
        <f aca="false">IF(OR(H2&lt;4,H2&gt;22),"분량 확인","")</f>
        <v/>
      </c>
    </row>
    <row r="3" customFormat="false" ht="33.75" hidden="false" customHeight="true" outlineLevel="0" collapsed="false">
      <c r="A3" s="13" t="s">
        <v>851</v>
      </c>
      <c r="B3" s="14" t="s">
        <v>558</v>
      </c>
      <c r="C3" s="15" t="s">
        <v>852</v>
      </c>
      <c r="D3" s="15" t="s">
        <v>853</v>
      </c>
      <c r="E3" s="23" t="s">
        <v>19</v>
      </c>
      <c r="F3" s="16"/>
      <c r="G3" s="16"/>
      <c r="H3" s="19" t="n">
        <f aca="false">LEN(IF(F3&lt;&gt;"",F3,D3))</f>
        <v>12</v>
      </c>
      <c r="I3" s="24" t="str">
        <f aca="false">IF(OR(H3&lt;4,H3&gt;22),"분량 확인","")</f>
        <v/>
      </c>
    </row>
    <row r="4" customFormat="false" ht="33.75" hidden="false" customHeight="true" outlineLevel="0" collapsed="false">
      <c r="A4" s="13" t="s">
        <v>854</v>
      </c>
      <c r="B4" s="14" t="s">
        <v>558</v>
      </c>
      <c r="C4" s="15" t="s">
        <v>855</v>
      </c>
      <c r="D4" s="15" t="s">
        <v>856</v>
      </c>
      <c r="E4" s="23" t="s">
        <v>19</v>
      </c>
      <c r="F4" s="16"/>
      <c r="G4" s="16"/>
      <c r="H4" s="19" t="n">
        <f aca="false">LEN(IF(F4&lt;&gt;"",F4,D4))</f>
        <v>10</v>
      </c>
      <c r="I4" s="24" t="str">
        <f aca="false">IF(OR(H4&lt;4,H4&gt;22),"분량 확인","")</f>
        <v/>
      </c>
    </row>
    <row r="5" customFormat="false" ht="33.75" hidden="false" customHeight="true" outlineLevel="0" collapsed="false">
      <c r="A5" s="13" t="s">
        <v>857</v>
      </c>
      <c r="B5" s="14" t="s">
        <v>558</v>
      </c>
      <c r="C5" s="15" t="s">
        <v>858</v>
      </c>
      <c r="D5" s="15" t="s">
        <v>859</v>
      </c>
      <c r="E5" s="23" t="s">
        <v>19</v>
      </c>
      <c r="F5" s="16"/>
      <c r="G5" s="16"/>
      <c r="H5" s="19" t="n">
        <f aca="false">LEN(IF(F5&lt;&gt;"",F5,D5))</f>
        <v>12</v>
      </c>
      <c r="I5" s="24" t="str">
        <f aca="false">IF(OR(H5&lt;4,H5&gt;22),"분량 확인","")</f>
        <v/>
      </c>
    </row>
    <row r="6" customFormat="false" ht="33.75" hidden="false" customHeight="true" outlineLevel="0" collapsed="false">
      <c r="A6" s="13" t="s">
        <v>860</v>
      </c>
      <c r="B6" s="14" t="s">
        <v>558</v>
      </c>
      <c r="C6" s="15" t="s">
        <v>861</v>
      </c>
      <c r="D6" s="15" t="s">
        <v>862</v>
      </c>
      <c r="E6" s="23" t="s">
        <v>19</v>
      </c>
      <c r="F6" s="16"/>
      <c r="G6" s="16"/>
      <c r="H6" s="19" t="n">
        <f aca="false">LEN(IF(F6&lt;&gt;"",F6,D6))</f>
        <v>10</v>
      </c>
      <c r="I6" s="24" t="str">
        <f aca="false">IF(OR(H6&lt;4,H6&gt;22),"분량 확인","")</f>
        <v/>
      </c>
    </row>
    <row r="7" customFormat="false" ht="33.75" hidden="false" customHeight="true" outlineLevel="0" collapsed="false">
      <c r="A7" s="13" t="s">
        <v>863</v>
      </c>
      <c r="B7" s="14" t="s">
        <v>558</v>
      </c>
      <c r="C7" s="15" t="s">
        <v>864</v>
      </c>
      <c r="D7" s="15" t="s">
        <v>865</v>
      </c>
      <c r="E7" s="23" t="s">
        <v>19</v>
      </c>
      <c r="F7" s="16"/>
      <c r="G7" s="16"/>
      <c r="H7" s="19" t="n">
        <f aca="false">LEN(IF(F7&lt;&gt;"",F7,D7))</f>
        <v>11</v>
      </c>
      <c r="I7" s="24" t="str">
        <f aca="false">IF(OR(H7&lt;4,H7&gt;22),"분량 확인","")</f>
        <v/>
      </c>
    </row>
    <row r="8" customFormat="false" ht="33.75" hidden="false" customHeight="true" outlineLevel="0" collapsed="false">
      <c r="A8" s="13" t="s">
        <v>866</v>
      </c>
      <c r="B8" s="14" t="s">
        <v>577</v>
      </c>
      <c r="C8" s="15" t="s">
        <v>849</v>
      </c>
      <c r="D8" s="15" t="s">
        <v>867</v>
      </c>
      <c r="E8" s="23" t="s">
        <v>19</v>
      </c>
      <c r="F8" s="16"/>
      <c r="G8" s="16"/>
      <c r="H8" s="19" t="n">
        <f aca="false">LEN(IF(F8&lt;&gt;"",F8,D8))</f>
        <v>14</v>
      </c>
      <c r="I8" s="24" t="str">
        <f aca="false">IF(OR(H8&lt;4,H8&gt;22),"분량 확인","")</f>
        <v/>
      </c>
    </row>
    <row r="9" customFormat="false" ht="33.75" hidden="false" customHeight="true" outlineLevel="0" collapsed="false">
      <c r="A9" s="13" t="s">
        <v>868</v>
      </c>
      <c r="B9" s="14" t="s">
        <v>577</v>
      </c>
      <c r="C9" s="15" t="s">
        <v>852</v>
      </c>
      <c r="D9" s="15" t="s">
        <v>869</v>
      </c>
      <c r="E9" s="23" t="s">
        <v>19</v>
      </c>
      <c r="F9" s="16"/>
      <c r="G9" s="16"/>
      <c r="H9" s="19" t="n">
        <f aca="false">LEN(IF(F9&lt;&gt;"",F9,D9))</f>
        <v>11</v>
      </c>
      <c r="I9" s="24" t="str">
        <f aca="false">IF(OR(H9&lt;4,H9&gt;22),"분량 확인","")</f>
        <v/>
      </c>
    </row>
    <row r="10" customFormat="false" ht="33.75" hidden="false" customHeight="true" outlineLevel="0" collapsed="false">
      <c r="A10" s="13" t="s">
        <v>870</v>
      </c>
      <c r="B10" s="14" t="s">
        <v>577</v>
      </c>
      <c r="C10" s="15" t="s">
        <v>855</v>
      </c>
      <c r="D10" s="15" t="s">
        <v>871</v>
      </c>
      <c r="E10" s="23" t="s">
        <v>19</v>
      </c>
      <c r="F10" s="16"/>
      <c r="G10" s="16"/>
      <c r="H10" s="19" t="n">
        <f aca="false">LEN(IF(F10&lt;&gt;"",F10,D10))</f>
        <v>10</v>
      </c>
      <c r="I10" s="24" t="str">
        <f aca="false">IF(OR(H10&lt;4,H10&gt;22),"분량 확인","")</f>
        <v/>
      </c>
    </row>
    <row r="11" customFormat="false" ht="33.75" hidden="false" customHeight="true" outlineLevel="0" collapsed="false">
      <c r="A11" s="13" t="s">
        <v>872</v>
      </c>
      <c r="B11" s="14" t="s">
        <v>577</v>
      </c>
      <c r="C11" s="15" t="s">
        <v>858</v>
      </c>
      <c r="D11" s="15" t="s">
        <v>873</v>
      </c>
      <c r="E11" s="23" t="s">
        <v>19</v>
      </c>
      <c r="F11" s="16"/>
      <c r="G11" s="16"/>
      <c r="H11" s="19" t="n">
        <f aca="false">LEN(IF(F11&lt;&gt;"",F11,D11))</f>
        <v>13</v>
      </c>
      <c r="I11" s="24" t="str">
        <f aca="false">IF(OR(H11&lt;4,H11&gt;22),"분량 확인","")</f>
        <v/>
      </c>
    </row>
    <row r="12" customFormat="false" ht="33.75" hidden="false" customHeight="true" outlineLevel="0" collapsed="false">
      <c r="A12" s="13" t="s">
        <v>874</v>
      </c>
      <c r="B12" s="14" t="s">
        <v>577</v>
      </c>
      <c r="C12" s="15" t="s">
        <v>861</v>
      </c>
      <c r="D12" s="15" t="s">
        <v>875</v>
      </c>
      <c r="E12" s="23" t="s">
        <v>19</v>
      </c>
      <c r="F12" s="16"/>
      <c r="G12" s="16"/>
      <c r="H12" s="19" t="n">
        <f aca="false">LEN(IF(F12&lt;&gt;"",F12,D12))</f>
        <v>12</v>
      </c>
      <c r="I12" s="24" t="str">
        <f aca="false">IF(OR(H12&lt;4,H12&gt;22),"분량 확인","")</f>
        <v/>
      </c>
    </row>
    <row r="13" customFormat="false" ht="33.75" hidden="false" customHeight="true" outlineLevel="0" collapsed="false">
      <c r="A13" s="13" t="s">
        <v>876</v>
      </c>
      <c r="B13" s="14" t="s">
        <v>577</v>
      </c>
      <c r="C13" s="15" t="s">
        <v>864</v>
      </c>
      <c r="D13" s="15" t="s">
        <v>877</v>
      </c>
      <c r="E13" s="23" t="s">
        <v>19</v>
      </c>
      <c r="F13" s="16"/>
      <c r="G13" s="16"/>
      <c r="H13" s="19" t="n">
        <f aca="false">LEN(IF(F13&lt;&gt;"",F13,D13))</f>
        <v>8</v>
      </c>
      <c r="I13" s="24" t="str">
        <f aca="false">IF(OR(H13&lt;4,H13&gt;22),"분량 확인","")</f>
        <v/>
      </c>
    </row>
    <row r="14" customFormat="false" ht="33.75" hidden="false" customHeight="true" outlineLevel="0" collapsed="false">
      <c r="A14" s="13" t="s">
        <v>878</v>
      </c>
      <c r="B14" s="14" t="s">
        <v>590</v>
      </c>
      <c r="C14" s="15" t="s">
        <v>849</v>
      </c>
      <c r="D14" s="15" t="s">
        <v>879</v>
      </c>
      <c r="E14" s="23" t="s">
        <v>19</v>
      </c>
      <c r="F14" s="16"/>
      <c r="G14" s="16"/>
      <c r="H14" s="19" t="n">
        <f aca="false">LEN(IF(F14&lt;&gt;"",F14,D14))</f>
        <v>12</v>
      </c>
      <c r="I14" s="24" t="str">
        <f aca="false">IF(OR(H14&lt;4,H14&gt;22),"분량 확인","")</f>
        <v/>
      </c>
    </row>
    <row r="15" customFormat="false" ht="33.75" hidden="false" customHeight="true" outlineLevel="0" collapsed="false">
      <c r="A15" s="13" t="s">
        <v>880</v>
      </c>
      <c r="B15" s="14" t="s">
        <v>590</v>
      </c>
      <c r="C15" s="15" t="s">
        <v>852</v>
      </c>
      <c r="D15" s="15" t="s">
        <v>881</v>
      </c>
      <c r="E15" s="23" t="s">
        <v>19</v>
      </c>
      <c r="F15" s="16"/>
      <c r="G15" s="16"/>
      <c r="H15" s="19" t="n">
        <f aca="false">LEN(IF(F15&lt;&gt;"",F15,D15))</f>
        <v>13</v>
      </c>
      <c r="I15" s="24" t="str">
        <f aca="false">IF(OR(H15&lt;4,H15&gt;22),"분량 확인","")</f>
        <v/>
      </c>
    </row>
    <row r="16" customFormat="false" ht="33.75" hidden="false" customHeight="true" outlineLevel="0" collapsed="false">
      <c r="A16" s="13" t="s">
        <v>882</v>
      </c>
      <c r="B16" s="14" t="s">
        <v>590</v>
      </c>
      <c r="C16" s="15" t="s">
        <v>855</v>
      </c>
      <c r="D16" s="15" t="s">
        <v>883</v>
      </c>
      <c r="E16" s="23" t="s">
        <v>19</v>
      </c>
      <c r="F16" s="16"/>
      <c r="G16" s="16"/>
      <c r="H16" s="19" t="n">
        <f aca="false">LEN(IF(F16&lt;&gt;"",F16,D16))</f>
        <v>11</v>
      </c>
      <c r="I16" s="24" t="str">
        <f aca="false">IF(OR(H16&lt;4,H16&gt;22),"분량 확인","")</f>
        <v/>
      </c>
    </row>
    <row r="17" customFormat="false" ht="33.75" hidden="false" customHeight="true" outlineLevel="0" collapsed="false">
      <c r="A17" s="13" t="s">
        <v>884</v>
      </c>
      <c r="B17" s="14" t="s">
        <v>590</v>
      </c>
      <c r="C17" s="15" t="s">
        <v>858</v>
      </c>
      <c r="D17" s="15" t="s">
        <v>885</v>
      </c>
      <c r="E17" s="23" t="s">
        <v>19</v>
      </c>
      <c r="F17" s="16"/>
      <c r="G17" s="16"/>
      <c r="H17" s="19" t="n">
        <f aca="false">LEN(IF(F17&lt;&gt;"",F17,D17))</f>
        <v>15</v>
      </c>
      <c r="I17" s="24" t="str">
        <f aca="false">IF(OR(H17&lt;4,H17&gt;22),"분량 확인","")</f>
        <v/>
      </c>
    </row>
    <row r="18" customFormat="false" ht="33.75" hidden="false" customHeight="true" outlineLevel="0" collapsed="false">
      <c r="A18" s="13" t="s">
        <v>886</v>
      </c>
      <c r="B18" s="14" t="s">
        <v>590</v>
      </c>
      <c r="C18" s="15" t="s">
        <v>861</v>
      </c>
      <c r="D18" s="15" t="s">
        <v>887</v>
      </c>
      <c r="E18" s="23" t="s">
        <v>19</v>
      </c>
      <c r="F18" s="16"/>
      <c r="G18" s="16"/>
      <c r="H18" s="19" t="n">
        <f aca="false">LEN(IF(F18&lt;&gt;"",F18,D18))</f>
        <v>10</v>
      </c>
      <c r="I18" s="24" t="str">
        <f aca="false">IF(OR(H18&lt;4,H18&gt;22),"분량 확인","")</f>
        <v/>
      </c>
    </row>
    <row r="19" customFormat="false" ht="33.75" hidden="false" customHeight="true" outlineLevel="0" collapsed="false">
      <c r="A19" s="13" t="s">
        <v>888</v>
      </c>
      <c r="B19" s="14" t="s">
        <v>590</v>
      </c>
      <c r="C19" s="15" t="s">
        <v>864</v>
      </c>
      <c r="D19" s="15" t="s">
        <v>889</v>
      </c>
      <c r="E19" s="23" t="s">
        <v>19</v>
      </c>
      <c r="F19" s="16"/>
      <c r="G19" s="16"/>
      <c r="H19" s="19" t="n">
        <f aca="false">LEN(IF(F19&lt;&gt;"",F19,D19))</f>
        <v>12</v>
      </c>
      <c r="I19" s="24" t="str">
        <f aca="false">IF(OR(H19&lt;4,H19&gt;22),"분량 확인","")</f>
        <v/>
      </c>
    </row>
    <row r="20" customFormat="false" ht="33.75" hidden="false" customHeight="true" outlineLevel="0" collapsed="false">
      <c r="A20" s="13" t="s">
        <v>890</v>
      </c>
      <c r="B20" s="14" t="s">
        <v>603</v>
      </c>
      <c r="C20" s="15" t="s">
        <v>849</v>
      </c>
      <c r="D20" s="15" t="s">
        <v>891</v>
      </c>
      <c r="E20" s="23" t="s">
        <v>19</v>
      </c>
      <c r="F20" s="16"/>
      <c r="G20" s="16"/>
      <c r="H20" s="19" t="n">
        <f aca="false">LEN(IF(F20&lt;&gt;"",F20,D20))</f>
        <v>13</v>
      </c>
      <c r="I20" s="24" t="str">
        <f aca="false">IF(OR(H20&lt;4,H20&gt;22),"분량 확인","")</f>
        <v/>
      </c>
    </row>
    <row r="21" customFormat="false" ht="33.75" hidden="false" customHeight="true" outlineLevel="0" collapsed="false">
      <c r="A21" s="13" t="s">
        <v>892</v>
      </c>
      <c r="B21" s="14" t="s">
        <v>603</v>
      </c>
      <c r="C21" s="15" t="s">
        <v>852</v>
      </c>
      <c r="D21" s="15" t="s">
        <v>893</v>
      </c>
      <c r="E21" s="23" t="s">
        <v>19</v>
      </c>
      <c r="F21" s="16"/>
      <c r="G21" s="16"/>
      <c r="H21" s="19" t="n">
        <f aca="false">LEN(IF(F21&lt;&gt;"",F21,D21))</f>
        <v>14</v>
      </c>
      <c r="I21" s="24" t="str">
        <f aca="false">IF(OR(H21&lt;4,H21&gt;22),"분량 확인","")</f>
        <v/>
      </c>
    </row>
    <row r="22" customFormat="false" ht="33.75" hidden="false" customHeight="true" outlineLevel="0" collapsed="false">
      <c r="A22" s="13" t="s">
        <v>894</v>
      </c>
      <c r="B22" s="14" t="s">
        <v>603</v>
      </c>
      <c r="C22" s="15" t="s">
        <v>855</v>
      </c>
      <c r="D22" s="15" t="s">
        <v>895</v>
      </c>
      <c r="E22" s="23" t="s">
        <v>19</v>
      </c>
      <c r="F22" s="16"/>
      <c r="G22" s="16"/>
      <c r="H22" s="19" t="n">
        <f aca="false">LEN(IF(F22&lt;&gt;"",F22,D22))</f>
        <v>12</v>
      </c>
      <c r="I22" s="24" t="str">
        <f aca="false">IF(OR(H22&lt;4,H22&gt;22),"분량 확인","")</f>
        <v/>
      </c>
    </row>
    <row r="23" customFormat="false" ht="33.75" hidden="false" customHeight="true" outlineLevel="0" collapsed="false">
      <c r="A23" s="13" t="s">
        <v>896</v>
      </c>
      <c r="B23" s="14" t="s">
        <v>603</v>
      </c>
      <c r="C23" s="15" t="s">
        <v>858</v>
      </c>
      <c r="D23" s="15" t="s">
        <v>897</v>
      </c>
      <c r="E23" s="23" t="s">
        <v>19</v>
      </c>
      <c r="F23" s="16"/>
      <c r="G23" s="16"/>
      <c r="H23" s="19" t="n">
        <f aca="false">LEN(IF(F23&lt;&gt;"",F23,D23))</f>
        <v>10</v>
      </c>
      <c r="I23" s="24" t="str">
        <f aca="false">IF(OR(H23&lt;4,H23&gt;22),"분량 확인","")</f>
        <v/>
      </c>
    </row>
    <row r="24" customFormat="false" ht="33.75" hidden="false" customHeight="true" outlineLevel="0" collapsed="false">
      <c r="A24" s="13" t="s">
        <v>898</v>
      </c>
      <c r="B24" s="14" t="s">
        <v>603</v>
      </c>
      <c r="C24" s="15" t="s">
        <v>861</v>
      </c>
      <c r="D24" s="15" t="s">
        <v>899</v>
      </c>
      <c r="E24" s="23" t="s">
        <v>19</v>
      </c>
      <c r="F24" s="16"/>
      <c r="G24" s="16"/>
      <c r="H24" s="19" t="n">
        <f aca="false">LEN(IF(F24&lt;&gt;"",F24,D24))</f>
        <v>10</v>
      </c>
      <c r="I24" s="24" t="str">
        <f aca="false">IF(OR(H24&lt;4,H24&gt;22),"분량 확인","")</f>
        <v/>
      </c>
    </row>
    <row r="25" customFormat="false" ht="33.75" hidden="false" customHeight="true" outlineLevel="0" collapsed="false">
      <c r="A25" s="13" t="s">
        <v>900</v>
      </c>
      <c r="B25" s="14" t="s">
        <v>603</v>
      </c>
      <c r="C25" s="15" t="s">
        <v>864</v>
      </c>
      <c r="D25" s="15" t="s">
        <v>901</v>
      </c>
      <c r="E25" s="23" t="s">
        <v>19</v>
      </c>
      <c r="F25" s="16"/>
      <c r="G25" s="16"/>
      <c r="H25" s="19" t="n">
        <f aca="false">LEN(IF(F25&lt;&gt;"",F25,D25))</f>
        <v>9</v>
      </c>
      <c r="I25" s="24" t="str">
        <f aca="false">IF(OR(H25&lt;4,H25&gt;22),"분량 확인","")</f>
        <v/>
      </c>
    </row>
    <row r="26" customFormat="false" ht="33.75" hidden="false" customHeight="true" outlineLevel="0" collapsed="false">
      <c r="A26" s="13" t="s">
        <v>902</v>
      </c>
      <c r="B26" s="14" t="s">
        <v>616</v>
      </c>
      <c r="C26" s="15" t="s">
        <v>849</v>
      </c>
      <c r="D26" s="15" t="s">
        <v>903</v>
      </c>
      <c r="E26" s="23" t="s">
        <v>19</v>
      </c>
      <c r="F26" s="16"/>
      <c r="G26" s="16"/>
      <c r="H26" s="19" t="n">
        <f aca="false">LEN(IF(F26&lt;&gt;"",F26,D26))</f>
        <v>13</v>
      </c>
      <c r="I26" s="24" t="str">
        <f aca="false">IF(OR(H26&lt;4,H26&gt;22),"분량 확인","")</f>
        <v/>
      </c>
    </row>
    <row r="27" customFormat="false" ht="33.75" hidden="false" customHeight="true" outlineLevel="0" collapsed="false">
      <c r="A27" s="13" t="s">
        <v>904</v>
      </c>
      <c r="B27" s="14" t="s">
        <v>616</v>
      </c>
      <c r="C27" s="15" t="s">
        <v>852</v>
      </c>
      <c r="D27" s="15" t="s">
        <v>905</v>
      </c>
      <c r="E27" s="23" t="s">
        <v>19</v>
      </c>
      <c r="F27" s="16"/>
      <c r="G27" s="16"/>
      <c r="H27" s="19" t="n">
        <f aca="false">LEN(IF(F27&lt;&gt;"",F27,D27))</f>
        <v>13</v>
      </c>
      <c r="I27" s="24" t="str">
        <f aca="false">IF(OR(H27&lt;4,H27&gt;22),"분량 확인","")</f>
        <v/>
      </c>
    </row>
    <row r="28" customFormat="false" ht="33.75" hidden="false" customHeight="true" outlineLevel="0" collapsed="false">
      <c r="A28" s="13" t="s">
        <v>906</v>
      </c>
      <c r="B28" s="14" t="s">
        <v>616</v>
      </c>
      <c r="C28" s="15" t="s">
        <v>855</v>
      </c>
      <c r="D28" s="15" t="s">
        <v>907</v>
      </c>
      <c r="E28" s="23" t="s">
        <v>19</v>
      </c>
      <c r="F28" s="16"/>
      <c r="G28" s="16"/>
      <c r="H28" s="19" t="n">
        <f aca="false">LEN(IF(F28&lt;&gt;"",F28,D28))</f>
        <v>7</v>
      </c>
      <c r="I28" s="24" t="str">
        <f aca="false">IF(OR(H28&lt;4,H28&gt;22),"분량 확인","")</f>
        <v/>
      </c>
    </row>
    <row r="29" customFormat="false" ht="33.75" hidden="false" customHeight="true" outlineLevel="0" collapsed="false">
      <c r="A29" s="13" t="s">
        <v>908</v>
      </c>
      <c r="B29" s="14" t="s">
        <v>616</v>
      </c>
      <c r="C29" s="15" t="s">
        <v>858</v>
      </c>
      <c r="D29" s="15" t="s">
        <v>909</v>
      </c>
      <c r="E29" s="23" t="s">
        <v>19</v>
      </c>
      <c r="F29" s="16"/>
      <c r="G29" s="16"/>
      <c r="H29" s="19" t="n">
        <f aca="false">LEN(IF(F29&lt;&gt;"",F29,D29))</f>
        <v>16</v>
      </c>
      <c r="I29" s="24" t="str">
        <f aca="false">IF(OR(H29&lt;4,H29&gt;22),"분량 확인","")</f>
        <v/>
      </c>
    </row>
    <row r="30" customFormat="false" ht="33.75" hidden="false" customHeight="true" outlineLevel="0" collapsed="false">
      <c r="A30" s="13" t="s">
        <v>910</v>
      </c>
      <c r="B30" s="14" t="s">
        <v>616</v>
      </c>
      <c r="C30" s="15" t="s">
        <v>861</v>
      </c>
      <c r="D30" s="15" t="s">
        <v>911</v>
      </c>
      <c r="E30" s="23" t="s">
        <v>19</v>
      </c>
      <c r="F30" s="16"/>
      <c r="G30" s="16"/>
      <c r="H30" s="19" t="n">
        <f aca="false">LEN(IF(F30&lt;&gt;"",F30,D30))</f>
        <v>9</v>
      </c>
      <c r="I30" s="24" t="str">
        <f aca="false">IF(OR(H30&lt;4,H30&gt;22),"분량 확인","")</f>
        <v/>
      </c>
    </row>
    <row r="31" customFormat="false" ht="33.75" hidden="false" customHeight="true" outlineLevel="0" collapsed="false">
      <c r="A31" s="13" t="s">
        <v>912</v>
      </c>
      <c r="B31" s="14" t="s">
        <v>616</v>
      </c>
      <c r="C31" s="15" t="s">
        <v>864</v>
      </c>
      <c r="D31" s="15" t="s">
        <v>913</v>
      </c>
      <c r="E31" s="23" t="s">
        <v>19</v>
      </c>
      <c r="F31" s="16"/>
      <c r="G31" s="16"/>
      <c r="H31" s="19" t="n">
        <f aca="false">LEN(IF(F31&lt;&gt;"",F31,D31))</f>
        <v>12</v>
      </c>
      <c r="I31" s="24" t="str">
        <f aca="false">IF(OR(H31&lt;4,H31&gt;22),"분량 확인","")</f>
        <v/>
      </c>
    </row>
    <row r="32" customFormat="false" ht="33.75" hidden="false" customHeight="true" outlineLevel="0" collapsed="false">
      <c r="A32" s="13" t="s">
        <v>914</v>
      </c>
      <c r="B32" s="14" t="s">
        <v>629</v>
      </c>
      <c r="C32" s="15" t="s">
        <v>849</v>
      </c>
      <c r="D32" s="15" t="s">
        <v>915</v>
      </c>
      <c r="E32" s="23" t="s">
        <v>19</v>
      </c>
      <c r="F32" s="16"/>
      <c r="G32" s="16"/>
      <c r="H32" s="19" t="n">
        <f aca="false">LEN(IF(F32&lt;&gt;"",F32,D32))</f>
        <v>11</v>
      </c>
      <c r="I32" s="24" t="str">
        <f aca="false">IF(OR(H32&lt;4,H32&gt;22),"분량 확인","")</f>
        <v/>
      </c>
    </row>
    <row r="33" customFormat="false" ht="33.75" hidden="false" customHeight="true" outlineLevel="0" collapsed="false">
      <c r="A33" s="13" t="s">
        <v>916</v>
      </c>
      <c r="B33" s="14" t="s">
        <v>629</v>
      </c>
      <c r="C33" s="15" t="s">
        <v>852</v>
      </c>
      <c r="D33" s="15" t="s">
        <v>917</v>
      </c>
      <c r="E33" s="23" t="s">
        <v>19</v>
      </c>
      <c r="F33" s="16"/>
      <c r="G33" s="16"/>
      <c r="H33" s="19" t="n">
        <f aca="false">LEN(IF(F33&lt;&gt;"",F33,D33))</f>
        <v>10</v>
      </c>
      <c r="I33" s="24" t="str">
        <f aca="false">IF(OR(H33&lt;4,H33&gt;22),"분량 확인","")</f>
        <v/>
      </c>
    </row>
    <row r="34" customFormat="false" ht="33.75" hidden="false" customHeight="true" outlineLevel="0" collapsed="false">
      <c r="A34" s="13" t="s">
        <v>918</v>
      </c>
      <c r="B34" s="14" t="s">
        <v>629</v>
      </c>
      <c r="C34" s="15" t="s">
        <v>855</v>
      </c>
      <c r="D34" s="15" t="s">
        <v>919</v>
      </c>
      <c r="E34" s="23" t="s">
        <v>19</v>
      </c>
      <c r="F34" s="16"/>
      <c r="G34" s="16"/>
      <c r="H34" s="19" t="n">
        <f aca="false">LEN(IF(F34&lt;&gt;"",F34,D34))</f>
        <v>13</v>
      </c>
      <c r="I34" s="24" t="str">
        <f aca="false">IF(OR(H34&lt;4,H34&gt;22),"분량 확인","")</f>
        <v/>
      </c>
    </row>
    <row r="35" customFormat="false" ht="33.75" hidden="false" customHeight="true" outlineLevel="0" collapsed="false">
      <c r="A35" s="13" t="s">
        <v>920</v>
      </c>
      <c r="B35" s="14" t="s">
        <v>629</v>
      </c>
      <c r="C35" s="15" t="s">
        <v>858</v>
      </c>
      <c r="D35" s="15" t="s">
        <v>921</v>
      </c>
      <c r="E35" s="23" t="s">
        <v>19</v>
      </c>
      <c r="F35" s="16"/>
      <c r="G35" s="16"/>
      <c r="H35" s="19" t="n">
        <f aca="false">LEN(IF(F35&lt;&gt;"",F35,D35))</f>
        <v>14</v>
      </c>
      <c r="I35" s="24" t="str">
        <f aca="false">IF(OR(H35&lt;4,H35&gt;22),"분량 확인","")</f>
        <v/>
      </c>
    </row>
    <row r="36" customFormat="false" ht="33.75" hidden="false" customHeight="true" outlineLevel="0" collapsed="false">
      <c r="A36" s="13" t="s">
        <v>922</v>
      </c>
      <c r="B36" s="14" t="s">
        <v>629</v>
      </c>
      <c r="C36" s="15" t="s">
        <v>861</v>
      </c>
      <c r="D36" s="15" t="s">
        <v>923</v>
      </c>
      <c r="E36" s="23" t="s">
        <v>19</v>
      </c>
      <c r="F36" s="16"/>
      <c r="G36" s="16"/>
      <c r="H36" s="19" t="n">
        <f aca="false">LEN(IF(F36&lt;&gt;"",F36,D36))</f>
        <v>13</v>
      </c>
      <c r="I36" s="24" t="str">
        <f aca="false">IF(OR(H36&lt;4,H36&gt;22),"분량 확인","")</f>
        <v/>
      </c>
    </row>
    <row r="37" customFormat="false" ht="33.75" hidden="false" customHeight="true" outlineLevel="0" collapsed="false">
      <c r="A37" s="13" t="s">
        <v>924</v>
      </c>
      <c r="B37" s="14" t="s">
        <v>629</v>
      </c>
      <c r="C37" s="15" t="s">
        <v>864</v>
      </c>
      <c r="D37" s="15" t="s">
        <v>925</v>
      </c>
      <c r="E37" s="23" t="s">
        <v>19</v>
      </c>
      <c r="F37" s="16"/>
      <c r="G37" s="16"/>
      <c r="H37" s="19" t="n">
        <f aca="false">LEN(IF(F37&lt;&gt;"",F37,D37))</f>
        <v>16</v>
      </c>
      <c r="I37" s="24" t="str">
        <f aca="false">IF(OR(H37&lt;4,H37&gt;22),"분량 확인","")</f>
        <v/>
      </c>
    </row>
    <row r="38" customFormat="false" ht="33.75" hidden="false" customHeight="true" outlineLevel="0" collapsed="false">
      <c r="A38" s="13" t="s">
        <v>926</v>
      </c>
      <c r="B38" s="14" t="s">
        <v>642</v>
      </c>
      <c r="C38" s="15" t="s">
        <v>849</v>
      </c>
      <c r="D38" s="15" t="s">
        <v>927</v>
      </c>
      <c r="E38" s="23" t="s">
        <v>19</v>
      </c>
      <c r="F38" s="16"/>
      <c r="G38" s="16"/>
      <c r="H38" s="19" t="n">
        <f aca="false">LEN(IF(F38&lt;&gt;"",F38,D38))</f>
        <v>14</v>
      </c>
      <c r="I38" s="24" t="str">
        <f aca="false">IF(OR(H38&lt;4,H38&gt;22),"분량 확인","")</f>
        <v/>
      </c>
    </row>
    <row r="39" customFormat="false" ht="33.75" hidden="false" customHeight="true" outlineLevel="0" collapsed="false">
      <c r="A39" s="13" t="s">
        <v>928</v>
      </c>
      <c r="B39" s="14" t="s">
        <v>642</v>
      </c>
      <c r="C39" s="15" t="s">
        <v>852</v>
      </c>
      <c r="D39" s="15" t="s">
        <v>929</v>
      </c>
      <c r="E39" s="23" t="s">
        <v>19</v>
      </c>
      <c r="F39" s="16"/>
      <c r="G39" s="16"/>
      <c r="H39" s="19" t="n">
        <f aca="false">LEN(IF(F39&lt;&gt;"",F39,D39))</f>
        <v>12</v>
      </c>
      <c r="I39" s="24" t="str">
        <f aca="false">IF(OR(H39&lt;4,H39&gt;22),"분량 확인","")</f>
        <v/>
      </c>
    </row>
    <row r="40" customFormat="false" ht="33.75" hidden="false" customHeight="true" outlineLevel="0" collapsed="false">
      <c r="A40" s="13" t="s">
        <v>930</v>
      </c>
      <c r="B40" s="14" t="s">
        <v>642</v>
      </c>
      <c r="C40" s="15" t="s">
        <v>855</v>
      </c>
      <c r="D40" s="15" t="s">
        <v>931</v>
      </c>
      <c r="E40" s="23" t="s">
        <v>19</v>
      </c>
      <c r="F40" s="16"/>
      <c r="G40" s="16"/>
      <c r="H40" s="19" t="n">
        <f aca="false">LEN(IF(F40&lt;&gt;"",F40,D40))</f>
        <v>12</v>
      </c>
      <c r="I40" s="24" t="str">
        <f aca="false">IF(OR(H40&lt;4,H40&gt;22),"분량 확인","")</f>
        <v/>
      </c>
    </row>
    <row r="41" customFormat="false" ht="33.75" hidden="false" customHeight="true" outlineLevel="0" collapsed="false">
      <c r="A41" s="13" t="s">
        <v>932</v>
      </c>
      <c r="B41" s="14" t="s">
        <v>642</v>
      </c>
      <c r="C41" s="15" t="s">
        <v>858</v>
      </c>
      <c r="D41" s="15" t="s">
        <v>933</v>
      </c>
      <c r="E41" s="23" t="s">
        <v>19</v>
      </c>
      <c r="F41" s="16"/>
      <c r="G41" s="16"/>
      <c r="H41" s="19" t="n">
        <f aca="false">LEN(IF(F41&lt;&gt;"",F41,D41))</f>
        <v>12</v>
      </c>
      <c r="I41" s="24" t="str">
        <f aca="false">IF(OR(H41&lt;4,H41&gt;22),"분량 확인","")</f>
        <v/>
      </c>
    </row>
    <row r="42" customFormat="false" ht="33.75" hidden="false" customHeight="true" outlineLevel="0" collapsed="false">
      <c r="A42" s="13" t="s">
        <v>934</v>
      </c>
      <c r="B42" s="14" t="s">
        <v>642</v>
      </c>
      <c r="C42" s="15" t="s">
        <v>861</v>
      </c>
      <c r="D42" s="15" t="s">
        <v>935</v>
      </c>
      <c r="E42" s="23" t="s">
        <v>19</v>
      </c>
      <c r="F42" s="16"/>
      <c r="G42" s="16"/>
      <c r="H42" s="19" t="n">
        <f aca="false">LEN(IF(F42&lt;&gt;"",F42,D42))</f>
        <v>11</v>
      </c>
      <c r="I42" s="24" t="str">
        <f aca="false">IF(OR(H42&lt;4,H42&gt;22),"분량 확인","")</f>
        <v/>
      </c>
    </row>
    <row r="43" customFormat="false" ht="33.75" hidden="false" customHeight="true" outlineLevel="0" collapsed="false">
      <c r="A43" s="13" t="s">
        <v>936</v>
      </c>
      <c r="B43" s="14" t="s">
        <v>642</v>
      </c>
      <c r="C43" s="15" t="s">
        <v>864</v>
      </c>
      <c r="D43" s="15" t="s">
        <v>937</v>
      </c>
      <c r="E43" s="23" t="s">
        <v>19</v>
      </c>
      <c r="F43" s="16"/>
      <c r="G43" s="16"/>
      <c r="H43" s="19" t="n">
        <f aca="false">LEN(IF(F43&lt;&gt;"",F43,D43))</f>
        <v>10</v>
      </c>
      <c r="I43" s="24" t="str">
        <f aca="false">IF(OR(H43&lt;4,H43&gt;22),"분량 확인","")</f>
        <v/>
      </c>
    </row>
    <row r="44" customFormat="false" ht="33.75" hidden="false" customHeight="true" outlineLevel="0" collapsed="false">
      <c r="A44" s="13" t="s">
        <v>938</v>
      </c>
      <c r="B44" s="14" t="s">
        <v>655</v>
      </c>
      <c r="C44" s="15" t="s">
        <v>849</v>
      </c>
      <c r="D44" s="15" t="s">
        <v>939</v>
      </c>
      <c r="E44" s="23" t="s">
        <v>19</v>
      </c>
      <c r="F44" s="16"/>
      <c r="G44" s="16"/>
      <c r="H44" s="19" t="n">
        <f aca="false">LEN(IF(F44&lt;&gt;"",F44,D44))</f>
        <v>13</v>
      </c>
      <c r="I44" s="24" t="str">
        <f aca="false">IF(OR(H44&lt;4,H44&gt;22),"분량 확인","")</f>
        <v/>
      </c>
    </row>
    <row r="45" customFormat="false" ht="33.75" hidden="false" customHeight="true" outlineLevel="0" collapsed="false">
      <c r="A45" s="13" t="s">
        <v>940</v>
      </c>
      <c r="B45" s="14" t="s">
        <v>655</v>
      </c>
      <c r="C45" s="15" t="s">
        <v>852</v>
      </c>
      <c r="D45" s="15" t="s">
        <v>941</v>
      </c>
      <c r="E45" s="23" t="s">
        <v>19</v>
      </c>
      <c r="F45" s="16"/>
      <c r="G45" s="16"/>
      <c r="H45" s="19" t="n">
        <f aca="false">LEN(IF(F45&lt;&gt;"",F45,D45))</f>
        <v>13</v>
      </c>
      <c r="I45" s="24" t="str">
        <f aca="false">IF(OR(H45&lt;4,H45&gt;22),"분량 확인","")</f>
        <v/>
      </c>
    </row>
    <row r="46" customFormat="false" ht="33.75" hidden="false" customHeight="true" outlineLevel="0" collapsed="false">
      <c r="A46" s="13" t="s">
        <v>942</v>
      </c>
      <c r="B46" s="14" t="s">
        <v>655</v>
      </c>
      <c r="C46" s="15" t="s">
        <v>855</v>
      </c>
      <c r="D46" s="15" t="s">
        <v>943</v>
      </c>
      <c r="E46" s="23" t="s">
        <v>19</v>
      </c>
      <c r="F46" s="16"/>
      <c r="G46" s="16"/>
      <c r="H46" s="19" t="n">
        <f aca="false">LEN(IF(F46&lt;&gt;"",F46,D46))</f>
        <v>11</v>
      </c>
      <c r="I46" s="24" t="str">
        <f aca="false">IF(OR(H46&lt;4,H46&gt;22),"분량 확인","")</f>
        <v/>
      </c>
    </row>
    <row r="47" customFormat="false" ht="33.75" hidden="false" customHeight="true" outlineLevel="0" collapsed="false">
      <c r="A47" s="13" t="s">
        <v>944</v>
      </c>
      <c r="B47" s="14" t="s">
        <v>655</v>
      </c>
      <c r="C47" s="15" t="s">
        <v>858</v>
      </c>
      <c r="D47" s="15" t="s">
        <v>945</v>
      </c>
      <c r="E47" s="23" t="s">
        <v>19</v>
      </c>
      <c r="F47" s="16"/>
      <c r="G47" s="16"/>
      <c r="H47" s="19" t="n">
        <f aca="false">LEN(IF(F47&lt;&gt;"",F47,D47))</f>
        <v>14</v>
      </c>
      <c r="I47" s="24" t="str">
        <f aca="false">IF(OR(H47&lt;4,H47&gt;22),"분량 확인","")</f>
        <v/>
      </c>
    </row>
    <row r="48" customFormat="false" ht="33.75" hidden="false" customHeight="true" outlineLevel="0" collapsed="false">
      <c r="A48" s="13" t="s">
        <v>946</v>
      </c>
      <c r="B48" s="14" t="s">
        <v>655</v>
      </c>
      <c r="C48" s="15" t="s">
        <v>861</v>
      </c>
      <c r="D48" s="15" t="s">
        <v>947</v>
      </c>
      <c r="E48" s="23" t="s">
        <v>19</v>
      </c>
      <c r="F48" s="16"/>
      <c r="G48" s="16"/>
      <c r="H48" s="19" t="n">
        <f aca="false">LEN(IF(F48&lt;&gt;"",F48,D48))</f>
        <v>12</v>
      </c>
      <c r="I48" s="24" t="str">
        <f aca="false">IF(OR(H48&lt;4,H48&gt;22),"분량 확인","")</f>
        <v/>
      </c>
    </row>
    <row r="49" customFormat="false" ht="33.75" hidden="false" customHeight="true" outlineLevel="0" collapsed="false">
      <c r="A49" s="13" t="s">
        <v>948</v>
      </c>
      <c r="B49" s="14" t="s">
        <v>655</v>
      </c>
      <c r="C49" s="15" t="s">
        <v>864</v>
      </c>
      <c r="D49" s="15" t="s">
        <v>949</v>
      </c>
      <c r="E49" s="23" t="s">
        <v>19</v>
      </c>
      <c r="F49" s="16"/>
      <c r="G49" s="16"/>
      <c r="H49" s="19" t="n">
        <f aca="false">LEN(IF(F49&lt;&gt;"",F49,D49))</f>
        <v>10</v>
      </c>
      <c r="I49" s="24" t="str">
        <f aca="false">IF(OR(H49&lt;4,H49&gt;22),"분량 확인","")</f>
        <v/>
      </c>
    </row>
    <row r="50" customFormat="false" ht="33.75" hidden="false" customHeight="true" outlineLevel="0" collapsed="false">
      <c r="A50" s="13" t="s">
        <v>950</v>
      </c>
      <c r="B50" s="14" t="s">
        <v>668</v>
      </c>
      <c r="C50" s="15" t="s">
        <v>849</v>
      </c>
      <c r="D50" s="15" t="s">
        <v>951</v>
      </c>
      <c r="E50" s="23" t="s">
        <v>19</v>
      </c>
      <c r="F50" s="16"/>
      <c r="G50" s="16"/>
      <c r="H50" s="19" t="n">
        <f aca="false">LEN(IF(F50&lt;&gt;"",F50,D50))</f>
        <v>12</v>
      </c>
      <c r="I50" s="24" t="str">
        <f aca="false">IF(OR(H50&lt;4,H50&gt;22),"분량 확인","")</f>
        <v/>
      </c>
    </row>
    <row r="51" customFormat="false" ht="33.75" hidden="false" customHeight="true" outlineLevel="0" collapsed="false">
      <c r="A51" s="13" t="s">
        <v>952</v>
      </c>
      <c r="B51" s="14" t="s">
        <v>668</v>
      </c>
      <c r="C51" s="15" t="s">
        <v>852</v>
      </c>
      <c r="D51" s="15" t="s">
        <v>953</v>
      </c>
      <c r="E51" s="23" t="s">
        <v>19</v>
      </c>
      <c r="F51" s="16"/>
      <c r="G51" s="16"/>
      <c r="H51" s="19" t="n">
        <f aca="false">LEN(IF(F51&lt;&gt;"",F51,D51))</f>
        <v>12</v>
      </c>
      <c r="I51" s="24" t="str">
        <f aca="false">IF(OR(H51&lt;4,H51&gt;22),"분량 확인","")</f>
        <v/>
      </c>
    </row>
    <row r="52" customFormat="false" ht="33.75" hidden="false" customHeight="true" outlineLevel="0" collapsed="false">
      <c r="A52" s="13" t="s">
        <v>954</v>
      </c>
      <c r="B52" s="14" t="s">
        <v>668</v>
      </c>
      <c r="C52" s="15" t="s">
        <v>855</v>
      </c>
      <c r="D52" s="15" t="s">
        <v>955</v>
      </c>
      <c r="E52" s="23" t="s">
        <v>19</v>
      </c>
      <c r="F52" s="16"/>
      <c r="G52" s="16"/>
      <c r="H52" s="19" t="n">
        <f aca="false">LEN(IF(F52&lt;&gt;"",F52,D52))</f>
        <v>11</v>
      </c>
      <c r="I52" s="24" t="str">
        <f aca="false">IF(OR(H52&lt;4,H52&gt;22),"분량 확인","")</f>
        <v/>
      </c>
    </row>
    <row r="53" customFormat="false" ht="33.75" hidden="false" customHeight="true" outlineLevel="0" collapsed="false">
      <c r="A53" s="13" t="s">
        <v>956</v>
      </c>
      <c r="B53" s="14" t="s">
        <v>668</v>
      </c>
      <c r="C53" s="15" t="s">
        <v>858</v>
      </c>
      <c r="D53" s="15" t="s">
        <v>957</v>
      </c>
      <c r="E53" s="23" t="s">
        <v>19</v>
      </c>
      <c r="F53" s="16"/>
      <c r="G53" s="16"/>
      <c r="H53" s="19" t="n">
        <f aca="false">LEN(IF(F53&lt;&gt;"",F53,D53))</f>
        <v>12</v>
      </c>
      <c r="I53" s="24" t="str">
        <f aca="false">IF(OR(H53&lt;4,H53&gt;22),"분량 확인","")</f>
        <v/>
      </c>
    </row>
    <row r="54" customFormat="false" ht="33.75" hidden="false" customHeight="true" outlineLevel="0" collapsed="false">
      <c r="A54" s="13" t="s">
        <v>958</v>
      </c>
      <c r="B54" s="14" t="s">
        <v>668</v>
      </c>
      <c r="C54" s="15" t="s">
        <v>861</v>
      </c>
      <c r="D54" s="15" t="s">
        <v>959</v>
      </c>
      <c r="E54" s="23" t="s">
        <v>19</v>
      </c>
      <c r="F54" s="16"/>
      <c r="G54" s="16"/>
      <c r="H54" s="19" t="n">
        <f aca="false">LEN(IF(F54&lt;&gt;"",F54,D54))</f>
        <v>12</v>
      </c>
      <c r="I54" s="24" t="str">
        <f aca="false">IF(OR(H54&lt;4,H54&gt;22),"분량 확인","")</f>
        <v/>
      </c>
    </row>
    <row r="55" customFormat="false" ht="33.75" hidden="false" customHeight="true" outlineLevel="0" collapsed="false">
      <c r="A55" s="13" t="s">
        <v>960</v>
      </c>
      <c r="B55" s="14" t="s">
        <v>668</v>
      </c>
      <c r="C55" s="15" t="s">
        <v>864</v>
      </c>
      <c r="D55" s="15" t="s">
        <v>961</v>
      </c>
      <c r="E55" s="23" t="s">
        <v>19</v>
      </c>
      <c r="F55" s="16"/>
      <c r="G55" s="16"/>
      <c r="H55" s="19" t="n">
        <f aca="false">LEN(IF(F55&lt;&gt;"",F55,D55))</f>
        <v>9</v>
      </c>
      <c r="I55" s="24" t="str">
        <f aca="false">IF(OR(H55&lt;4,H55&gt;22),"분량 확인","")</f>
        <v/>
      </c>
    </row>
    <row r="56" customFormat="false" ht="33.75" hidden="false" customHeight="true" outlineLevel="0" collapsed="false">
      <c r="A56" s="13" t="s">
        <v>962</v>
      </c>
      <c r="B56" s="14" t="s">
        <v>681</v>
      </c>
      <c r="C56" s="15" t="s">
        <v>849</v>
      </c>
      <c r="D56" s="15" t="s">
        <v>963</v>
      </c>
      <c r="E56" s="23" t="s">
        <v>19</v>
      </c>
      <c r="F56" s="16"/>
      <c r="G56" s="16"/>
      <c r="H56" s="19" t="n">
        <f aca="false">LEN(IF(F56&lt;&gt;"",F56,D56))</f>
        <v>15</v>
      </c>
      <c r="I56" s="24" t="str">
        <f aca="false">IF(OR(H56&lt;4,H56&gt;22),"분량 확인","")</f>
        <v/>
      </c>
    </row>
    <row r="57" customFormat="false" ht="33.75" hidden="false" customHeight="true" outlineLevel="0" collapsed="false">
      <c r="A57" s="13" t="s">
        <v>964</v>
      </c>
      <c r="B57" s="14" t="s">
        <v>681</v>
      </c>
      <c r="C57" s="15" t="s">
        <v>852</v>
      </c>
      <c r="D57" s="15" t="s">
        <v>965</v>
      </c>
      <c r="E57" s="23" t="s">
        <v>19</v>
      </c>
      <c r="F57" s="16"/>
      <c r="G57" s="16"/>
      <c r="H57" s="19" t="n">
        <f aca="false">LEN(IF(F57&lt;&gt;"",F57,D57))</f>
        <v>15</v>
      </c>
      <c r="I57" s="24" t="str">
        <f aca="false">IF(OR(H57&lt;4,H57&gt;22),"분량 확인","")</f>
        <v/>
      </c>
    </row>
    <row r="58" customFormat="false" ht="33.75" hidden="false" customHeight="true" outlineLevel="0" collapsed="false">
      <c r="A58" s="13" t="s">
        <v>966</v>
      </c>
      <c r="B58" s="14" t="s">
        <v>681</v>
      </c>
      <c r="C58" s="15" t="s">
        <v>855</v>
      </c>
      <c r="D58" s="15" t="s">
        <v>967</v>
      </c>
      <c r="E58" s="23" t="s">
        <v>19</v>
      </c>
      <c r="F58" s="16"/>
      <c r="G58" s="16"/>
      <c r="H58" s="19" t="n">
        <f aca="false">LEN(IF(F58&lt;&gt;"",F58,D58))</f>
        <v>11</v>
      </c>
      <c r="I58" s="24" t="str">
        <f aca="false">IF(OR(H58&lt;4,H58&gt;22),"분량 확인","")</f>
        <v/>
      </c>
    </row>
    <row r="59" customFormat="false" ht="33.75" hidden="false" customHeight="true" outlineLevel="0" collapsed="false">
      <c r="A59" s="13" t="s">
        <v>968</v>
      </c>
      <c r="B59" s="14" t="s">
        <v>681</v>
      </c>
      <c r="C59" s="15" t="s">
        <v>858</v>
      </c>
      <c r="D59" s="15" t="s">
        <v>969</v>
      </c>
      <c r="E59" s="23" t="s">
        <v>19</v>
      </c>
      <c r="F59" s="16"/>
      <c r="G59" s="16"/>
      <c r="H59" s="19" t="n">
        <f aca="false">LEN(IF(F59&lt;&gt;"",F59,D59))</f>
        <v>11</v>
      </c>
      <c r="I59" s="24" t="str">
        <f aca="false">IF(OR(H59&lt;4,H59&gt;22),"분량 확인","")</f>
        <v/>
      </c>
    </row>
    <row r="60" customFormat="false" ht="33.75" hidden="false" customHeight="true" outlineLevel="0" collapsed="false">
      <c r="A60" s="13" t="s">
        <v>970</v>
      </c>
      <c r="B60" s="14" t="s">
        <v>681</v>
      </c>
      <c r="C60" s="15" t="s">
        <v>861</v>
      </c>
      <c r="D60" s="15" t="s">
        <v>971</v>
      </c>
      <c r="E60" s="23" t="s">
        <v>19</v>
      </c>
      <c r="F60" s="16"/>
      <c r="G60" s="16"/>
      <c r="H60" s="19" t="n">
        <f aca="false">LEN(IF(F60&lt;&gt;"",F60,D60))</f>
        <v>10</v>
      </c>
      <c r="I60" s="24" t="str">
        <f aca="false">IF(OR(H60&lt;4,H60&gt;22),"분량 확인","")</f>
        <v/>
      </c>
    </row>
    <row r="61" customFormat="false" ht="33.75" hidden="false" customHeight="true" outlineLevel="0" collapsed="false">
      <c r="A61" s="13" t="s">
        <v>972</v>
      </c>
      <c r="B61" s="14" t="s">
        <v>681</v>
      </c>
      <c r="C61" s="15" t="s">
        <v>864</v>
      </c>
      <c r="D61" s="15" t="s">
        <v>973</v>
      </c>
      <c r="E61" s="23" t="s">
        <v>19</v>
      </c>
      <c r="F61" s="16"/>
      <c r="G61" s="16"/>
      <c r="H61" s="19" t="n">
        <f aca="false">LEN(IF(F61&lt;&gt;"",F61,D61))</f>
        <v>12</v>
      </c>
      <c r="I61" s="24" t="str">
        <f aca="false">IF(OR(H61&lt;4,H61&gt;22),"분량 확인","")</f>
        <v/>
      </c>
    </row>
    <row r="62" customFormat="false" ht="33.75" hidden="false" customHeight="true" outlineLevel="0" collapsed="false">
      <c r="A62" s="13" t="s">
        <v>974</v>
      </c>
      <c r="B62" s="14" t="s">
        <v>694</v>
      </c>
      <c r="C62" s="15" t="s">
        <v>849</v>
      </c>
      <c r="D62" s="15" t="s">
        <v>975</v>
      </c>
      <c r="E62" s="23" t="s">
        <v>19</v>
      </c>
      <c r="F62" s="16"/>
      <c r="G62" s="16"/>
      <c r="H62" s="19" t="n">
        <f aca="false">LEN(IF(F62&lt;&gt;"",F62,D62))</f>
        <v>12</v>
      </c>
      <c r="I62" s="24" t="str">
        <f aca="false">IF(OR(H62&lt;4,H62&gt;22),"분량 확인","")</f>
        <v/>
      </c>
    </row>
    <row r="63" customFormat="false" ht="33.75" hidden="false" customHeight="true" outlineLevel="0" collapsed="false">
      <c r="A63" s="13" t="s">
        <v>976</v>
      </c>
      <c r="B63" s="14" t="s">
        <v>694</v>
      </c>
      <c r="C63" s="15" t="s">
        <v>852</v>
      </c>
      <c r="D63" s="15" t="s">
        <v>977</v>
      </c>
      <c r="E63" s="23" t="s">
        <v>19</v>
      </c>
      <c r="F63" s="16"/>
      <c r="G63" s="16"/>
      <c r="H63" s="19" t="n">
        <f aca="false">LEN(IF(F63&lt;&gt;"",F63,D63))</f>
        <v>14</v>
      </c>
      <c r="I63" s="24" t="str">
        <f aca="false">IF(OR(H63&lt;4,H63&gt;22),"분량 확인","")</f>
        <v/>
      </c>
    </row>
    <row r="64" customFormat="false" ht="33.75" hidden="false" customHeight="true" outlineLevel="0" collapsed="false">
      <c r="A64" s="13" t="s">
        <v>978</v>
      </c>
      <c r="B64" s="14" t="s">
        <v>694</v>
      </c>
      <c r="C64" s="15" t="s">
        <v>855</v>
      </c>
      <c r="D64" s="15" t="s">
        <v>979</v>
      </c>
      <c r="E64" s="23" t="s">
        <v>19</v>
      </c>
      <c r="F64" s="16"/>
      <c r="G64" s="16"/>
      <c r="H64" s="19" t="n">
        <f aca="false">LEN(IF(F64&lt;&gt;"",F64,D64))</f>
        <v>13</v>
      </c>
      <c r="I64" s="24" t="str">
        <f aca="false">IF(OR(H64&lt;4,H64&gt;22),"분량 확인","")</f>
        <v/>
      </c>
    </row>
    <row r="65" customFormat="false" ht="33.75" hidden="false" customHeight="true" outlineLevel="0" collapsed="false">
      <c r="A65" s="13" t="s">
        <v>980</v>
      </c>
      <c r="B65" s="14" t="s">
        <v>694</v>
      </c>
      <c r="C65" s="15" t="s">
        <v>858</v>
      </c>
      <c r="D65" s="15" t="s">
        <v>981</v>
      </c>
      <c r="E65" s="23" t="s">
        <v>19</v>
      </c>
      <c r="F65" s="16"/>
      <c r="G65" s="16"/>
      <c r="H65" s="19" t="n">
        <f aca="false">LEN(IF(F65&lt;&gt;"",F65,D65))</f>
        <v>15</v>
      </c>
      <c r="I65" s="24" t="str">
        <f aca="false">IF(OR(H65&lt;4,H65&gt;22),"분량 확인","")</f>
        <v/>
      </c>
    </row>
    <row r="66" customFormat="false" ht="33.75" hidden="false" customHeight="true" outlineLevel="0" collapsed="false">
      <c r="A66" s="13" t="s">
        <v>982</v>
      </c>
      <c r="B66" s="14" t="s">
        <v>694</v>
      </c>
      <c r="C66" s="15" t="s">
        <v>861</v>
      </c>
      <c r="D66" s="15" t="s">
        <v>983</v>
      </c>
      <c r="E66" s="23" t="s">
        <v>19</v>
      </c>
      <c r="F66" s="16"/>
      <c r="G66" s="16"/>
      <c r="H66" s="19" t="n">
        <f aca="false">LEN(IF(F66&lt;&gt;"",F66,D66))</f>
        <v>10</v>
      </c>
      <c r="I66" s="24" t="str">
        <f aca="false">IF(OR(H66&lt;4,H66&gt;22),"분량 확인","")</f>
        <v/>
      </c>
    </row>
    <row r="67" customFormat="false" ht="33.75" hidden="false" customHeight="true" outlineLevel="0" collapsed="false">
      <c r="A67" s="13" t="s">
        <v>984</v>
      </c>
      <c r="B67" s="14" t="s">
        <v>694</v>
      </c>
      <c r="C67" s="15" t="s">
        <v>864</v>
      </c>
      <c r="D67" s="15" t="s">
        <v>985</v>
      </c>
      <c r="E67" s="23" t="s">
        <v>19</v>
      </c>
      <c r="F67" s="16"/>
      <c r="G67" s="16"/>
      <c r="H67" s="19" t="n">
        <f aca="false">LEN(IF(F67&lt;&gt;"",F67,D67))</f>
        <v>13</v>
      </c>
      <c r="I67" s="24" t="str">
        <f aca="false">IF(OR(H67&lt;4,H67&gt;22),"분량 확인","")</f>
        <v/>
      </c>
    </row>
    <row r="68" customFormat="false" ht="33.75" hidden="false" customHeight="true" outlineLevel="0" collapsed="false">
      <c r="A68" s="13" t="s">
        <v>986</v>
      </c>
      <c r="B68" s="14" t="s">
        <v>707</v>
      </c>
      <c r="C68" s="15" t="s">
        <v>849</v>
      </c>
      <c r="D68" s="15" t="s">
        <v>987</v>
      </c>
      <c r="E68" s="23" t="s">
        <v>19</v>
      </c>
      <c r="F68" s="16"/>
      <c r="G68" s="16"/>
      <c r="H68" s="19" t="n">
        <f aca="false">LEN(IF(F68&lt;&gt;"",F68,D68))</f>
        <v>14</v>
      </c>
      <c r="I68" s="24" t="str">
        <f aca="false">IF(OR(H68&lt;4,H68&gt;22),"분량 확인","")</f>
        <v/>
      </c>
    </row>
    <row r="69" customFormat="false" ht="33.75" hidden="false" customHeight="true" outlineLevel="0" collapsed="false">
      <c r="A69" s="13" t="s">
        <v>988</v>
      </c>
      <c r="B69" s="14" t="s">
        <v>707</v>
      </c>
      <c r="C69" s="15" t="s">
        <v>852</v>
      </c>
      <c r="D69" s="15" t="s">
        <v>989</v>
      </c>
      <c r="E69" s="23" t="s">
        <v>19</v>
      </c>
      <c r="F69" s="16"/>
      <c r="G69" s="16"/>
      <c r="H69" s="19" t="n">
        <f aca="false">LEN(IF(F69&lt;&gt;"",F69,D69))</f>
        <v>10</v>
      </c>
      <c r="I69" s="24" t="str">
        <f aca="false">IF(OR(H69&lt;4,H69&gt;22),"분량 확인","")</f>
        <v/>
      </c>
    </row>
    <row r="70" customFormat="false" ht="33.75" hidden="false" customHeight="true" outlineLevel="0" collapsed="false">
      <c r="A70" s="13" t="s">
        <v>990</v>
      </c>
      <c r="B70" s="14" t="s">
        <v>707</v>
      </c>
      <c r="C70" s="15" t="s">
        <v>855</v>
      </c>
      <c r="D70" s="15" t="s">
        <v>991</v>
      </c>
      <c r="E70" s="23" t="s">
        <v>19</v>
      </c>
      <c r="F70" s="16"/>
      <c r="G70" s="16"/>
      <c r="H70" s="19" t="n">
        <f aca="false">LEN(IF(F70&lt;&gt;"",F70,D70))</f>
        <v>13</v>
      </c>
      <c r="I70" s="24" t="str">
        <f aca="false">IF(OR(H70&lt;4,H70&gt;22),"분량 확인","")</f>
        <v/>
      </c>
    </row>
    <row r="71" customFormat="false" ht="33.75" hidden="false" customHeight="true" outlineLevel="0" collapsed="false">
      <c r="A71" s="13" t="s">
        <v>992</v>
      </c>
      <c r="B71" s="14" t="s">
        <v>707</v>
      </c>
      <c r="C71" s="15" t="s">
        <v>858</v>
      </c>
      <c r="D71" s="15" t="s">
        <v>993</v>
      </c>
      <c r="E71" s="23" t="s">
        <v>19</v>
      </c>
      <c r="F71" s="16"/>
      <c r="G71" s="16"/>
      <c r="H71" s="19" t="n">
        <f aca="false">LEN(IF(F71&lt;&gt;"",F71,D71))</f>
        <v>11</v>
      </c>
      <c r="I71" s="24" t="str">
        <f aca="false">IF(OR(H71&lt;4,H71&gt;22),"분량 확인","")</f>
        <v/>
      </c>
    </row>
    <row r="72" customFormat="false" ht="33.75" hidden="false" customHeight="true" outlineLevel="0" collapsed="false">
      <c r="A72" s="13" t="s">
        <v>994</v>
      </c>
      <c r="B72" s="14" t="s">
        <v>707</v>
      </c>
      <c r="C72" s="15" t="s">
        <v>861</v>
      </c>
      <c r="D72" s="15" t="s">
        <v>995</v>
      </c>
      <c r="E72" s="23" t="s">
        <v>19</v>
      </c>
      <c r="F72" s="16"/>
      <c r="G72" s="16"/>
      <c r="H72" s="19" t="n">
        <f aca="false">LEN(IF(F72&lt;&gt;"",F72,D72))</f>
        <v>11</v>
      </c>
      <c r="I72" s="24" t="str">
        <f aca="false">IF(OR(H72&lt;4,H72&gt;22),"분량 확인","")</f>
        <v/>
      </c>
    </row>
    <row r="73" customFormat="false" ht="33.75" hidden="false" customHeight="true" outlineLevel="0" collapsed="false">
      <c r="A73" s="13" t="s">
        <v>996</v>
      </c>
      <c r="B73" s="14" t="s">
        <v>707</v>
      </c>
      <c r="C73" s="15" t="s">
        <v>864</v>
      </c>
      <c r="D73" s="15" t="s">
        <v>997</v>
      </c>
      <c r="E73" s="23" t="s">
        <v>19</v>
      </c>
      <c r="F73" s="16"/>
      <c r="G73" s="16"/>
      <c r="H73" s="19" t="n">
        <f aca="false">LEN(IF(F73&lt;&gt;"",F73,D73))</f>
        <v>12</v>
      </c>
      <c r="I73" s="24" t="str">
        <f aca="false">IF(OR(H73&lt;4,H73&gt;22),"분량 확인","")</f>
        <v/>
      </c>
    </row>
    <row r="74" customFormat="false" ht="33.75" hidden="false" customHeight="true" outlineLevel="0" collapsed="false">
      <c r="A74" s="13" t="s">
        <v>998</v>
      </c>
      <c r="B74" s="14" t="s">
        <v>32</v>
      </c>
      <c r="C74" s="15" t="s">
        <v>849</v>
      </c>
      <c r="D74" s="15" t="s">
        <v>999</v>
      </c>
      <c r="E74" s="23" t="s">
        <v>19</v>
      </c>
      <c r="F74" s="16"/>
      <c r="G74" s="16"/>
      <c r="H74" s="19" t="n">
        <f aca="false">LEN(IF(F74&lt;&gt;"",F74,D74))</f>
        <v>14</v>
      </c>
      <c r="I74" s="24" t="str">
        <f aca="false">IF(OR(H74&lt;4,H74&gt;22),"분량 확인","")</f>
        <v/>
      </c>
    </row>
    <row r="75" customFormat="false" ht="33.75" hidden="false" customHeight="true" outlineLevel="0" collapsed="false">
      <c r="A75" s="13" t="s">
        <v>1000</v>
      </c>
      <c r="B75" s="14" t="s">
        <v>32</v>
      </c>
      <c r="C75" s="15" t="s">
        <v>852</v>
      </c>
      <c r="D75" s="15" t="s">
        <v>1001</v>
      </c>
      <c r="E75" s="23" t="s">
        <v>19</v>
      </c>
      <c r="F75" s="16"/>
      <c r="G75" s="16"/>
      <c r="H75" s="19" t="n">
        <f aca="false">LEN(IF(F75&lt;&gt;"",F75,D75))</f>
        <v>13</v>
      </c>
      <c r="I75" s="24" t="str">
        <f aca="false">IF(OR(H75&lt;4,H75&gt;22),"분량 확인","")</f>
        <v/>
      </c>
    </row>
    <row r="76" customFormat="false" ht="33.75" hidden="false" customHeight="true" outlineLevel="0" collapsed="false">
      <c r="A76" s="13" t="s">
        <v>1002</v>
      </c>
      <c r="B76" s="14" t="s">
        <v>32</v>
      </c>
      <c r="C76" s="15" t="s">
        <v>855</v>
      </c>
      <c r="D76" s="15" t="s">
        <v>1003</v>
      </c>
      <c r="E76" s="23" t="s">
        <v>19</v>
      </c>
      <c r="F76" s="16"/>
      <c r="G76" s="16"/>
      <c r="H76" s="19" t="n">
        <f aca="false">LEN(IF(F76&lt;&gt;"",F76,D76))</f>
        <v>13</v>
      </c>
      <c r="I76" s="24" t="str">
        <f aca="false">IF(OR(H76&lt;4,H76&gt;22),"분량 확인","")</f>
        <v/>
      </c>
    </row>
    <row r="77" customFormat="false" ht="33.75" hidden="false" customHeight="true" outlineLevel="0" collapsed="false">
      <c r="A77" s="13" t="s">
        <v>1004</v>
      </c>
      <c r="B77" s="14" t="s">
        <v>32</v>
      </c>
      <c r="C77" s="15" t="s">
        <v>858</v>
      </c>
      <c r="D77" s="15" t="s">
        <v>1005</v>
      </c>
      <c r="E77" s="23" t="s">
        <v>19</v>
      </c>
      <c r="F77" s="16"/>
      <c r="G77" s="16"/>
      <c r="H77" s="19" t="n">
        <f aca="false">LEN(IF(F77&lt;&gt;"",F77,D77))</f>
        <v>15</v>
      </c>
      <c r="I77" s="24" t="str">
        <f aca="false">IF(OR(H77&lt;4,H77&gt;22),"분량 확인","")</f>
        <v/>
      </c>
    </row>
    <row r="78" customFormat="false" ht="33.75" hidden="false" customHeight="true" outlineLevel="0" collapsed="false">
      <c r="A78" s="13" t="s">
        <v>1006</v>
      </c>
      <c r="B78" s="14" t="s">
        <v>32</v>
      </c>
      <c r="C78" s="15" t="s">
        <v>861</v>
      </c>
      <c r="D78" s="15" t="s">
        <v>1007</v>
      </c>
      <c r="E78" s="23" t="s">
        <v>19</v>
      </c>
      <c r="F78" s="16"/>
      <c r="G78" s="16"/>
      <c r="H78" s="19" t="n">
        <f aca="false">LEN(IF(F78&lt;&gt;"",F78,D78))</f>
        <v>16</v>
      </c>
      <c r="I78" s="24" t="str">
        <f aca="false">IF(OR(H78&lt;4,H78&gt;22),"분량 확인","")</f>
        <v/>
      </c>
    </row>
    <row r="79" customFormat="false" ht="33.75" hidden="false" customHeight="true" outlineLevel="0" collapsed="false">
      <c r="A79" s="13" t="s">
        <v>1008</v>
      </c>
      <c r="B79" s="14" t="s">
        <v>32</v>
      </c>
      <c r="C79" s="15" t="s">
        <v>864</v>
      </c>
      <c r="D79" s="15" t="s">
        <v>1009</v>
      </c>
      <c r="E79" s="23" t="s">
        <v>19</v>
      </c>
      <c r="F79" s="16"/>
      <c r="G79" s="16"/>
      <c r="H79" s="19" t="n">
        <f aca="false">LEN(IF(F79&lt;&gt;"",F79,D79))</f>
        <v>12</v>
      </c>
      <c r="I79" s="24" t="str">
        <f aca="false">IF(OR(H79&lt;4,H79&gt;22),"분량 확인","")</f>
        <v/>
      </c>
    </row>
    <row r="80" customFormat="false" ht="33.75" hidden="false" customHeight="true" outlineLevel="0" collapsed="false">
      <c r="A80" s="13" t="s">
        <v>1010</v>
      </c>
      <c r="B80" s="14" t="s">
        <v>732</v>
      </c>
      <c r="C80" s="15" t="s">
        <v>849</v>
      </c>
      <c r="D80" s="15" t="s">
        <v>1011</v>
      </c>
      <c r="E80" s="23" t="s">
        <v>19</v>
      </c>
      <c r="F80" s="16"/>
      <c r="G80" s="16"/>
      <c r="H80" s="19" t="n">
        <f aca="false">LEN(IF(F80&lt;&gt;"",F80,D80))</f>
        <v>16</v>
      </c>
      <c r="I80" s="24" t="str">
        <f aca="false">IF(OR(H80&lt;4,H80&gt;22),"분량 확인","")</f>
        <v/>
      </c>
    </row>
    <row r="81" customFormat="false" ht="33.75" hidden="false" customHeight="true" outlineLevel="0" collapsed="false">
      <c r="A81" s="13" t="s">
        <v>1012</v>
      </c>
      <c r="B81" s="14" t="s">
        <v>732</v>
      </c>
      <c r="C81" s="15" t="s">
        <v>852</v>
      </c>
      <c r="D81" s="15" t="s">
        <v>1013</v>
      </c>
      <c r="E81" s="23" t="s">
        <v>19</v>
      </c>
      <c r="F81" s="16"/>
      <c r="G81" s="16"/>
      <c r="H81" s="19" t="n">
        <f aca="false">LEN(IF(F81&lt;&gt;"",F81,D81))</f>
        <v>14</v>
      </c>
      <c r="I81" s="24" t="str">
        <f aca="false">IF(OR(H81&lt;4,H81&gt;22),"분량 확인","")</f>
        <v/>
      </c>
    </row>
    <row r="82" customFormat="false" ht="33.75" hidden="false" customHeight="true" outlineLevel="0" collapsed="false">
      <c r="A82" s="13" t="s">
        <v>1014</v>
      </c>
      <c r="B82" s="14" t="s">
        <v>732</v>
      </c>
      <c r="C82" s="15" t="s">
        <v>855</v>
      </c>
      <c r="D82" s="15" t="s">
        <v>1015</v>
      </c>
      <c r="E82" s="23" t="s">
        <v>19</v>
      </c>
      <c r="F82" s="16"/>
      <c r="G82" s="16"/>
      <c r="H82" s="19" t="n">
        <f aca="false">LEN(IF(F82&lt;&gt;"",F82,D82))</f>
        <v>13</v>
      </c>
      <c r="I82" s="24" t="str">
        <f aca="false">IF(OR(H82&lt;4,H82&gt;22),"분량 확인","")</f>
        <v/>
      </c>
    </row>
    <row r="83" customFormat="false" ht="33.75" hidden="false" customHeight="true" outlineLevel="0" collapsed="false">
      <c r="A83" s="13" t="s">
        <v>1016</v>
      </c>
      <c r="B83" s="14" t="s">
        <v>732</v>
      </c>
      <c r="C83" s="15" t="s">
        <v>858</v>
      </c>
      <c r="D83" s="15" t="s">
        <v>1017</v>
      </c>
      <c r="E83" s="23" t="s">
        <v>19</v>
      </c>
      <c r="F83" s="16"/>
      <c r="G83" s="16"/>
      <c r="H83" s="19" t="n">
        <f aca="false">LEN(IF(F83&lt;&gt;"",F83,D83))</f>
        <v>11</v>
      </c>
      <c r="I83" s="24" t="str">
        <f aca="false">IF(OR(H83&lt;4,H83&gt;22),"분량 확인","")</f>
        <v/>
      </c>
    </row>
    <row r="84" customFormat="false" ht="33.75" hidden="false" customHeight="true" outlineLevel="0" collapsed="false">
      <c r="A84" s="13" t="s">
        <v>1018</v>
      </c>
      <c r="B84" s="14" t="s">
        <v>732</v>
      </c>
      <c r="C84" s="15" t="s">
        <v>861</v>
      </c>
      <c r="D84" s="15" t="s">
        <v>1019</v>
      </c>
      <c r="E84" s="23" t="s">
        <v>19</v>
      </c>
      <c r="F84" s="16"/>
      <c r="G84" s="16"/>
      <c r="H84" s="19" t="n">
        <f aca="false">LEN(IF(F84&lt;&gt;"",F84,D84))</f>
        <v>10</v>
      </c>
      <c r="I84" s="24" t="str">
        <f aca="false">IF(OR(H84&lt;4,H84&gt;22),"분량 확인","")</f>
        <v/>
      </c>
    </row>
    <row r="85" customFormat="false" ht="33.75" hidden="false" customHeight="true" outlineLevel="0" collapsed="false">
      <c r="A85" s="13" t="s">
        <v>1020</v>
      </c>
      <c r="B85" s="14" t="s">
        <v>732</v>
      </c>
      <c r="C85" s="15" t="s">
        <v>864</v>
      </c>
      <c r="D85" s="15" t="s">
        <v>1021</v>
      </c>
      <c r="E85" s="23" t="s">
        <v>19</v>
      </c>
      <c r="F85" s="16"/>
      <c r="G85" s="16"/>
      <c r="H85" s="19" t="n">
        <f aca="false">LEN(IF(F85&lt;&gt;"",F85,D85))</f>
        <v>12</v>
      </c>
      <c r="I85" s="24" t="str">
        <f aca="false">IF(OR(H85&lt;4,H85&gt;22),"분량 확인","")</f>
        <v/>
      </c>
    </row>
    <row r="86" customFormat="false" ht="33.75" hidden="false" customHeight="true" outlineLevel="0" collapsed="false">
      <c r="A86" s="13" t="s">
        <v>1022</v>
      </c>
      <c r="B86" s="14" t="s">
        <v>745</v>
      </c>
      <c r="C86" s="15" t="s">
        <v>849</v>
      </c>
      <c r="D86" s="15" t="s">
        <v>1023</v>
      </c>
      <c r="E86" s="23" t="s">
        <v>19</v>
      </c>
      <c r="F86" s="16"/>
      <c r="G86" s="16"/>
      <c r="H86" s="19" t="n">
        <f aca="false">LEN(IF(F86&lt;&gt;"",F86,D86))</f>
        <v>15</v>
      </c>
      <c r="I86" s="24" t="str">
        <f aca="false">IF(OR(H86&lt;4,H86&gt;22),"분량 확인","")</f>
        <v/>
      </c>
    </row>
    <row r="87" customFormat="false" ht="33.75" hidden="false" customHeight="true" outlineLevel="0" collapsed="false">
      <c r="A87" s="13" t="s">
        <v>1024</v>
      </c>
      <c r="B87" s="14" t="s">
        <v>745</v>
      </c>
      <c r="C87" s="15" t="s">
        <v>852</v>
      </c>
      <c r="D87" s="15" t="s">
        <v>1025</v>
      </c>
      <c r="E87" s="23" t="s">
        <v>19</v>
      </c>
      <c r="F87" s="16"/>
      <c r="G87" s="16"/>
      <c r="H87" s="19" t="n">
        <f aca="false">LEN(IF(F87&lt;&gt;"",F87,D87))</f>
        <v>12</v>
      </c>
      <c r="I87" s="24" t="str">
        <f aca="false">IF(OR(H87&lt;4,H87&gt;22),"분량 확인","")</f>
        <v/>
      </c>
    </row>
    <row r="88" customFormat="false" ht="33.75" hidden="false" customHeight="true" outlineLevel="0" collapsed="false">
      <c r="A88" s="13" t="s">
        <v>1026</v>
      </c>
      <c r="B88" s="14" t="s">
        <v>745</v>
      </c>
      <c r="C88" s="15" t="s">
        <v>855</v>
      </c>
      <c r="D88" s="15" t="s">
        <v>1027</v>
      </c>
      <c r="E88" s="23" t="s">
        <v>19</v>
      </c>
      <c r="F88" s="16"/>
      <c r="G88" s="16"/>
      <c r="H88" s="19" t="n">
        <f aca="false">LEN(IF(F88&lt;&gt;"",F88,D88))</f>
        <v>10</v>
      </c>
      <c r="I88" s="24" t="str">
        <f aca="false">IF(OR(H88&lt;4,H88&gt;22),"분량 확인","")</f>
        <v/>
      </c>
    </row>
    <row r="89" customFormat="false" ht="33.75" hidden="false" customHeight="true" outlineLevel="0" collapsed="false">
      <c r="A89" s="13" t="s">
        <v>1028</v>
      </c>
      <c r="B89" s="14" t="s">
        <v>745</v>
      </c>
      <c r="C89" s="15" t="s">
        <v>858</v>
      </c>
      <c r="D89" s="15" t="s">
        <v>1029</v>
      </c>
      <c r="E89" s="23" t="s">
        <v>19</v>
      </c>
      <c r="F89" s="16"/>
      <c r="G89" s="16"/>
      <c r="H89" s="19" t="n">
        <f aca="false">LEN(IF(F89&lt;&gt;"",F89,D89))</f>
        <v>11</v>
      </c>
      <c r="I89" s="24" t="str">
        <f aca="false">IF(OR(H89&lt;4,H89&gt;22),"분량 확인","")</f>
        <v/>
      </c>
    </row>
    <row r="90" customFormat="false" ht="33.75" hidden="false" customHeight="true" outlineLevel="0" collapsed="false">
      <c r="A90" s="13" t="s">
        <v>1030</v>
      </c>
      <c r="B90" s="14" t="s">
        <v>745</v>
      </c>
      <c r="C90" s="15" t="s">
        <v>861</v>
      </c>
      <c r="D90" s="15" t="s">
        <v>1031</v>
      </c>
      <c r="E90" s="23" t="s">
        <v>19</v>
      </c>
      <c r="F90" s="16"/>
      <c r="G90" s="16"/>
      <c r="H90" s="19" t="n">
        <f aca="false">LEN(IF(F90&lt;&gt;"",F90,D90))</f>
        <v>10</v>
      </c>
      <c r="I90" s="24" t="str">
        <f aca="false">IF(OR(H90&lt;4,H90&gt;22),"분량 확인","")</f>
        <v/>
      </c>
    </row>
    <row r="91" customFormat="false" ht="33.75" hidden="false" customHeight="true" outlineLevel="0" collapsed="false">
      <c r="A91" s="13" t="s">
        <v>1032</v>
      </c>
      <c r="B91" s="14" t="s">
        <v>745</v>
      </c>
      <c r="C91" s="15" t="s">
        <v>864</v>
      </c>
      <c r="D91" s="15" t="s">
        <v>1033</v>
      </c>
      <c r="E91" s="23" t="s">
        <v>19</v>
      </c>
      <c r="F91" s="16"/>
      <c r="G91" s="16"/>
      <c r="H91" s="19" t="n">
        <f aca="false">LEN(IF(F91&lt;&gt;"",F91,D91))</f>
        <v>11</v>
      </c>
      <c r="I91" s="24" t="str">
        <f aca="false">IF(OR(H91&lt;4,H91&gt;22),"분량 확인","")</f>
        <v/>
      </c>
    </row>
    <row r="92" customFormat="false" ht="33.75" hidden="false" customHeight="true" outlineLevel="0" collapsed="false">
      <c r="A92" s="13" t="s">
        <v>1034</v>
      </c>
      <c r="B92" s="14" t="s">
        <v>758</v>
      </c>
      <c r="C92" s="15" t="s">
        <v>849</v>
      </c>
      <c r="D92" s="15" t="s">
        <v>1035</v>
      </c>
      <c r="E92" s="23" t="s">
        <v>19</v>
      </c>
      <c r="F92" s="16"/>
      <c r="G92" s="16"/>
      <c r="H92" s="19" t="n">
        <f aca="false">LEN(IF(F92&lt;&gt;"",F92,D92))</f>
        <v>15</v>
      </c>
      <c r="I92" s="24" t="str">
        <f aca="false">IF(OR(H92&lt;4,H92&gt;22),"분량 확인","")</f>
        <v/>
      </c>
    </row>
    <row r="93" customFormat="false" ht="33.75" hidden="false" customHeight="true" outlineLevel="0" collapsed="false">
      <c r="A93" s="13" t="s">
        <v>1036</v>
      </c>
      <c r="B93" s="14" t="s">
        <v>758</v>
      </c>
      <c r="C93" s="15" t="s">
        <v>852</v>
      </c>
      <c r="D93" s="15" t="s">
        <v>1037</v>
      </c>
      <c r="E93" s="23" t="s">
        <v>19</v>
      </c>
      <c r="F93" s="16"/>
      <c r="G93" s="16"/>
      <c r="H93" s="19" t="n">
        <f aca="false">LEN(IF(F93&lt;&gt;"",F93,D93))</f>
        <v>10</v>
      </c>
      <c r="I93" s="24" t="str">
        <f aca="false">IF(OR(H93&lt;4,H93&gt;22),"분량 확인","")</f>
        <v/>
      </c>
    </row>
    <row r="94" customFormat="false" ht="33.75" hidden="false" customHeight="true" outlineLevel="0" collapsed="false">
      <c r="A94" s="13" t="s">
        <v>1038</v>
      </c>
      <c r="B94" s="14" t="s">
        <v>758</v>
      </c>
      <c r="C94" s="15" t="s">
        <v>855</v>
      </c>
      <c r="D94" s="15" t="s">
        <v>1039</v>
      </c>
      <c r="E94" s="23" t="s">
        <v>19</v>
      </c>
      <c r="F94" s="16"/>
      <c r="G94" s="16"/>
      <c r="H94" s="19" t="n">
        <f aca="false">LEN(IF(F94&lt;&gt;"",F94,D94))</f>
        <v>15</v>
      </c>
      <c r="I94" s="24" t="str">
        <f aca="false">IF(OR(H94&lt;4,H94&gt;22),"분량 확인","")</f>
        <v/>
      </c>
    </row>
    <row r="95" customFormat="false" ht="33.75" hidden="false" customHeight="true" outlineLevel="0" collapsed="false">
      <c r="A95" s="13" t="s">
        <v>1040</v>
      </c>
      <c r="B95" s="14" t="s">
        <v>758</v>
      </c>
      <c r="C95" s="15" t="s">
        <v>858</v>
      </c>
      <c r="D95" s="15" t="s">
        <v>1041</v>
      </c>
      <c r="E95" s="23" t="s">
        <v>19</v>
      </c>
      <c r="F95" s="16"/>
      <c r="G95" s="16"/>
      <c r="H95" s="19" t="n">
        <f aca="false">LEN(IF(F95&lt;&gt;"",F95,D95))</f>
        <v>15</v>
      </c>
      <c r="I95" s="24" t="str">
        <f aca="false">IF(OR(H95&lt;4,H95&gt;22),"분량 확인","")</f>
        <v/>
      </c>
    </row>
    <row r="96" customFormat="false" ht="33.75" hidden="false" customHeight="true" outlineLevel="0" collapsed="false">
      <c r="A96" s="13" t="s">
        <v>1042</v>
      </c>
      <c r="B96" s="14" t="s">
        <v>758</v>
      </c>
      <c r="C96" s="15" t="s">
        <v>861</v>
      </c>
      <c r="D96" s="15" t="s">
        <v>1043</v>
      </c>
      <c r="E96" s="23" t="s">
        <v>19</v>
      </c>
      <c r="F96" s="16"/>
      <c r="G96" s="16"/>
      <c r="H96" s="19" t="n">
        <f aca="false">LEN(IF(F96&lt;&gt;"",F96,D96))</f>
        <v>10</v>
      </c>
      <c r="I96" s="24" t="str">
        <f aca="false">IF(OR(H96&lt;4,H96&gt;22),"분량 확인","")</f>
        <v/>
      </c>
    </row>
    <row r="97" customFormat="false" ht="33.75" hidden="false" customHeight="true" outlineLevel="0" collapsed="false">
      <c r="A97" s="13" t="s">
        <v>1044</v>
      </c>
      <c r="B97" s="14" t="s">
        <v>758</v>
      </c>
      <c r="C97" s="15" t="s">
        <v>864</v>
      </c>
      <c r="D97" s="15" t="s">
        <v>1045</v>
      </c>
      <c r="E97" s="23" t="s">
        <v>19</v>
      </c>
      <c r="F97" s="16"/>
      <c r="G97" s="16"/>
      <c r="H97" s="19" t="n">
        <f aca="false">LEN(IF(F97&lt;&gt;"",F97,D97))</f>
        <v>14</v>
      </c>
      <c r="I97" s="24" t="str">
        <f aca="false">IF(OR(H97&lt;4,H97&gt;22),"분량 확인","")</f>
        <v/>
      </c>
    </row>
    <row r="98" customFormat="false" ht="33.75" hidden="false" customHeight="true" outlineLevel="0" collapsed="false">
      <c r="A98" s="13" t="s">
        <v>1046</v>
      </c>
      <c r="B98" s="14" t="s">
        <v>771</v>
      </c>
      <c r="C98" s="15" t="s">
        <v>849</v>
      </c>
      <c r="D98" s="15" t="s">
        <v>1047</v>
      </c>
      <c r="E98" s="23" t="s">
        <v>19</v>
      </c>
      <c r="F98" s="16"/>
      <c r="G98" s="16"/>
      <c r="H98" s="19" t="n">
        <f aca="false">LEN(IF(F98&lt;&gt;"",F98,D98))</f>
        <v>14</v>
      </c>
      <c r="I98" s="24" t="str">
        <f aca="false">IF(OR(H98&lt;4,H98&gt;22),"분량 확인","")</f>
        <v/>
      </c>
    </row>
    <row r="99" customFormat="false" ht="33.75" hidden="false" customHeight="true" outlineLevel="0" collapsed="false">
      <c r="A99" s="13" t="s">
        <v>1048</v>
      </c>
      <c r="B99" s="14" t="s">
        <v>771</v>
      </c>
      <c r="C99" s="15" t="s">
        <v>852</v>
      </c>
      <c r="D99" s="15" t="s">
        <v>1049</v>
      </c>
      <c r="E99" s="23" t="s">
        <v>19</v>
      </c>
      <c r="F99" s="16"/>
      <c r="G99" s="16"/>
      <c r="H99" s="19" t="n">
        <f aca="false">LEN(IF(F99&lt;&gt;"",F99,D99))</f>
        <v>13</v>
      </c>
      <c r="I99" s="24" t="str">
        <f aca="false">IF(OR(H99&lt;4,H99&gt;22),"분량 확인","")</f>
        <v/>
      </c>
    </row>
    <row r="100" customFormat="false" ht="33.75" hidden="false" customHeight="true" outlineLevel="0" collapsed="false">
      <c r="A100" s="13" t="s">
        <v>1050</v>
      </c>
      <c r="B100" s="14" t="s">
        <v>771</v>
      </c>
      <c r="C100" s="15" t="s">
        <v>855</v>
      </c>
      <c r="D100" s="15" t="s">
        <v>1051</v>
      </c>
      <c r="E100" s="23" t="s">
        <v>19</v>
      </c>
      <c r="F100" s="16"/>
      <c r="G100" s="16"/>
      <c r="H100" s="19" t="n">
        <f aca="false">LEN(IF(F100&lt;&gt;"",F100,D100))</f>
        <v>15</v>
      </c>
      <c r="I100" s="24" t="str">
        <f aca="false">IF(OR(H100&lt;4,H100&gt;22),"분량 확인","")</f>
        <v/>
      </c>
    </row>
    <row r="101" customFormat="false" ht="33.75" hidden="false" customHeight="true" outlineLevel="0" collapsed="false">
      <c r="A101" s="13" t="s">
        <v>1052</v>
      </c>
      <c r="B101" s="14" t="s">
        <v>771</v>
      </c>
      <c r="C101" s="15" t="s">
        <v>858</v>
      </c>
      <c r="D101" s="15" t="s">
        <v>1053</v>
      </c>
      <c r="E101" s="23" t="s">
        <v>19</v>
      </c>
      <c r="F101" s="16"/>
      <c r="G101" s="16"/>
      <c r="H101" s="19" t="n">
        <f aca="false">LEN(IF(F101&lt;&gt;"",F101,D101))</f>
        <v>13</v>
      </c>
      <c r="I101" s="24" t="str">
        <f aca="false">IF(OR(H101&lt;4,H101&gt;22),"분량 확인","")</f>
        <v/>
      </c>
    </row>
    <row r="102" customFormat="false" ht="33.75" hidden="false" customHeight="true" outlineLevel="0" collapsed="false">
      <c r="A102" s="13" t="s">
        <v>1054</v>
      </c>
      <c r="B102" s="14" t="s">
        <v>771</v>
      </c>
      <c r="C102" s="15" t="s">
        <v>861</v>
      </c>
      <c r="D102" s="15" t="s">
        <v>1055</v>
      </c>
      <c r="E102" s="23" t="s">
        <v>19</v>
      </c>
      <c r="F102" s="16"/>
      <c r="G102" s="16"/>
      <c r="H102" s="19" t="n">
        <f aca="false">LEN(IF(F102&lt;&gt;"",F102,D102))</f>
        <v>13</v>
      </c>
      <c r="I102" s="24" t="str">
        <f aca="false">IF(OR(H102&lt;4,H102&gt;22),"분량 확인","")</f>
        <v/>
      </c>
    </row>
    <row r="103" customFormat="false" ht="33.75" hidden="false" customHeight="true" outlineLevel="0" collapsed="false">
      <c r="A103" s="13" t="s">
        <v>1056</v>
      </c>
      <c r="B103" s="14" t="s">
        <v>771</v>
      </c>
      <c r="C103" s="15" t="s">
        <v>864</v>
      </c>
      <c r="D103" s="15" t="s">
        <v>1057</v>
      </c>
      <c r="E103" s="23" t="s">
        <v>19</v>
      </c>
      <c r="F103" s="16"/>
      <c r="G103" s="16"/>
      <c r="H103" s="19" t="n">
        <f aca="false">LEN(IF(F103&lt;&gt;"",F103,D103))</f>
        <v>11</v>
      </c>
      <c r="I103" s="24" t="str">
        <f aca="false">IF(OR(H103&lt;4,H103&gt;22),"분량 확인","")</f>
        <v/>
      </c>
    </row>
    <row r="104" customFormat="false" ht="33.75" hidden="false" customHeight="true" outlineLevel="0" collapsed="false">
      <c r="A104" s="13" t="s">
        <v>1058</v>
      </c>
      <c r="B104" s="14" t="s">
        <v>784</v>
      </c>
      <c r="C104" s="15" t="s">
        <v>849</v>
      </c>
      <c r="D104" s="15" t="s">
        <v>1059</v>
      </c>
      <c r="E104" s="23" t="s">
        <v>19</v>
      </c>
      <c r="F104" s="16"/>
      <c r="G104" s="16"/>
      <c r="H104" s="19" t="n">
        <f aca="false">LEN(IF(F104&lt;&gt;"",F104,D104))</f>
        <v>11</v>
      </c>
      <c r="I104" s="24" t="str">
        <f aca="false">IF(OR(H104&lt;4,H104&gt;22),"분량 확인","")</f>
        <v/>
      </c>
    </row>
    <row r="105" customFormat="false" ht="33.75" hidden="false" customHeight="true" outlineLevel="0" collapsed="false">
      <c r="A105" s="13" t="s">
        <v>1060</v>
      </c>
      <c r="B105" s="14" t="s">
        <v>784</v>
      </c>
      <c r="C105" s="15" t="s">
        <v>852</v>
      </c>
      <c r="D105" s="15" t="s">
        <v>1061</v>
      </c>
      <c r="E105" s="23" t="s">
        <v>19</v>
      </c>
      <c r="F105" s="16"/>
      <c r="G105" s="16"/>
      <c r="H105" s="19" t="n">
        <f aca="false">LEN(IF(F105&lt;&gt;"",F105,D105))</f>
        <v>9</v>
      </c>
      <c r="I105" s="24" t="str">
        <f aca="false">IF(OR(H105&lt;4,H105&gt;22),"분량 확인","")</f>
        <v/>
      </c>
    </row>
    <row r="106" customFormat="false" ht="33.75" hidden="false" customHeight="true" outlineLevel="0" collapsed="false">
      <c r="A106" s="13" t="s">
        <v>1062</v>
      </c>
      <c r="B106" s="14" t="s">
        <v>784</v>
      </c>
      <c r="C106" s="15" t="s">
        <v>855</v>
      </c>
      <c r="D106" s="15" t="s">
        <v>1063</v>
      </c>
      <c r="E106" s="23" t="s">
        <v>19</v>
      </c>
      <c r="F106" s="16"/>
      <c r="G106" s="16"/>
      <c r="H106" s="19" t="n">
        <f aca="false">LEN(IF(F106&lt;&gt;"",F106,D106))</f>
        <v>14</v>
      </c>
      <c r="I106" s="24" t="str">
        <f aca="false">IF(OR(H106&lt;4,H106&gt;22),"분량 확인","")</f>
        <v/>
      </c>
    </row>
    <row r="107" customFormat="false" ht="33.75" hidden="false" customHeight="true" outlineLevel="0" collapsed="false">
      <c r="A107" s="13" t="s">
        <v>1064</v>
      </c>
      <c r="B107" s="14" t="s">
        <v>784</v>
      </c>
      <c r="C107" s="15" t="s">
        <v>858</v>
      </c>
      <c r="D107" s="15" t="s">
        <v>1065</v>
      </c>
      <c r="E107" s="23" t="s">
        <v>19</v>
      </c>
      <c r="F107" s="16"/>
      <c r="G107" s="16"/>
      <c r="H107" s="19" t="n">
        <f aca="false">LEN(IF(F107&lt;&gt;"",F107,D107))</f>
        <v>13</v>
      </c>
      <c r="I107" s="24" t="str">
        <f aca="false">IF(OR(H107&lt;4,H107&gt;22),"분량 확인","")</f>
        <v/>
      </c>
    </row>
    <row r="108" customFormat="false" ht="33.75" hidden="false" customHeight="true" outlineLevel="0" collapsed="false">
      <c r="A108" s="13" t="s">
        <v>1066</v>
      </c>
      <c r="B108" s="14" t="s">
        <v>784</v>
      </c>
      <c r="C108" s="15" t="s">
        <v>861</v>
      </c>
      <c r="D108" s="15" t="s">
        <v>1067</v>
      </c>
      <c r="E108" s="23" t="s">
        <v>19</v>
      </c>
      <c r="F108" s="16"/>
      <c r="G108" s="16"/>
      <c r="H108" s="19" t="n">
        <f aca="false">LEN(IF(F108&lt;&gt;"",F108,D108))</f>
        <v>11</v>
      </c>
      <c r="I108" s="24" t="str">
        <f aca="false">IF(OR(H108&lt;4,H108&gt;22),"분량 확인","")</f>
        <v/>
      </c>
    </row>
    <row r="109" customFormat="false" ht="33.75" hidden="false" customHeight="true" outlineLevel="0" collapsed="false">
      <c r="A109" s="13" t="s">
        <v>1068</v>
      </c>
      <c r="B109" s="14" t="s">
        <v>784</v>
      </c>
      <c r="C109" s="15" t="s">
        <v>864</v>
      </c>
      <c r="D109" s="15" t="s">
        <v>1069</v>
      </c>
      <c r="E109" s="23" t="s">
        <v>19</v>
      </c>
      <c r="F109" s="16"/>
      <c r="G109" s="16"/>
      <c r="H109" s="19" t="n">
        <f aca="false">LEN(IF(F109&lt;&gt;"",F109,D109))</f>
        <v>14</v>
      </c>
      <c r="I109" s="24" t="str">
        <f aca="false">IF(OR(H109&lt;4,H109&gt;22),"분량 확인","")</f>
        <v/>
      </c>
    </row>
    <row r="110" customFormat="false" ht="33.75" hidden="false" customHeight="true" outlineLevel="0" collapsed="false">
      <c r="A110" s="13" t="s">
        <v>1070</v>
      </c>
      <c r="B110" s="14" t="s">
        <v>797</v>
      </c>
      <c r="C110" s="15" t="s">
        <v>849</v>
      </c>
      <c r="D110" s="15" t="s">
        <v>1071</v>
      </c>
      <c r="E110" s="23" t="s">
        <v>19</v>
      </c>
      <c r="F110" s="16"/>
      <c r="G110" s="16"/>
      <c r="H110" s="19" t="n">
        <f aca="false">LEN(IF(F110&lt;&gt;"",F110,D110))</f>
        <v>16</v>
      </c>
      <c r="I110" s="24" t="str">
        <f aca="false">IF(OR(H110&lt;4,H110&gt;22),"분량 확인","")</f>
        <v/>
      </c>
    </row>
    <row r="111" customFormat="false" ht="33.75" hidden="false" customHeight="true" outlineLevel="0" collapsed="false">
      <c r="A111" s="13" t="s">
        <v>1072</v>
      </c>
      <c r="B111" s="14" t="s">
        <v>797</v>
      </c>
      <c r="C111" s="15" t="s">
        <v>852</v>
      </c>
      <c r="D111" s="15" t="s">
        <v>1073</v>
      </c>
      <c r="E111" s="23" t="s">
        <v>19</v>
      </c>
      <c r="F111" s="16"/>
      <c r="G111" s="16"/>
      <c r="H111" s="19" t="n">
        <f aca="false">LEN(IF(F111&lt;&gt;"",F111,D111))</f>
        <v>10</v>
      </c>
      <c r="I111" s="24" t="str">
        <f aca="false">IF(OR(H111&lt;4,H111&gt;22),"분량 확인","")</f>
        <v/>
      </c>
    </row>
    <row r="112" customFormat="false" ht="33.75" hidden="false" customHeight="true" outlineLevel="0" collapsed="false">
      <c r="A112" s="13" t="s">
        <v>1074</v>
      </c>
      <c r="B112" s="14" t="s">
        <v>797</v>
      </c>
      <c r="C112" s="15" t="s">
        <v>855</v>
      </c>
      <c r="D112" s="15" t="s">
        <v>1075</v>
      </c>
      <c r="E112" s="23" t="s">
        <v>19</v>
      </c>
      <c r="F112" s="16"/>
      <c r="G112" s="16"/>
      <c r="H112" s="19" t="n">
        <f aca="false">LEN(IF(F112&lt;&gt;"",F112,D112))</f>
        <v>12</v>
      </c>
      <c r="I112" s="24" t="str">
        <f aca="false">IF(OR(H112&lt;4,H112&gt;22),"분량 확인","")</f>
        <v/>
      </c>
    </row>
    <row r="113" customFormat="false" ht="33.75" hidden="false" customHeight="true" outlineLevel="0" collapsed="false">
      <c r="A113" s="13" t="s">
        <v>1076</v>
      </c>
      <c r="B113" s="14" t="s">
        <v>797</v>
      </c>
      <c r="C113" s="15" t="s">
        <v>858</v>
      </c>
      <c r="D113" s="15" t="s">
        <v>1077</v>
      </c>
      <c r="E113" s="23" t="s">
        <v>19</v>
      </c>
      <c r="F113" s="16"/>
      <c r="G113" s="16"/>
      <c r="H113" s="19" t="n">
        <f aca="false">LEN(IF(F113&lt;&gt;"",F113,D113))</f>
        <v>11</v>
      </c>
      <c r="I113" s="24" t="str">
        <f aca="false">IF(OR(H113&lt;4,H113&gt;22),"분량 확인","")</f>
        <v/>
      </c>
    </row>
    <row r="114" customFormat="false" ht="33.75" hidden="false" customHeight="true" outlineLevel="0" collapsed="false">
      <c r="A114" s="13" t="s">
        <v>1078</v>
      </c>
      <c r="B114" s="14" t="s">
        <v>797</v>
      </c>
      <c r="C114" s="15" t="s">
        <v>861</v>
      </c>
      <c r="D114" s="15" t="s">
        <v>1079</v>
      </c>
      <c r="E114" s="23" t="s">
        <v>19</v>
      </c>
      <c r="F114" s="16"/>
      <c r="G114" s="16"/>
      <c r="H114" s="19" t="n">
        <f aca="false">LEN(IF(F114&lt;&gt;"",F114,D114))</f>
        <v>14</v>
      </c>
      <c r="I114" s="24" t="str">
        <f aca="false">IF(OR(H114&lt;4,H114&gt;22),"분량 확인","")</f>
        <v/>
      </c>
    </row>
    <row r="115" customFormat="false" ht="33.75" hidden="false" customHeight="true" outlineLevel="0" collapsed="false">
      <c r="A115" s="13" t="s">
        <v>1080</v>
      </c>
      <c r="B115" s="14" t="s">
        <v>797</v>
      </c>
      <c r="C115" s="15" t="s">
        <v>864</v>
      </c>
      <c r="D115" s="15" t="s">
        <v>1081</v>
      </c>
      <c r="E115" s="23" t="s">
        <v>19</v>
      </c>
      <c r="F115" s="16"/>
      <c r="G115" s="16"/>
      <c r="H115" s="19" t="n">
        <f aca="false">LEN(IF(F115&lt;&gt;"",F115,D115))</f>
        <v>12</v>
      </c>
      <c r="I115" s="24" t="str">
        <f aca="false">IF(OR(H115&lt;4,H115&gt;22),"분량 확인","")</f>
        <v/>
      </c>
    </row>
    <row r="116" customFormat="false" ht="33.75" hidden="false" customHeight="true" outlineLevel="0" collapsed="false">
      <c r="A116" s="13" t="s">
        <v>1082</v>
      </c>
      <c r="B116" s="14" t="s">
        <v>810</v>
      </c>
      <c r="C116" s="15" t="s">
        <v>849</v>
      </c>
      <c r="D116" s="15" t="s">
        <v>1083</v>
      </c>
      <c r="E116" s="23" t="s">
        <v>19</v>
      </c>
      <c r="F116" s="16"/>
      <c r="G116" s="16"/>
      <c r="H116" s="19" t="n">
        <f aca="false">LEN(IF(F116&lt;&gt;"",F116,D116))</f>
        <v>15</v>
      </c>
      <c r="I116" s="24" t="str">
        <f aca="false">IF(OR(H116&lt;4,H116&gt;22),"분량 확인","")</f>
        <v/>
      </c>
    </row>
    <row r="117" customFormat="false" ht="33.75" hidden="false" customHeight="true" outlineLevel="0" collapsed="false">
      <c r="A117" s="13" t="s">
        <v>1084</v>
      </c>
      <c r="B117" s="14" t="s">
        <v>810</v>
      </c>
      <c r="C117" s="15" t="s">
        <v>852</v>
      </c>
      <c r="D117" s="15" t="s">
        <v>1085</v>
      </c>
      <c r="E117" s="23" t="s">
        <v>19</v>
      </c>
      <c r="F117" s="16"/>
      <c r="G117" s="16"/>
      <c r="H117" s="19" t="n">
        <f aca="false">LEN(IF(F117&lt;&gt;"",F117,D117))</f>
        <v>14</v>
      </c>
      <c r="I117" s="24" t="str">
        <f aca="false">IF(OR(H117&lt;4,H117&gt;22),"분량 확인","")</f>
        <v/>
      </c>
    </row>
    <row r="118" customFormat="false" ht="33.75" hidden="false" customHeight="true" outlineLevel="0" collapsed="false">
      <c r="A118" s="13" t="s">
        <v>1086</v>
      </c>
      <c r="B118" s="14" t="s">
        <v>810</v>
      </c>
      <c r="C118" s="15" t="s">
        <v>855</v>
      </c>
      <c r="D118" s="15" t="s">
        <v>1087</v>
      </c>
      <c r="E118" s="23" t="s">
        <v>19</v>
      </c>
      <c r="F118" s="16"/>
      <c r="G118" s="16"/>
      <c r="H118" s="19" t="n">
        <f aca="false">LEN(IF(F118&lt;&gt;"",F118,D118))</f>
        <v>16</v>
      </c>
      <c r="I118" s="24" t="str">
        <f aca="false">IF(OR(H118&lt;4,H118&gt;22),"분량 확인","")</f>
        <v/>
      </c>
    </row>
    <row r="119" customFormat="false" ht="33.75" hidden="false" customHeight="true" outlineLevel="0" collapsed="false">
      <c r="A119" s="13" t="s">
        <v>1088</v>
      </c>
      <c r="B119" s="14" t="s">
        <v>810</v>
      </c>
      <c r="C119" s="15" t="s">
        <v>858</v>
      </c>
      <c r="D119" s="15" t="s">
        <v>1089</v>
      </c>
      <c r="E119" s="23" t="s">
        <v>19</v>
      </c>
      <c r="F119" s="16"/>
      <c r="G119" s="16"/>
      <c r="H119" s="19" t="n">
        <f aca="false">LEN(IF(F119&lt;&gt;"",F119,D119))</f>
        <v>10</v>
      </c>
      <c r="I119" s="24" t="str">
        <f aca="false">IF(OR(H119&lt;4,H119&gt;22),"분량 확인","")</f>
        <v/>
      </c>
    </row>
    <row r="120" customFormat="false" ht="33.75" hidden="false" customHeight="true" outlineLevel="0" collapsed="false">
      <c r="A120" s="13" t="s">
        <v>1090</v>
      </c>
      <c r="B120" s="14" t="s">
        <v>810</v>
      </c>
      <c r="C120" s="15" t="s">
        <v>861</v>
      </c>
      <c r="D120" s="15" t="s">
        <v>1091</v>
      </c>
      <c r="E120" s="23" t="s">
        <v>19</v>
      </c>
      <c r="F120" s="16"/>
      <c r="G120" s="16"/>
      <c r="H120" s="19" t="n">
        <f aca="false">LEN(IF(F120&lt;&gt;"",F120,D120))</f>
        <v>15</v>
      </c>
      <c r="I120" s="24" t="str">
        <f aca="false">IF(OR(H120&lt;4,H120&gt;22),"분량 확인","")</f>
        <v/>
      </c>
    </row>
    <row r="121" customFormat="false" ht="33.75" hidden="false" customHeight="true" outlineLevel="0" collapsed="false">
      <c r="A121" s="13" t="s">
        <v>1092</v>
      </c>
      <c r="B121" s="14" t="s">
        <v>810</v>
      </c>
      <c r="C121" s="15" t="s">
        <v>864</v>
      </c>
      <c r="D121" s="15" t="s">
        <v>1093</v>
      </c>
      <c r="E121" s="23" t="s">
        <v>19</v>
      </c>
      <c r="F121" s="16"/>
      <c r="G121" s="16"/>
      <c r="H121" s="19" t="n">
        <f aca="false">LEN(IF(F121&lt;&gt;"",F121,D121))</f>
        <v>16</v>
      </c>
      <c r="I121" s="24" t="str">
        <f aca="false">IF(OR(H121&lt;4,H121&gt;22),"분량 확인","")</f>
        <v/>
      </c>
    </row>
    <row r="122" customFormat="false" ht="33.75" hidden="false" customHeight="true" outlineLevel="0" collapsed="false">
      <c r="A122" s="13" t="s">
        <v>1094</v>
      </c>
      <c r="B122" s="14" t="s">
        <v>823</v>
      </c>
      <c r="C122" s="15" t="s">
        <v>849</v>
      </c>
      <c r="D122" s="15" t="s">
        <v>1095</v>
      </c>
      <c r="E122" s="23" t="s">
        <v>19</v>
      </c>
      <c r="F122" s="16"/>
      <c r="G122" s="16"/>
      <c r="H122" s="19" t="n">
        <f aca="false">LEN(IF(F122&lt;&gt;"",F122,D122))</f>
        <v>14</v>
      </c>
      <c r="I122" s="24" t="str">
        <f aca="false">IF(OR(H122&lt;4,H122&gt;22),"분량 확인","")</f>
        <v/>
      </c>
    </row>
    <row r="123" customFormat="false" ht="33.75" hidden="false" customHeight="true" outlineLevel="0" collapsed="false">
      <c r="A123" s="13" t="s">
        <v>1096</v>
      </c>
      <c r="B123" s="14" t="s">
        <v>823</v>
      </c>
      <c r="C123" s="15" t="s">
        <v>852</v>
      </c>
      <c r="D123" s="15" t="s">
        <v>1097</v>
      </c>
      <c r="E123" s="23" t="s">
        <v>19</v>
      </c>
      <c r="F123" s="16"/>
      <c r="G123" s="16"/>
      <c r="H123" s="19" t="n">
        <f aca="false">LEN(IF(F123&lt;&gt;"",F123,D123))</f>
        <v>15</v>
      </c>
      <c r="I123" s="24" t="str">
        <f aca="false">IF(OR(H123&lt;4,H123&gt;22),"분량 확인","")</f>
        <v/>
      </c>
    </row>
    <row r="124" customFormat="false" ht="33.75" hidden="false" customHeight="true" outlineLevel="0" collapsed="false">
      <c r="A124" s="13" t="s">
        <v>1098</v>
      </c>
      <c r="B124" s="14" t="s">
        <v>823</v>
      </c>
      <c r="C124" s="15" t="s">
        <v>855</v>
      </c>
      <c r="D124" s="15" t="s">
        <v>1099</v>
      </c>
      <c r="E124" s="23" t="s">
        <v>19</v>
      </c>
      <c r="F124" s="16"/>
      <c r="G124" s="16"/>
      <c r="H124" s="19" t="n">
        <f aca="false">LEN(IF(F124&lt;&gt;"",F124,D124))</f>
        <v>10</v>
      </c>
      <c r="I124" s="24" t="str">
        <f aca="false">IF(OR(H124&lt;4,H124&gt;22),"분량 확인","")</f>
        <v/>
      </c>
    </row>
    <row r="125" customFormat="false" ht="33.75" hidden="false" customHeight="true" outlineLevel="0" collapsed="false">
      <c r="A125" s="13" t="s">
        <v>1100</v>
      </c>
      <c r="B125" s="14" t="s">
        <v>823</v>
      </c>
      <c r="C125" s="15" t="s">
        <v>858</v>
      </c>
      <c r="D125" s="15" t="s">
        <v>1101</v>
      </c>
      <c r="E125" s="23" t="s">
        <v>19</v>
      </c>
      <c r="F125" s="16"/>
      <c r="G125" s="16"/>
      <c r="H125" s="19" t="n">
        <f aca="false">LEN(IF(F125&lt;&gt;"",F125,D125))</f>
        <v>16</v>
      </c>
      <c r="I125" s="24" t="str">
        <f aca="false">IF(OR(H125&lt;4,H125&gt;22),"분량 확인","")</f>
        <v/>
      </c>
    </row>
    <row r="126" customFormat="false" ht="33.75" hidden="false" customHeight="true" outlineLevel="0" collapsed="false">
      <c r="A126" s="13" t="s">
        <v>1102</v>
      </c>
      <c r="B126" s="14" t="s">
        <v>823</v>
      </c>
      <c r="C126" s="15" t="s">
        <v>861</v>
      </c>
      <c r="D126" s="15" t="s">
        <v>1103</v>
      </c>
      <c r="E126" s="23" t="s">
        <v>19</v>
      </c>
      <c r="F126" s="16"/>
      <c r="G126" s="16"/>
      <c r="H126" s="19" t="n">
        <f aca="false">LEN(IF(F126&lt;&gt;"",F126,D126))</f>
        <v>10</v>
      </c>
      <c r="I126" s="24" t="str">
        <f aca="false">IF(OR(H126&lt;4,H126&gt;22),"분량 확인","")</f>
        <v/>
      </c>
    </row>
    <row r="127" customFormat="false" ht="33.75" hidden="false" customHeight="true" outlineLevel="0" collapsed="false">
      <c r="A127" s="13" t="s">
        <v>1104</v>
      </c>
      <c r="B127" s="14" t="s">
        <v>823</v>
      </c>
      <c r="C127" s="15" t="s">
        <v>864</v>
      </c>
      <c r="D127" s="15" t="s">
        <v>1105</v>
      </c>
      <c r="E127" s="23" t="s">
        <v>19</v>
      </c>
      <c r="F127" s="16"/>
      <c r="G127" s="16"/>
      <c r="H127" s="19" t="n">
        <f aca="false">LEN(IF(F127&lt;&gt;"",F127,D127))</f>
        <v>15</v>
      </c>
      <c r="I127" s="24" t="str">
        <f aca="false">IF(OR(H127&lt;4,H127&gt;22),"분량 확인","")</f>
        <v/>
      </c>
    </row>
    <row r="128" customFormat="false" ht="48" hidden="false" customHeight="true" outlineLevel="0" collapsed="false">
      <c r="A128" s="13" t="s">
        <v>1106</v>
      </c>
      <c r="B128" s="14" t="s">
        <v>836</v>
      </c>
      <c r="C128" s="15" t="s">
        <v>849</v>
      </c>
      <c r="D128" s="15" t="s">
        <v>1107</v>
      </c>
      <c r="E128" s="23" t="s">
        <v>19</v>
      </c>
      <c r="F128" s="16"/>
      <c r="G128" s="16"/>
      <c r="H128" s="19" t="n">
        <f aca="false">LEN(IF(F128&lt;&gt;"",F128,D128))</f>
        <v>14</v>
      </c>
      <c r="I128" s="24" t="str">
        <f aca="false">IF(OR(H128&lt;4,H128&gt;22),"분량 확인","")</f>
        <v/>
      </c>
    </row>
    <row r="129" customFormat="false" ht="48" hidden="false" customHeight="true" outlineLevel="0" collapsed="false">
      <c r="A129" s="13" t="s">
        <v>1108</v>
      </c>
      <c r="B129" s="14" t="s">
        <v>836</v>
      </c>
      <c r="C129" s="15" t="s">
        <v>852</v>
      </c>
      <c r="D129" s="15" t="s">
        <v>1109</v>
      </c>
      <c r="E129" s="23" t="s">
        <v>19</v>
      </c>
      <c r="F129" s="16"/>
      <c r="G129" s="16"/>
      <c r="H129" s="19" t="n">
        <f aca="false">LEN(IF(F129&lt;&gt;"",F129,D129))</f>
        <v>12</v>
      </c>
      <c r="I129" s="24" t="str">
        <f aca="false">IF(OR(H129&lt;4,H129&gt;22),"분량 확인","")</f>
        <v/>
      </c>
    </row>
    <row r="130" customFormat="false" ht="48" hidden="false" customHeight="true" outlineLevel="0" collapsed="false">
      <c r="A130" s="13" t="s">
        <v>1110</v>
      </c>
      <c r="B130" s="14" t="s">
        <v>836</v>
      </c>
      <c r="C130" s="15" t="s">
        <v>855</v>
      </c>
      <c r="D130" s="15" t="s">
        <v>1111</v>
      </c>
      <c r="E130" s="23" t="s">
        <v>19</v>
      </c>
      <c r="F130" s="16"/>
      <c r="G130" s="16"/>
      <c r="H130" s="19" t="n">
        <f aca="false">LEN(IF(F130&lt;&gt;"",F130,D130))</f>
        <v>15</v>
      </c>
      <c r="I130" s="24" t="str">
        <f aca="false">IF(OR(H130&lt;4,H130&gt;22),"분량 확인","")</f>
        <v/>
      </c>
    </row>
    <row r="131" customFormat="false" ht="48" hidden="false" customHeight="true" outlineLevel="0" collapsed="false">
      <c r="A131" s="13" t="s">
        <v>1112</v>
      </c>
      <c r="B131" s="14" t="s">
        <v>836</v>
      </c>
      <c r="C131" s="15" t="s">
        <v>858</v>
      </c>
      <c r="D131" s="15" t="s">
        <v>1113</v>
      </c>
      <c r="E131" s="23" t="s">
        <v>19</v>
      </c>
      <c r="F131" s="16"/>
      <c r="G131" s="16"/>
      <c r="H131" s="19" t="n">
        <f aca="false">LEN(IF(F131&lt;&gt;"",F131,D131))</f>
        <v>15</v>
      </c>
      <c r="I131" s="24" t="str">
        <f aca="false">IF(OR(H131&lt;4,H131&gt;22),"분량 확인","")</f>
        <v/>
      </c>
    </row>
    <row r="132" customFormat="false" ht="48" hidden="false" customHeight="true" outlineLevel="0" collapsed="false">
      <c r="A132" s="13" t="s">
        <v>1114</v>
      </c>
      <c r="B132" s="14" t="s">
        <v>836</v>
      </c>
      <c r="C132" s="15" t="s">
        <v>861</v>
      </c>
      <c r="D132" s="15" t="s">
        <v>1115</v>
      </c>
      <c r="E132" s="23" t="s">
        <v>19</v>
      </c>
      <c r="F132" s="16"/>
      <c r="G132" s="16"/>
      <c r="H132" s="19" t="n">
        <f aca="false">LEN(IF(F132&lt;&gt;"",F132,D132))</f>
        <v>14</v>
      </c>
      <c r="I132" s="24" t="str">
        <f aca="false">IF(OR(H132&lt;4,H132&gt;22),"분량 확인","")</f>
        <v/>
      </c>
    </row>
    <row r="133" customFormat="false" ht="48" hidden="false" customHeight="true" outlineLevel="0" collapsed="false">
      <c r="A133" s="13" t="s">
        <v>1116</v>
      </c>
      <c r="B133" s="14" t="s">
        <v>836</v>
      </c>
      <c r="C133" s="15" t="s">
        <v>864</v>
      </c>
      <c r="D133" s="15" t="s">
        <v>1117</v>
      </c>
      <c r="E133" s="23" t="s">
        <v>19</v>
      </c>
      <c r="F133" s="16"/>
      <c r="G133" s="16"/>
      <c r="H133" s="19" t="n">
        <f aca="false">LEN(IF(F133&lt;&gt;"",F133,D133))</f>
        <v>7</v>
      </c>
      <c r="I133" s="24" t="str">
        <f aca="false">IF(OR(H133&lt;4,H133&gt;22),"분량 확인","")</f>
        <v/>
      </c>
    </row>
  </sheetData>
  <autoFilter ref="A1:I133"/>
  <conditionalFormatting sqref="E2:E133">
    <cfRule type="cellIs" priority="2" operator="equal" aboveAverage="0" equalAverage="0" bottom="0" percent="0" rank="0" text="" dxfId="5">
      <formula>"확정"</formula>
    </cfRule>
    <cfRule type="cellIs" priority="3" operator="equal" aboveAverage="0" equalAverage="0" bottom="0" percent="0" rank="0" text="" dxfId="6">
      <formula>"수정요청"</formula>
    </cfRule>
    <cfRule type="cellIs" priority="4" operator="equal" aboveAverage="0" equalAverage="0" bottom="0" percent="0" rank="0" text="" dxfId="7">
      <formula>"검수중"</formula>
    </cfRule>
    <cfRule type="cellIs" priority="5" operator="equal" aboveAverage="0" equalAverage="0" bottom="0" percent="0" rank="0" text="" dxfId="8">
      <formula>"삭제"</formula>
    </cfRule>
  </conditionalFormatting>
  <conditionalFormatting sqref="I2:I133">
    <cfRule type="expression" priority="6" aboveAverage="0" equalAverage="0" bottom="0" percent="0" rank="0" text="" dxfId="9">
      <formula>I2="분량 확인"</formula>
    </cfRule>
  </conditionalFormatting>
  <dataValidations count="1">
    <dataValidation allowBlank="false" error="초안 · 검수중 · 수정요청 · 확정 · 삭제 중에서 골라 주세요." errorStyle="stop" errorTitle="상태" operator="between" showDropDown="false" showErrorMessage="false" showInputMessage="false" sqref="E2:E133" type="list">
      <formula1>"초안,검수중,수정요청,확정,삭제"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12F53"/>
    <pageSetUpPr fitToPage="false"/>
  </sheetPr>
  <dimension ref="A1:I133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2"/>
    <col collapsed="false" customWidth="true" hidden="false" outlineLevel="0" max="3" min="3" style="0" width="26"/>
    <col collapsed="false" customWidth="true" hidden="false" outlineLevel="0" max="4" min="4" style="0" width="62"/>
    <col collapsed="false" customWidth="true" hidden="false" outlineLevel="0" max="5" min="5" style="0" width="10"/>
    <col collapsed="false" customWidth="true" hidden="false" outlineLevel="0" max="6" min="6" style="0" width="56"/>
    <col collapsed="false" customWidth="true" hidden="false" outlineLevel="0" max="7" min="7" style="0" width="30"/>
    <col collapsed="false" customWidth="true" hidden="false" outlineLevel="0" max="8" min="8" style="0" width="9"/>
    <col collapsed="false" customWidth="true" hidden="false" outlineLevel="0" max="9" min="9" style="0" width="10"/>
  </cols>
  <sheetData>
    <row r="1" customFormat="false" ht="30" hidden="false" customHeight="true" outlineLevel="0" collapsed="false">
      <c r="A1" s="11" t="s">
        <v>554</v>
      </c>
      <c r="B1" s="12" t="s">
        <v>25</v>
      </c>
      <c r="C1" s="12" t="s">
        <v>26</v>
      </c>
      <c r="D1" s="12" t="s">
        <v>27</v>
      </c>
      <c r="E1" s="12" t="s">
        <v>28</v>
      </c>
      <c r="F1" s="12" t="s">
        <v>29</v>
      </c>
      <c r="G1" s="12" t="s">
        <v>30</v>
      </c>
      <c r="H1" s="12" t="s">
        <v>555</v>
      </c>
      <c r="I1" s="12" t="s">
        <v>556</v>
      </c>
    </row>
    <row r="2" customFormat="false" ht="61.5" hidden="false" customHeight="true" outlineLevel="0" collapsed="false">
      <c r="A2" s="13" t="s">
        <v>250</v>
      </c>
      <c r="B2" s="14" t="s">
        <v>558</v>
      </c>
      <c r="C2" s="15" t="s">
        <v>1118</v>
      </c>
      <c r="D2" s="15" t="s">
        <v>1119</v>
      </c>
      <c r="E2" s="23" t="s">
        <v>19</v>
      </c>
      <c r="F2" s="16"/>
      <c r="G2" s="17" t="s">
        <v>1120</v>
      </c>
      <c r="H2" s="19" t="n">
        <f aca="false">LEN(IF(F2&lt;&gt;"",F2,D2))</f>
        <v>89</v>
      </c>
      <c r="I2" s="24" t="str">
        <f aca="false">IF(OR(H2&lt;40,H2&gt;150),"분량 확인","")</f>
        <v/>
      </c>
    </row>
    <row r="3" customFormat="false" ht="61.5" hidden="false" customHeight="true" outlineLevel="0" collapsed="false">
      <c r="A3" s="13" t="s">
        <v>1121</v>
      </c>
      <c r="B3" s="14" t="s">
        <v>558</v>
      </c>
      <c r="C3" s="15" t="s">
        <v>1122</v>
      </c>
      <c r="D3" s="15" t="s">
        <v>1123</v>
      </c>
      <c r="E3" s="23" t="s">
        <v>19</v>
      </c>
      <c r="F3" s="16"/>
      <c r="G3" s="16"/>
      <c r="H3" s="19" t="n">
        <f aca="false">LEN(IF(F3&lt;&gt;"",F3,D3))</f>
        <v>89</v>
      </c>
      <c r="I3" s="24" t="str">
        <f aca="false">IF(OR(H3&lt;40,H3&gt;150),"분량 확인","")</f>
        <v/>
      </c>
    </row>
    <row r="4" customFormat="false" ht="48" hidden="false" customHeight="true" outlineLevel="0" collapsed="false">
      <c r="A4" s="13" t="s">
        <v>254</v>
      </c>
      <c r="B4" s="14" t="s">
        <v>558</v>
      </c>
      <c r="C4" s="15" t="s">
        <v>1124</v>
      </c>
      <c r="D4" s="15" t="s">
        <v>1125</v>
      </c>
      <c r="E4" s="23" t="s">
        <v>19</v>
      </c>
      <c r="F4" s="16"/>
      <c r="G4" s="17" t="s">
        <v>1126</v>
      </c>
      <c r="H4" s="19" t="n">
        <f aca="false">LEN(IF(F4&lt;&gt;"",F4,D4))</f>
        <v>74</v>
      </c>
      <c r="I4" s="24" t="str">
        <f aca="false">IF(OR(H4&lt;40,H4&gt;150),"분량 확인","")</f>
        <v/>
      </c>
    </row>
    <row r="5" customFormat="false" ht="61.5" hidden="false" customHeight="true" outlineLevel="0" collapsed="false">
      <c r="A5" s="13" t="s">
        <v>1127</v>
      </c>
      <c r="B5" s="14" t="s">
        <v>558</v>
      </c>
      <c r="C5" s="15" t="s">
        <v>1128</v>
      </c>
      <c r="D5" s="15" t="s">
        <v>1129</v>
      </c>
      <c r="E5" s="23" t="s">
        <v>19</v>
      </c>
      <c r="F5" s="16"/>
      <c r="G5" s="16"/>
      <c r="H5" s="19" t="n">
        <f aca="false">LEN(IF(F5&lt;&gt;"",F5,D5))</f>
        <v>93</v>
      </c>
      <c r="I5" s="24" t="str">
        <f aca="false">IF(OR(H5&lt;40,H5&gt;150),"분량 확인","")</f>
        <v/>
      </c>
    </row>
    <row r="6" customFormat="false" ht="61.5" hidden="false" customHeight="true" outlineLevel="0" collapsed="false">
      <c r="A6" s="13" t="s">
        <v>1130</v>
      </c>
      <c r="B6" s="14" t="s">
        <v>558</v>
      </c>
      <c r="C6" s="15" t="s">
        <v>1131</v>
      </c>
      <c r="D6" s="15" t="s">
        <v>1132</v>
      </c>
      <c r="E6" s="23" t="s">
        <v>19</v>
      </c>
      <c r="F6" s="16"/>
      <c r="G6" s="16"/>
      <c r="H6" s="19" t="n">
        <f aca="false">LEN(IF(F6&lt;&gt;"",F6,D6))</f>
        <v>89</v>
      </c>
      <c r="I6" s="24" t="str">
        <f aca="false">IF(OR(H6&lt;40,H6&gt;150),"분량 확인","")</f>
        <v/>
      </c>
    </row>
    <row r="7" customFormat="false" ht="48" hidden="false" customHeight="true" outlineLevel="0" collapsed="false">
      <c r="A7" s="13" t="s">
        <v>1133</v>
      </c>
      <c r="B7" s="14" t="s">
        <v>558</v>
      </c>
      <c r="C7" s="15" t="s">
        <v>1134</v>
      </c>
      <c r="D7" s="15" t="s">
        <v>1135</v>
      </c>
      <c r="E7" s="23" t="s">
        <v>19</v>
      </c>
      <c r="F7" s="16"/>
      <c r="G7" s="16"/>
      <c r="H7" s="19" t="n">
        <f aca="false">LEN(IF(F7&lt;&gt;"",F7,D7))</f>
        <v>75</v>
      </c>
      <c r="I7" s="24" t="str">
        <f aca="false">IF(OR(H7&lt;40,H7&gt;150),"분량 확인","")</f>
        <v/>
      </c>
    </row>
    <row r="8" customFormat="false" ht="61.5" hidden="false" customHeight="true" outlineLevel="0" collapsed="false">
      <c r="A8" s="13" t="s">
        <v>1136</v>
      </c>
      <c r="B8" s="14" t="s">
        <v>577</v>
      </c>
      <c r="C8" s="15" t="s">
        <v>1118</v>
      </c>
      <c r="D8" s="15" t="s">
        <v>1137</v>
      </c>
      <c r="E8" s="23" t="s">
        <v>19</v>
      </c>
      <c r="F8" s="16"/>
      <c r="G8" s="16"/>
      <c r="H8" s="19" t="n">
        <f aca="false">LEN(IF(F8&lt;&gt;"",F8,D8))</f>
        <v>95</v>
      </c>
      <c r="I8" s="24" t="str">
        <f aca="false">IF(OR(H8&lt;40,H8&gt;150),"분량 확인","")</f>
        <v/>
      </c>
    </row>
    <row r="9" customFormat="false" ht="48" hidden="false" customHeight="true" outlineLevel="0" collapsed="false">
      <c r="A9" s="13" t="s">
        <v>1138</v>
      </c>
      <c r="B9" s="14" t="s">
        <v>577</v>
      </c>
      <c r="C9" s="15" t="s">
        <v>1122</v>
      </c>
      <c r="D9" s="15" t="s">
        <v>1139</v>
      </c>
      <c r="E9" s="23" t="s">
        <v>19</v>
      </c>
      <c r="F9" s="16"/>
      <c r="G9" s="16"/>
      <c r="H9" s="19" t="n">
        <f aca="false">LEN(IF(F9&lt;&gt;"",F9,D9))</f>
        <v>81</v>
      </c>
      <c r="I9" s="24" t="str">
        <f aca="false">IF(OR(H9&lt;40,H9&gt;150),"분량 확인","")</f>
        <v/>
      </c>
    </row>
    <row r="10" customFormat="false" ht="48" hidden="false" customHeight="true" outlineLevel="0" collapsed="false">
      <c r="A10" s="13" t="s">
        <v>1140</v>
      </c>
      <c r="B10" s="14" t="s">
        <v>577</v>
      </c>
      <c r="C10" s="15" t="s">
        <v>1124</v>
      </c>
      <c r="D10" s="15" t="s">
        <v>1141</v>
      </c>
      <c r="E10" s="23" t="s">
        <v>19</v>
      </c>
      <c r="F10" s="16"/>
      <c r="G10" s="16"/>
      <c r="H10" s="19" t="n">
        <f aca="false">LEN(IF(F10&lt;&gt;"",F10,D10))</f>
        <v>78</v>
      </c>
      <c r="I10" s="24" t="str">
        <f aca="false">IF(OR(H10&lt;40,H10&gt;150),"분량 확인","")</f>
        <v/>
      </c>
    </row>
    <row r="11" customFormat="false" ht="48" hidden="false" customHeight="true" outlineLevel="0" collapsed="false">
      <c r="A11" s="13" t="s">
        <v>1142</v>
      </c>
      <c r="B11" s="14" t="s">
        <v>577</v>
      </c>
      <c r="C11" s="15" t="s">
        <v>1128</v>
      </c>
      <c r="D11" s="15" t="s">
        <v>1143</v>
      </c>
      <c r="E11" s="23" t="s">
        <v>19</v>
      </c>
      <c r="F11" s="16"/>
      <c r="G11" s="16"/>
      <c r="H11" s="19" t="n">
        <f aca="false">LEN(IF(F11&lt;&gt;"",F11,D11))</f>
        <v>85</v>
      </c>
      <c r="I11" s="24" t="str">
        <f aca="false">IF(OR(H11&lt;40,H11&gt;150),"분량 확인","")</f>
        <v/>
      </c>
    </row>
    <row r="12" customFormat="false" ht="48" hidden="false" customHeight="true" outlineLevel="0" collapsed="false">
      <c r="A12" s="13" t="s">
        <v>1144</v>
      </c>
      <c r="B12" s="14" t="s">
        <v>577</v>
      </c>
      <c r="C12" s="15" t="s">
        <v>1131</v>
      </c>
      <c r="D12" s="15" t="s">
        <v>1145</v>
      </c>
      <c r="E12" s="23" t="s">
        <v>19</v>
      </c>
      <c r="F12" s="16"/>
      <c r="G12" s="16"/>
      <c r="H12" s="19" t="n">
        <f aca="false">LEN(IF(F12&lt;&gt;"",F12,D12))</f>
        <v>82</v>
      </c>
      <c r="I12" s="24" t="str">
        <f aca="false">IF(OR(H12&lt;40,H12&gt;150),"분량 확인","")</f>
        <v/>
      </c>
    </row>
    <row r="13" customFormat="false" ht="48" hidden="false" customHeight="true" outlineLevel="0" collapsed="false">
      <c r="A13" s="13" t="s">
        <v>272</v>
      </c>
      <c r="B13" s="14" t="s">
        <v>577</v>
      </c>
      <c r="C13" s="15" t="s">
        <v>1134</v>
      </c>
      <c r="D13" s="15" t="s">
        <v>1146</v>
      </c>
      <c r="E13" s="23" t="s">
        <v>19</v>
      </c>
      <c r="F13" s="16"/>
      <c r="G13" s="17" t="s">
        <v>1147</v>
      </c>
      <c r="H13" s="19" t="n">
        <f aca="false">LEN(IF(F13&lt;&gt;"",F13,D13))</f>
        <v>79</v>
      </c>
      <c r="I13" s="24" t="str">
        <f aca="false">IF(OR(H13&lt;40,H13&gt;150),"분량 확인","")</f>
        <v/>
      </c>
    </row>
    <row r="14" customFormat="false" ht="61.5" hidden="false" customHeight="true" outlineLevel="0" collapsed="false">
      <c r="A14" s="13" t="s">
        <v>1148</v>
      </c>
      <c r="B14" s="14" t="s">
        <v>590</v>
      </c>
      <c r="C14" s="15" t="s">
        <v>1118</v>
      </c>
      <c r="D14" s="15" t="s">
        <v>1149</v>
      </c>
      <c r="E14" s="23" t="s">
        <v>19</v>
      </c>
      <c r="F14" s="16"/>
      <c r="G14" s="16"/>
      <c r="H14" s="19" t="n">
        <f aca="false">LEN(IF(F14&lt;&gt;"",F14,D14))</f>
        <v>95</v>
      </c>
      <c r="I14" s="24" t="str">
        <f aca="false">IF(OR(H14&lt;40,H14&gt;150),"분량 확인","")</f>
        <v/>
      </c>
    </row>
    <row r="15" customFormat="false" ht="48" hidden="false" customHeight="true" outlineLevel="0" collapsed="false">
      <c r="A15" s="13" t="s">
        <v>1150</v>
      </c>
      <c r="B15" s="14" t="s">
        <v>590</v>
      </c>
      <c r="C15" s="15" t="s">
        <v>1122</v>
      </c>
      <c r="D15" s="15" t="s">
        <v>1151</v>
      </c>
      <c r="E15" s="23" t="s">
        <v>19</v>
      </c>
      <c r="F15" s="16"/>
      <c r="G15" s="16"/>
      <c r="H15" s="19" t="n">
        <f aca="false">LEN(IF(F15&lt;&gt;"",F15,D15))</f>
        <v>86</v>
      </c>
      <c r="I15" s="24" t="str">
        <f aca="false">IF(OR(H15&lt;40,H15&gt;150),"분량 확인","")</f>
        <v/>
      </c>
    </row>
    <row r="16" customFormat="false" ht="48" hidden="false" customHeight="true" outlineLevel="0" collapsed="false">
      <c r="A16" s="13" t="s">
        <v>1152</v>
      </c>
      <c r="B16" s="14" t="s">
        <v>590</v>
      </c>
      <c r="C16" s="15" t="s">
        <v>1124</v>
      </c>
      <c r="D16" s="15" t="s">
        <v>1153</v>
      </c>
      <c r="E16" s="23" t="s">
        <v>19</v>
      </c>
      <c r="F16" s="16"/>
      <c r="G16" s="16"/>
      <c r="H16" s="19" t="n">
        <f aca="false">LEN(IF(F16&lt;&gt;"",F16,D16))</f>
        <v>76</v>
      </c>
      <c r="I16" s="24" t="str">
        <f aca="false">IF(OR(H16&lt;40,H16&gt;150),"분량 확인","")</f>
        <v/>
      </c>
    </row>
    <row r="17" customFormat="false" ht="61.5" hidden="false" customHeight="true" outlineLevel="0" collapsed="false">
      <c r="A17" s="13" t="s">
        <v>1154</v>
      </c>
      <c r="B17" s="14" t="s">
        <v>590</v>
      </c>
      <c r="C17" s="15" t="s">
        <v>1128</v>
      </c>
      <c r="D17" s="15" t="s">
        <v>1155</v>
      </c>
      <c r="E17" s="23" t="s">
        <v>19</v>
      </c>
      <c r="F17" s="16"/>
      <c r="G17" s="16"/>
      <c r="H17" s="19" t="n">
        <f aca="false">LEN(IF(F17&lt;&gt;"",F17,D17))</f>
        <v>98</v>
      </c>
      <c r="I17" s="24" t="str">
        <f aca="false">IF(OR(H17&lt;40,H17&gt;150),"분량 확인","")</f>
        <v/>
      </c>
    </row>
    <row r="18" customFormat="false" ht="48" hidden="false" customHeight="true" outlineLevel="0" collapsed="false">
      <c r="A18" s="13" t="s">
        <v>1156</v>
      </c>
      <c r="B18" s="14" t="s">
        <v>590</v>
      </c>
      <c r="C18" s="15" t="s">
        <v>1131</v>
      </c>
      <c r="D18" s="15" t="s">
        <v>1157</v>
      </c>
      <c r="E18" s="23" t="s">
        <v>19</v>
      </c>
      <c r="F18" s="16"/>
      <c r="G18" s="16"/>
      <c r="H18" s="19" t="n">
        <f aca="false">LEN(IF(F18&lt;&gt;"",F18,D18))</f>
        <v>83</v>
      </c>
      <c r="I18" s="24" t="str">
        <f aca="false">IF(OR(H18&lt;40,H18&gt;150),"분량 확인","")</f>
        <v/>
      </c>
    </row>
    <row r="19" customFormat="false" ht="48" hidden="false" customHeight="true" outlineLevel="0" collapsed="false">
      <c r="A19" s="13" t="s">
        <v>413</v>
      </c>
      <c r="B19" s="14" t="s">
        <v>590</v>
      </c>
      <c r="C19" s="15" t="s">
        <v>1134</v>
      </c>
      <c r="D19" s="15" t="s">
        <v>1158</v>
      </c>
      <c r="E19" s="23" t="s">
        <v>19</v>
      </c>
      <c r="F19" s="16"/>
      <c r="G19" s="17" t="s">
        <v>1159</v>
      </c>
      <c r="H19" s="19" t="n">
        <f aca="false">LEN(IF(F19&lt;&gt;"",F19,D19))</f>
        <v>71</v>
      </c>
      <c r="I19" s="24" t="str">
        <f aca="false">IF(OR(H19&lt;40,H19&gt;150),"분량 확인","")</f>
        <v/>
      </c>
    </row>
    <row r="20" customFormat="false" ht="61.5" hidden="false" customHeight="true" outlineLevel="0" collapsed="false">
      <c r="A20" s="13" t="s">
        <v>203</v>
      </c>
      <c r="B20" s="14" t="s">
        <v>603</v>
      </c>
      <c r="C20" s="15" t="s">
        <v>1118</v>
      </c>
      <c r="D20" s="15" t="s">
        <v>1160</v>
      </c>
      <c r="E20" s="23" t="s">
        <v>19</v>
      </c>
      <c r="F20" s="16"/>
      <c r="G20" s="17" t="s">
        <v>1161</v>
      </c>
      <c r="H20" s="19" t="n">
        <f aca="false">LEN(IF(F20&lt;&gt;"",F20,D20))</f>
        <v>89</v>
      </c>
      <c r="I20" s="24" t="str">
        <f aca="false">IF(OR(H20&lt;40,H20&gt;150),"분량 확인","")</f>
        <v/>
      </c>
    </row>
    <row r="21" customFormat="false" ht="48" hidden="false" customHeight="true" outlineLevel="0" collapsed="false">
      <c r="A21" s="13" t="s">
        <v>1162</v>
      </c>
      <c r="B21" s="14" t="s">
        <v>603</v>
      </c>
      <c r="C21" s="15" t="s">
        <v>1122</v>
      </c>
      <c r="D21" s="15" t="s">
        <v>1163</v>
      </c>
      <c r="E21" s="23" t="s">
        <v>19</v>
      </c>
      <c r="F21" s="16"/>
      <c r="G21" s="16"/>
      <c r="H21" s="19" t="n">
        <f aca="false">LEN(IF(F21&lt;&gt;"",F21,D21))</f>
        <v>84</v>
      </c>
      <c r="I21" s="24" t="str">
        <f aca="false">IF(OR(H21&lt;40,H21&gt;150),"분량 확인","")</f>
        <v/>
      </c>
    </row>
    <row r="22" customFormat="false" ht="48" hidden="false" customHeight="true" outlineLevel="0" collapsed="false">
      <c r="A22" s="13" t="s">
        <v>1164</v>
      </c>
      <c r="B22" s="14" t="s">
        <v>603</v>
      </c>
      <c r="C22" s="15" t="s">
        <v>1124</v>
      </c>
      <c r="D22" s="15" t="s">
        <v>1165</v>
      </c>
      <c r="E22" s="23" t="s">
        <v>19</v>
      </c>
      <c r="F22" s="16"/>
      <c r="G22" s="16"/>
      <c r="H22" s="19" t="n">
        <f aca="false">LEN(IF(F22&lt;&gt;"",F22,D22))</f>
        <v>76</v>
      </c>
      <c r="I22" s="24" t="str">
        <f aca="false">IF(OR(H22&lt;40,H22&gt;150),"분량 확인","")</f>
        <v/>
      </c>
    </row>
    <row r="23" customFormat="false" ht="61.5" hidden="false" customHeight="true" outlineLevel="0" collapsed="false">
      <c r="A23" s="13" t="s">
        <v>1166</v>
      </c>
      <c r="B23" s="14" t="s">
        <v>603</v>
      </c>
      <c r="C23" s="15" t="s">
        <v>1128</v>
      </c>
      <c r="D23" s="15" t="s">
        <v>1167</v>
      </c>
      <c r="E23" s="23" t="s">
        <v>19</v>
      </c>
      <c r="F23" s="16"/>
      <c r="G23" s="16"/>
      <c r="H23" s="19" t="n">
        <f aca="false">LEN(IF(F23&lt;&gt;"",F23,D23))</f>
        <v>89</v>
      </c>
      <c r="I23" s="24" t="str">
        <f aca="false">IF(OR(H23&lt;40,H23&gt;150),"분량 확인","")</f>
        <v/>
      </c>
    </row>
    <row r="24" customFormat="false" ht="48" hidden="false" customHeight="true" outlineLevel="0" collapsed="false">
      <c r="A24" s="13" t="s">
        <v>1168</v>
      </c>
      <c r="B24" s="14" t="s">
        <v>603</v>
      </c>
      <c r="C24" s="15" t="s">
        <v>1131</v>
      </c>
      <c r="D24" s="15" t="s">
        <v>1169</v>
      </c>
      <c r="E24" s="23" t="s">
        <v>19</v>
      </c>
      <c r="F24" s="16"/>
      <c r="G24" s="16"/>
      <c r="H24" s="19" t="n">
        <f aca="false">LEN(IF(F24&lt;&gt;"",F24,D24))</f>
        <v>86</v>
      </c>
      <c r="I24" s="24" t="str">
        <f aca="false">IF(OR(H24&lt;40,H24&gt;150),"분량 확인","")</f>
        <v/>
      </c>
    </row>
    <row r="25" customFormat="false" ht="48" hidden="false" customHeight="true" outlineLevel="0" collapsed="false">
      <c r="A25" s="13" t="s">
        <v>1170</v>
      </c>
      <c r="B25" s="14" t="s">
        <v>603</v>
      </c>
      <c r="C25" s="15" t="s">
        <v>1134</v>
      </c>
      <c r="D25" s="15" t="s">
        <v>1171</v>
      </c>
      <c r="E25" s="23" t="s">
        <v>19</v>
      </c>
      <c r="F25" s="16"/>
      <c r="G25" s="16"/>
      <c r="H25" s="19" t="n">
        <f aca="false">LEN(IF(F25&lt;&gt;"",F25,D25))</f>
        <v>77</v>
      </c>
      <c r="I25" s="24" t="str">
        <f aca="false">IF(OR(H25&lt;40,H25&gt;150),"분량 확인","")</f>
        <v/>
      </c>
    </row>
    <row r="26" customFormat="false" ht="48" hidden="false" customHeight="true" outlineLevel="0" collapsed="false">
      <c r="A26" s="13" t="s">
        <v>452</v>
      </c>
      <c r="B26" s="14" t="s">
        <v>616</v>
      </c>
      <c r="C26" s="15" t="s">
        <v>1118</v>
      </c>
      <c r="D26" s="15" t="s">
        <v>1172</v>
      </c>
      <c r="E26" s="23" t="s">
        <v>19</v>
      </c>
      <c r="F26" s="16"/>
      <c r="G26" s="17" t="s">
        <v>1173</v>
      </c>
      <c r="H26" s="19" t="n">
        <f aca="false">LEN(IF(F26&lt;&gt;"",F26,D26))</f>
        <v>74</v>
      </c>
      <c r="I26" s="24" t="str">
        <f aca="false">IF(OR(H26&lt;40,H26&gt;150),"분량 확인","")</f>
        <v/>
      </c>
    </row>
    <row r="27" customFormat="false" ht="48" hidden="false" customHeight="true" outlineLevel="0" collapsed="false">
      <c r="A27" s="13" t="s">
        <v>1174</v>
      </c>
      <c r="B27" s="14" t="s">
        <v>616</v>
      </c>
      <c r="C27" s="15" t="s">
        <v>1122</v>
      </c>
      <c r="D27" s="15" t="s">
        <v>1175</v>
      </c>
      <c r="E27" s="23" t="s">
        <v>19</v>
      </c>
      <c r="F27" s="16"/>
      <c r="G27" s="16"/>
      <c r="H27" s="19" t="n">
        <f aca="false">LEN(IF(F27&lt;&gt;"",F27,D27))</f>
        <v>64</v>
      </c>
      <c r="I27" s="24" t="str">
        <f aca="false">IF(OR(H27&lt;40,H27&gt;150),"분량 확인","")</f>
        <v/>
      </c>
    </row>
    <row r="28" customFormat="false" ht="48" hidden="false" customHeight="true" outlineLevel="0" collapsed="false">
      <c r="A28" s="13" t="s">
        <v>456</v>
      </c>
      <c r="B28" s="14" t="s">
        <v>616</v>
      </c>
      <c r="C28" s="15" t="s">
        <v>1124</v>
      </c>
      <c r="D28" s="15" t="s">
        <v>1176</v>
      </c>
      <c r="E28" s="23" t="s">
        <v>19</v>
      </c>
      <c r="F28" s="16"/>
      <c r="G28" s="17" t="s">
        <v>1177</v>
      </c>
      <c r="H28" s="19" t="n">
        <f aca="false">LEN(IF(F28&lt;&gt;"",F28,D28))</f>
        <v>74</v>
      </c>
      <c r="I28" s="24" t="str">
        <f aca="false">IF(OR(H28&lt;40,H28&gt;150),"분량 확인","")</f>
        <v/>
      </c>
    </row>
    <row r="29" customFormat="false" ht="61.5" hidden="false" customHeight="true" outlineLevel="0" collapsed="false">
      <c r="A29" s="13" t="s">
        <v>1178</v>
      </c>
      <c r="B29" s="14" t="s">
        <v>616</v>
      </c>
      <c r="C29" s="15" t="s">
        <v>1128</v>
      </c>
      <c r="D29" s="15" t="s">
        <v>1179</v>
      </c>
      <c r="E29" s="23" t="s">
        <v>19</v>
      </c>
      <c r="F29" s="16"/>
      <c r="G29" s="16"/>
      <c r="H29" s="19" t="n">
        <f aca="false">LEN(IF(F29&lt;&gt;"",F29,D29))</f>
        <v>91</v>
      </c>
      <c r="I29" s="24" t="str">
        <f aca="false">IF(OR(H29&lt;40,H29&gt;150),"분량 확인","")</f>
        <v/>
      </c>
    </row>
    <row r="30" customFormat="false" ht="48" hidden="false" customHeight="true" outlineLevel="0" collapsed="false">
      <c r="A30" s="13" t="s">
        <v>1180</v>
      </c>
      <c r="B30" s="14" t="s">
        <v>616</v>
      </c>
      <c r="C30" s="15" t="s">
        <v>1131</v>
      </c>
      <c r="D30" s="15" t="s">
        <v>1181</v>
      </c>
      <c r="E30" s="23" t="s">
        <v>19</v>
      </c>
      <c r="F30" s="16"/>
      <c r="G30" s="16"/>
      <c r="H30" s="19" t="n">
        <f aca="false">LEN(IF(F30&lt;&gt;"",F30,D30))</f>
        <v>73</v>
      </c>
      <c r="I30" s="24" t="str">
        <f aca="false">IF(OR(H30&lt;40,H30&gt;150),"분량 확인","")</f>
        <v/>
      </c>
    </row>
    <row r="31" customFormat="false" ht="48" hidden="false" customHeight="true" outlineLevel="0" collapsed="false">
      <c r="A31" s="13" t="s">
        <v>1182</v>
      </c>
      <c r="B31" s="14" t="s">
        <v>616</v>
      </c>
      <c r="C31" s="15" t="s">
        <v>1134</v>
      </c>
      <c r="D31" s="15" t="s">
        <v>1183</v>
      </c>
      <c r="E31" s="23" t="s">
        <v>19</v>
      </c>
      <c r="F31" s="16"/>
      <c r="G31" s="16"/>
      <c r="H31" s="19" t="n">
        <f aca="false">LEN(IF(F31&lt;&gt;"",F31,D31))</f>
        <v>76</v>
      </c>
      <c r="I31" s="24" t="str">
        <f aca="false">IF(OR(H31&lt;40,H31&gt;150),"분량 확인","")</f>
        <v/>
      </c>
    </row>
    <row r="32" customFormat="false" ht="48" hidden="false" customHeight="true" outlineLevel="0" collapsed="false">
      <c r="A32" s="13" t="s">
        <v>1184</v>
      </c>
      <c r="B32" s="14" t="s">
        <v>629</v>
      </c>
      <c r="C32" s="15" t="s">
        <v>1118</v>
      </c>
      <c r="D32" s="15" t="s">
        <v>1185</v>
      </c>
      <c r="E32" s="23" t="s">
        <v>19</v>
      </c>
      <c r="F32" s="16"/>
      <c r="G32" s="16"/>
      <c r="H32" s="19" t="n">
        <f aca="false">LEN(IF(F32&lt;&gt;"",F32,D32))</f>
        <v>86</v>
      </c>
      <c r="I32" s="24" t="str">
        <f aca="false">IF(OR(H32&lt;40,H32&gt;150),"분량 확인","")</f>
        <v/>
      </c>
    </row>
    <row r="33" customFormat="false" ht="48" hidden="false" customHeight="true" outlineLevel="0" collapsed="false">
      <c r="A33" s="13" t="s">
        <v>1186</v>
      </c>
      <c r="B33" s="14" t="s">
        <v>629</v>
      </c>
      <c r="C33" s="15" t="s">
        <v>1122</v>
      </c>
      <c r="D33" s="15" t="s">
        <v>1187</v>
      </c>
      <c r="E33" s="23" t="s">
        <v>19</v>
      </c>
      <c r="F33" s="16"/>
      <c r="G33" s="16"/>
      <c r="H33" s="19" t="n">
        <f aca="false">LEN(IF(F33&lt;&gt;"",F33,D33))</f>
        <v>77</v>
      </c>
      <c r="I33" s="24" t="str">
        <f aca="false">IF(OR(H33&lt;40,H33&gt;150),"분량 확인","")</f>
        <v/>
      </c>
    </row>
    <row r="34" customFormat="false" ht="48" hidden="false" customHeight="true" outlineLevel="0" collapsed="false">
      <c r="A34" s="13" t="s">
        <v>1188</v>
      </c>
      <c r="B34" s="14" t="s">
        <v>629</v>
      </c>
      <c r="C34" s="15" t="s">
        <v>1124</v>
      </c>
      <c r="D34" s="15" t="s">
        <v>1189</v>
      </c>
      <c r="E34" s="23" t="s">
        <v>19</v>
      </c>
      <c r="F34" s="16"/>
      <c r="G34" s="16"/>
      <c r="H34" s="19" t="n">
        <f aca="false">LEN(IF(F34&lt;&gt;"",F34,D34))</f>
        <v>81</v>
      </c>
      <c r="I34" s="24" t="str">
        <f aca="false">IF(OR(H34&lt;40,H34&gt;150),"분량 확인","")</f>
        <v/>
      </c>
    </row>
    <row r="35" customFormat="false" ht="61.5" hidden="false" customHeight="true" outlineLevel="0" collapsed="false">
      <c r="A35" s="13" t="s">
        <v>1190</v>
      </c>
      <c r="B35" s="14" t="s">
        <v>629</v>
      </c>
      <c r="C35" s="15" t="s">
        <v>1128</v>
      </c>
      <c r="D35" s="15" t="s">
        <v>1191</v>
      </c>
      <c r="E35" s="23" t="s">
        <v>19</v>
      </c>
      <c r="F35" s="16"/>
      <c r="G35" s="16"/>
      <c r="H35" s="19" t="n">
        <f aca="false">LEN(IF(F35&lt;&gt;"",F35,D35))</f>
        <v>89</v>
      </c>
      <c r="I35" s="24" t="str">
        <f aca="false">IF(OR(H35&lt;40,H35&gt;150),"분량 확인","")</f>
        <v/>
      </c>
    </row>
    <row r="36" customFormat="false" ht="48" hidden="false" customHeight="true" outlineLevel="0" collapsed="false">
      <c r="A36" s="13" t="s">
        <v>1192</v>
      </c>
      <c r="B36" s="14" t="s">
        <v>629</v>
      </c>
      <c r="C36" s="15" t="s">
        <v>1131</v>
      </c>
      <c r="D36" s="15" t="s">
        <v>1193</v>
      </c>
      <c r="E36" s="23" t="s">
        <v>19</v>
      </c>
      <c r="F36" s="16"/>
      <c r="G36" s="16"/>
      <c r="H36" s="19" t="n">
        <f aca="false">LEN(IF(F36&lt;&gt;"",F36,D36))</f>
        <v>82</v>
      </c>
      <c r="I36" s="24" t="str">
        <f aca="false">IF(OR(H36&lt;40,H36&gt;150),"분량 확인","")</f>
        <v/>
      </c>
    </row>
    <row r="37" customFormat="false" ht="48" hidden="false" customHeight="true" outlineLevel="0" collapsed="false">
      <c r="A37" s="13" t="s">
        <v>1194</v>
      </c>
      <c r="B37" s="14" t="s">
        <v>629</v>
      </c>
      <c r="C37" s="15" t="s">
        <v>1134</v>
      </c>
      <c r="D37" s="15" t="s">
        <v>1195</v>
      </c>
      <c r="E37" s="23" t="s">
        <v>19</v>
      </c>
      <c r="F37" s="16"/>
      <c r="G37" s="16"/>
      <c r="H37" s="19" t="n">
        <f aca="false">LEN(IF(F37&lt;&gt;"",F37,D37))</f>
        <v>85</v>
      </c>
      <c r="I37" s="24" t="str">
        <f aca="false">IF(OR(H37&lt;40,H37&gt;150),"분량 확인","")</f>
        <v/>
      </c>
    </row>
    <row r="38" customFormat="false" ht="61.5" hidden="false" customHeight="true" outlineLevel="0" collapsed="false">
      <c r="A38" s="13" t="s">
        <v>490</v>
      </c>
      <c r="B38" s="14" t="s">
        <v>642</v>
      </c>
      <c r="C38" s="15" t="s">
        <v>1118</v>
      </c>
      <c r="D38" s="15" t="s">
        <v>1196</v>
      </c>
      <c r="E38" s="23" t="s">
        <v>19</v>
      </c>
      <c r="F38" s="16"/>
      <c r="G38" s="17" t="s">
        <v>1197</v>
      </c>
      <c r="H38" s="19" t="n">
        <f aca="false">LEN(IF(F38&lt;&gt;"",F38,D38))</f>
        <v>95</v>
      </c>
      <c r="I38" s="24" t="str">
        <f aca="false">IF(OR(H38&lt;40,H38&gt;150),"분량 확인","")</f>
        <v/>
      </c>
    </row>
    <row r="39" customFormat="false" ht="48" hidden="false" customHeight="true" outlineLevel="0" collapsed="false">
      <c r="A39" s="13" t="s">
        <v>1198</v>
      </c>
      <c r="B39" s="14" t="s">
        <v>642</v>
      </c>
      <c r="C39" s="15" t="s">
        <v>1122</v>
      </c>
      <c r="D39" s="15" t="s">
        <v>1199</v>
      </c>
      <c r="E39" s="23" t="s">
        <v>19</v>
      </c>
      <c r="F39" s="16"/>
      <c r="G39" s="16"/>
      <c r="H39" s="19" t="n">
        <f aca="false">LEN(IF(F39&lt;&gt;"",F39,D39))</f>
        <v>86</v>
      </c>
      <c r="I39" s="24" t="str">
        <f aca="false">IF(OR(H39&lt;40,H39&gt;150),"분량 확인","")</f>
        <v/>
      </c>
    </row>
    <row r="40" customFormat="false" ht="61.5" hidden="false" customHeight="true" outlineLevel="0" collapsed="false">
      <c r="A40" s="13" t="s">
        <v>1200</v>
      </c>
      <c r="B40" s="14" t="s">
        <v>642</v>
      </c>
      <c r="C40" s="15" t="s">
        <v>1124</v>
      </c>
      <c r="D40" s="15" t="s">
        <v>1201</v>
      </c>
      <c r="E40" s="23" t="s">
        <v>19</v>
      </c>
      <c r="F40" s="16"/>
      <c r="G40" s="16"/>
      <c r="H40" s="19" t="n">
        <f aca="false">LEN(IF(F40&lt;&gt;"",F40,D40))</f>
        <v>89</v>
      </c>
      <c r="I40" s="24" t="str">
        <f aca="false">IF(OR(H40&lt;40,H40&gt;150),"분량 확인","")</f>
        <v/>
      </c>
    </row>
    <row r="41" customFormat="false" ht="48" hidden="false" customHeight="true" outlineLevel="0" collapsed="false">
      <c r="A41" s="13" t="s">
        <v>1202</v>
      </c>
      <c r="B41" s="14" t="s">
        <v>642</v>
      </c>
      <c r="C41" s="15" t="s">
        <v>1128</v>
      </c>
      <c r="D41" s="15" t="s">
        <v>1203</v>
      </c>
      <c r="E41" s="23" t="s">
        <v>19</v>
      </c>
      <c r="F41" s="16"/>
      <c r="G41" s="16"/>
      <c r="H41" s="19" t="n">
        <f aca="false">LEN(IF(F41&lt;&gt;"",F41,D41))</f>
        <v>84</v>
      </c>
      <c r="I41" s="24" t="str">
        <f aca="false">IF(OR(H41&lt;40,H41&gt;150),"분량 확인","")</f>
        <v/>
      </c>
    </row>
    <row r="42" customFormat="false" ht="48" hidden="false" customHeight="true" outlineLevel="0" collapsed="false">
      <c r="A42" s="13" t="s">
        <v>1204</v>
      </c>
      <c r="B42" s="14" t="s">
        <v>642</v>
      </c>
      <c r="C42" s="15" t="s">
        <v>1131</v>
      </c>
      <c r="D42" s="15" t="s">
        <v>1205</v>
      </c>
      <c r="E42" s="23" t="s">
        <v>19</v>
      </c>
      <c r="F42" s="16"/>
      <c r="G42" s="16"/>
      <c r="H42" s="19" t="n">
        <f aca="false">LEN(IF(F42&lt;&gt;"",F42,D42))</f>
        <v>78</v>
      </c>
      <c r="I42" s="24" t="str">
        <f aca="false">IF(OR(H42&lt;40,H42&gt;150),"분량 확인","")</f>
        <v/>
      </c>
    </row>
    <row r="43" customFormat="false" ht="61.5" hidden="false" customHeight="true" outlineLevel="0" collapsed="false">
      <c r="A43" s="13" t="s">
        <v>1206</v>
      </c>
      <c r="B43" s="14" t="s">
        <v>642</v>
      </c>
      <c r="C43" s="15" t="s">
        <v>1134</v>
      </c>
      <c r="D43" s="15" t="s">
        <v>1207</v>
      </c>
      <c r="E43" s="23" t="s">
        <v>19</v>
      </c>
      <c r="F43" s="16"/>
      <c r="G43" s="16"/>
      <c r="H43" s="19" t="n">
        <f aca="false">LEN(IF(F43&lt;&gt;"",F43,D43))</f>
        <v>88</v>
      </c>
      <c r="I43" s="24" t="str">
        <f aca="false">IF(OR(H43&lt;40,H43&gt;150),"분량 확인","")</f>
        <v/>
      </c>
    </row>
    <row r="44" customFormat="false" ht="61.5" hidden="false" customHeight="true" outlineLevel="0" collapsed="false">
      <c r="A44" s="13" t="s">
        <v>1208</v>
      </c>
      <c r="B44" s="14" t="s">
        <v>655</v>
      </c>
      <c r="C44" s="15" t="s">
        <v>1118</v>
      </c>
      <c r="D44" s="15" t="s">
        <v>1209</v>
      </c>
      <c r="E44" s="23" t="s">
        <v>19</v>
      </c>
      <c r="F44" s="16"/>
      <c r="G44" s="16"/>
      <c r="H44" s="19" t="n">
        <f aca="false">LEN(IF(F44&lt;&gt;"",F44,D44))</f>
        <v>98</v>
      </c>
      <c r="I44" s="24" t="str">
        <f aca="false">IF(OR(H44&lt;40,H44&gt;150),"분량 확인","")</f>
        <v/>
      </c>
    </row>
    <row r="45" customFormat="false" ht="48" hidden="false" customHeight="true" outlineLevel="0" collapsed="false">
      <c r="A45" s="13" t="s">
        <v>1210</v>
      </c>
      <c r="B45" s="14" t="s">
        <v>655</v>
      </c>
      <c r="C45" s="15" t="s">
        <v>1122</v>
      </c>
      <c r="D45" s="15" t="s">
        <v>1211</v>
      </c>
      <c r="E45" s="23" t="s">
        <v>19</v>
      </c>
      <c r="F45" s="16"/>
      <c r="G45" s="16"/>
      <c r="H45" s="19" t="n">
        <f aca="false">LEN(IF(F45&lt;&gt;"",F45,D45))</f>
        <v>77</v>
      </c>
      <c r="I45" s="24" t="str">
        <f aca="false">IF(OR(H45&lt;40,H45&gt;150),"분량 확인","")</f>
        <v/>
      </c>
    </row>
    <row r="46" customFormat="false" ht="48" hidden="false" customHeight="true" outlineLevel="0" collapsed="false">
      <c r="A46" s="13" t="s">
        <v>211</v>
      </c>
      <c r="B46" s="14" t="s">
        <v>655</v>
      </c>
      <c r="C46" s="15" t="s">
        <v>1124</v>
      </c>
      <c r="D46" s="15" t="s">
        <v>1212</v>
      </c>
      <c r="E46" s="23" t="s">
        <v>19</v>
      </c>
      <c r="F46" s="16"/>
      <c r="G46" s="17" t="s">
        <v>1213</v>
      </c>
      <c r="H46" s="19" t="n">
        <f aca="false">LEN(IF(F46&lt;&gt;"",F46,D46))</f>
        <v>84</v>
      </c>
      <c r="I46" s="24" t="str">
        <f aca="false">IF(OR(H46&lt;40,H46&gt;150),"분량 확인","")</f>
        <v/>
      </c>
    </row>
    <row r="47" customFormat="false" ht="48" hidden="false" customHeight="true" outlineLevel="0" collapsed="false">
      <c r="A47" s="13" t="s">
        <v>1214</v>
      </c>
      <c r="B47" s="14" t="s">
        <v>655</v>
      </c>
      <c r="C47" s="15" t="s">
        <v>1128</v>
      </c>
      <c r="D47" s="15" t="s">
        <v>1215</v>
      </c>
      <c r="E47" s="23" t="s">
        <v>19</v>
      </c>
      <c r="F47" s="16"/>
      <c r="G47" s="16"/>
      <c r="H47" s="19" t="n">
        <f aca="false">LEN(IF(F47&lt;&gt;"",F47,D47))</f>
        <v>77</v>
      </c>
      <c r="I47" s="24" t="str">
        <f aca="false">IF(OR(H47&lt;40,H47&gt;150),"분량 확인","")</f>
        <v/>
      </c>
    </row>
    <row r="48" customFormat="false" ht="48" hidden="false" customHeight="true" outlineLevel="0" collapsed="false">
      <c r="A48" s="13" t="s">
        <v>501</v>
      </c>
      <c r="B48" s="14" t="s">
        <v>655</v>
      </c>
      <c r="C48" s="15" t="s">
        <v>1131</v>
      </c>
      <c r="D48" s="15" t="s">
        <v>1216</v>
      </c>
      <c r="E48" s="23" t="s">
        <v>19</v>
      </c>
      <c r="F48" s="16"/>
      <c r="G48" s="17" t="s">
        <v>1217</v>
      </c>
      <c r="H48" s="19" t="n">
        <f aca="false">LEN(IF(F48&lt;&gt;"",F48,D48))</f>
        <v>75</v>
      </c>
      <c r="I48" s="24" t="str">
        <f aca="false">IF(OR(H48&lt;40,H48&gt;150),"분량 확인","")</f>
        <v/>
      </c>
    </row>
    <row r="49" customFormat="false" ht="48" hidden="false" customHeight="true" outlineLevel="0" collapsed="false">
      <c r="A49" s="13" t="s">
        <v>1218</v>
      </c>
      <c r="B49" s="14" t="s">
        <v>655</v>
      </c>
      <c r="C49" s="15" t="s">
        <v>1134</v>
      </c>
      <c r="D49" s="15" t="s">
        <v>1219</v>
      </c>
      <c r="E49" s="23" t="s">
        <v>19</v>
      </c>
      <c r="F49" s="16"/>
      <c r="G49" s="16"/>
      <c r="H49" s="19" t="n">
        <f aca="false">LEN(IF(F49&lt;&gt;"",F49,D49))</f>
        <v>84</v>
      </c>
      <c r="I49" s="24" t="str">
        <f aca="false">IF(OR(H49&lt;40,H49&gt;150),"분량 확인","")</f>
        <v/>
      </c>
    </row>
    <row r="50" customFormat="false" ht="61.5" hidden="false" customHeight="true" outlineLevel="0" collapsed="false">
      <c r="A50" s="13" t="s">
        <v>172</v>
      </c>
      <c r="B50" s="14" t="s">
        <v>668</v>
      </c>
      <c r="C50" s="15" t="s">
        <v>1118</v>
      </c>
      <c r="D50" s="15" t="s">
        <v>1220</v>
      </c>
      <c r="E50" s="23" t="s">
        <v>19</v>
      </c>
      <c r="F50" s="16"/>
      <c r="G50" s="17" t="s">
        <v>1221</v>
      </c>
      <c r="H50" s="19" t="n">
        <f aca="false">LEN(IF(F50&lt;&gt;"",F50,D50))</f>
        <v>90</v>
      </c>
      <c r="I50" s="24" t="str">
        <f aca="false">IF(OR(H50&lt;40,H50&gt;150),"분량 확인","")</f>
        <v/>
      </c>
    </row>
    <row r="51" customFormat="false" ht="48" hidden="false" customHeight="true" outlineLevel="0" collapsed="false">
      <c r="A51" s="13" t="s">
        <v>1222</v>
      </c>
      <c r="B51" s="14" t="s">
        <v>668</v>
      </c>
      <c r="C51" s="15" t="s">
        <v>1122</v>
      </c>
      <c r="D51" s="15" t="s">
        <v>1223</v>
      </c>
      <c r="E51" s="23" t="s">
        <v>19</v>
      </c>
      <c r="F51" s="16"/>
      <c r="G51" s="16"/>
      <c r="H51" s="19" t="n">
        <f aca="false">LEN(IF(F51&lt;&gt;"",F51,D51))</f>
        <v>72</v>
      </c>
      <c r="I51" s="24" t="str">
        <f aca="false">IF(OR(H51&lt;40,H51&gt;150),"분량 확인","")</f>
        <v/>
      </c>
    </row>
    <row r="52" customFormat="false" ht="61.5" hidden="false" customHeight="true" outlineLevel="0" collapsed="false">
      <c r="A52" s="13" t="s">
        <v>1224</v>
      </c>
      <c r="B52" s="14" t="s">
        <v>668</v>
      </c>
      <c r="C52" s="15" t="s">
        <v>1124</v>
      </c>
      <c r="D52" s="15" t="s">
        <v>1225</v>
      </c>
      <c r="E52" s="23" t="s">
        <v>19</v>
      </c>
      <c r="F52" s="16"/>
      <c r="G52" s="16"/>
      <c r="H52" s="19" t="n">
        <f aca="false">LEN(IF(F52&lt;&gt;"",F52,D52))</f>
        <v>90</v>
      </c>
      <c r="I52" s="24" t="str">
        <f aca="false">IF(OR(H52&lt;40,H52&gt;150),"분량 확인","")</f>
        <v/>
      </c>
    </row>
    <row r="53" customFormat="false" ht="48" hidden="false" customHeight="true" outlineLevel="0" collapsed="false">
      <c r="A53" s="13" t="s">
        <v>1226</v>
      </c>
      <c r="B53" s="14" t="s">
        <v>668</v>
      </c>
      <c r="C53" s="15" t="s">
        <v>1128</v>
      </c>
      <c r="D53" s="15" t="s">
        <v>1227</v>
      </c>
      <c r="E53" s="23" t="s">
        <v>19</v>
      </c>
      <c r="F53" s="16"/>
      <c r="G53" s="16"/>
      <c r="H53" s="19" t="n">
        <f aca="false">LEN(IF(F53&lt;&gt;"",F53,D53))</f>
        <v>83</v>
      </c>
      <c r="I53" s="24" t="str">
        <f aca="false">IF(OR(H53&lt;40,H53&gt;150),"분량 확인","")</f>
        <v/>
      </c>
    </row>
    <row r="54" customFormat="false" ht="48" hidden="false" customHeight="true" outlineLevel="0" collapsed="false">
      <c r="A54" s="13" t="s">
        <v>1228</v>
      </c>
      <c r="B54" s="14" t="s">
        <v>668</v>
      </c>
      <c r="C54" s="15" t="s">
        <v>1131</v>
      </c>
      <c r="D54" s="15" t="s">
        <v>1229</v>
      </c>
      <c r="E54" s="23" t="s">
        <v>19</v>
      </c>
      <c r="F54" s="16"/>
      <c r="G54" s="16"/>
      <c r="H54" s="19" t="n">
        <f aca="false">LEN(IF(F54&lt;&gt;"",F54,D54))</f>
        <v>79</v>
      </c>
      <c r="I54" s="24" t="str">
        <f aca="false">IF(OR(H54&lt;40,H54&gt;150),"분량 확인","")</f>
        <v/>
      </c>
    </row>
    <row r="55" customFormat="false" ht="48" hidden="false" customHeight="true" outlineLevel="0" collapsed="false">
      <c r="A55" s="13" t="s">
        <v>1230</v>
      </c>
      <c r="B55" s="14" t="s">
        <v>668</v>
      </c>
      <c r="C55" s="15" t="s">
        <v>1134</v>
      </c>
      <c r="D55" s="15" t="s">
        <v>1231</v>
      </c>
      <c r="E55" s="23" t="s">
        <v>19</v>
      </c>
      <c r="F55" s="16"/>
      <c r="G55" s="16"/>
      <c r="H55" s="19" t="n">
        <f aca="false">LEN(IF(F55&lt;&gt;"",F55,D55))</f>
        <v>77</v>
      </c>
      <c r="I55" s="24" t="str">
        <f aca="false">IF(OR(H55&lt;40,H55&gt;150),"분량 확인","")</f>
        <v/>
      </c>
    </row>
    <row r="56" customFormat="false" ht="61.5" hidden="false" customHeight="true" outlineLevel="0" collapsed="false">
      <c r="A56" s="13" t="s">
        <v>1232</v>
      </c>
      <c r="B56" s="14" t="s">
        <v>681</v>
      </c>
      <c r="C56" s="15" t="s">
        <v>1118</v>
      </c>
      <c r="D56" s="15" t="s">
        <v>1233</v>
      </c>
      <c r="E56" s="23" t="s">
        <v>19</v>
      </c>
      <c r="F56" s="16"/>
      <c r="G56" s="16"/>
      <c r="H56" s="19" t="n">
        <f aca="false">LEN(IF(F56&lt;&gt;"",F56,D56))</f>
        <v>94</v>
      </c>
      <c r="I56" s="24" t="str">
        <f aca="false">IF(OR(H56&lt;40,H56&gt;150),"분량 확인","")</f>
        <v/>
      </c>
    </row>
    <row r="57" customFormat="false" ht="61.5" hidden="false" customHeight="true" outlineLevel="0" collapsed="false">
      <c r="A57" s="13" t="s">
        <v>1234</v>
      </c>
      <c r="B57" s="14" t="s">
        <v>681</v>
      </c>
      <c r="C57" s="15" t="s">
        <v>1122</v>
      </c>
      <c r="D57" s="15" t="s">
        <v>1235</v>
      </c>
      <c r="E57" s="23" t="s">
        <v>19</v>
      </c>
      <c r="F57" s="16"/>
      <c r="G57" s="16"/>
      <c r="H57" s="19" t="n">
        <f aca="false">LEN(IF(F57&lt;&gt;"",F57,D57))</f>
        <v>89</v>
      </c>
      <c r="I57" s="24" t="str">
        <f aca="false">IF(OR(H57&lt;40,H57&gt;150),"분량 확인","")</f>
        <v/>
      </c>
    </row>
    <row r="58" customFormat="false" ht="61.5" hidden="false" customHeight="true" outlineLevel="0" collapsed="false">
      <c r="A58" s="13" t="s">
        <v>1236</v>
      </c>
      <c r="B58" s="14" t="s">
        <v>681</v>
      </c>
      <c r="C58" s="15" t="s">
        <v>1124</v>
      </c>
      <c r="D58" s="15" t="s">
        <v>1237</v>
      </c>
      <c r="E58" s="23" t="s">
        <v>19</v>
      </c>
      <c r="F58" s="16"/>
      <c r="G58" s="16"/>
      <c r="H58" s="19" t="n">
        <f aca="false">LEN(IF(F58&lt;&gt;"",F58,D58))</f>
        <v>88</v>
      </c>
      <c r="I58" s="24" t="str">
        <f aca="false">IF(OR(H58&lt;40,H58&gt;150),"분량 확인","")</f>
        <v/>
      </c>
    </row>
    <row r="59" customFormat="false" ht="48" hidden="false" customHeight="true" outlineLevel="0" collapsed="false">
      <c r="A59" s="13" t="s">
        <v>1238</v>
      </c>
      <c r="B59" s="14" t="s">
        <v>681</v>
      </c>
      <c r="C59" s="15" t="s">
        <v>1128</v>
      </c>
      <c r="D59" s="15" t="s">
        <v>1239</v>
      </c>
      <c r="E59" s="23" t="s">
        <v>19</v>
      </c>
      <c r="F59" s="16"/>
      <c r="G59" s="16"/>
      <c r="H59" s="19" t="n">
        <f aca="false">LEN(IF(F59&lt;&gt;"",F59,D59))</f>
        <v>86</v>
      </c>
      <c r="I59" s="24" t="str">
        <f aca="false">IF(OR(H59&lt;40,H59&gt;150),"분량 확인","")</f>
        <v/>
      </c>
    </row>
    <row r="60" customFormat="false" ht="48" hidden="false" customHeight="true" outlineLevel="0" collapsed="false">
      <c r="A60" s="13" t="s">
        <v>1240</v>
      </c>
      <c r="B60" s="14" t="s">
        <v>681</v>
      </c>
      <c r="C60" s="15" t="s">
        <v>1131</v>
      </c>
      <c r="D60" s="15" t="s">
        <v>1241</v>
      </c>
      <c r="E60" s="23" t="s">
        <v>19</v>
      </c>
      <c r="F60" s="16"/>
      <c r="G60" s="16"/>
      <c r="H60" s="19" t="n">
        <f aca="false">LEN(IF(F60&lt;&gt;"",F60,D60))</f>
        <v>82</v>
      </c>
      <c r="I60" s="24" t="str">
        <f aca="false">IF(OR(H60&lt;40,H60&gt;150),"분량 확인","")</f>
        <v/>
      </c>
    </row>
    <row r="61" customFormat="false" ht="61.5" hidden="false" customHeight="true" outlineLevel="0" collapsed="false">
      <c r="A61" s="13" t="s">
        <v>527</v>
      </c>
      <c r="B61" s="14" t="s">
        <v>681</v>
      </c>
      <c r="C61" s="15" t="s">
        <v>1134</v>
      </c>
      <c r="D61" s="15" t="s">
        <v>1242</v>
      </c>
      <c r="E61" s="23" t="s">
        <v>19</v>
      </c>
      <c r="F61" s="16"/>
      <c r="G61" s="17" t="s">
        <v>1243</v>
      </c>
      <c r="H61" s="19" t="n">
        <f aca="false">LEN(IF(F61&lt;&gt;"",F61,D61))</f>
        <v>92</v>
      </c>
      <c r="I61" s="24" t="str">
        <f aca="false">IF(OR(H61&lt;40,H61&gt;150),"분량 확인","")</f>
        <v/>
      </c>
    </row>
    <row r="62" customFormat="false" ht="61.5" hidden="false" customHeight="true" outlineLevel="0" collapsed="false">
      <c r="A62" s="13" t="s">
        <v>1244</v>
      </c>
      <c r="B62" s="14" t="s">
        <v>694</v>
      </c>
      <c r="C62" s="15" t="s">
        <v>1118</v>
      </c>
      <c r="D62" s="15" t="s">
        <v>1245</v>
      </c>
      <c r="E62" s="23" t="s">
        <v>19</v>
      </c>
      <c r="F62" s="16"/>
      <c r="G62" s="16"/>
      <c r="H62" s="19" t="n">
        <f aca="false">LEN(IF(F62&lt;&gt;"",F62,D62))</f>
        <v>95</v>
      </c>
      <c r="I62" s="24" t="str">
        <f aca="false">IF(OR(H62&lt;40,H62&gt;150),"분량 확인","")</f>
        <v/>
      </c>
    </row>
    <row r="63" customFormat="false" ht="61.5" hidden="false" customHeight="true" outlineLevel="0" collapsed="false">
      <c r="A63" s="13" t="s">
        <v>1246</v>
      </c>
      <c r="B63" s="14" t="s">
        <v>694</v>
      </c>
      <c r="C63" s="15" t="s">
        <v>1122</v>
      </c>
      <c r="D63" s="15" t="s">
        <v>1247</v>
      </c>
      <c r="E63" s="23" t="s">
        <v>19</v>
      </c>
      <c r="F63" s="16"/>
      <c r="G63" s="16"/>
      <c r="H63" s="19" t="n">
        <f aca="false">LEN(IF(F63&lt;&gt;"",F63,D63))</f>
        <v>91</v>
      </c>
      <c r="I63" s="24" t="str">
        <f aca="false">IF(OR(H63&lt;40,H63&gt;150),"분량 확인","")</f>
        <v/>
      </c>
    </row>
    <row r="64" customFormat="false" ht="61.5" hidden="false" customHeight="true" outlineLevel="0" collapsed="false">
      <c r="A64" s="13" t="s">
        <v>1248</v>
      </c>
      <c r="B64" s="14" t="s">
        <v>694</v>
      </c>
      <c r="C64" s="15" t="s">
        <v>1124</v>
      </c>
      <c r="D64" s="15" t="s">
        <v>1249</v>
      </c>
      <c r="E64" s="23" t="s">
        <v>19</v>
      </c>
      <c r="F64" s="16"/>
      <c r="G64" s="16"/>
      <c r="H64" s="19" t="n">
        <f aca="false">LEN(IF(F64&lt;&gt;"",F64,D64))</f>
        <v>94</v>
      </c>
      <c r="I64" s="24" t="str">
        <f aca="false">IF(OR(H64&lt;40,H64&gt;150),"분량 확인","")</f>
        <v/>
      </c>
    </row>
    <row r="65" customFormat="false" ht="61.5" hidden="false" customHeight="true" outlineLevel="0" collapsed="false">
      <c r="A65" s="13" t="s">
        <v>1250</v>
      </c>
      <c r="B65" s="14" t="s">
        <v>694</v>
      </c>
      <c r="C65" s="15" t="s">
        <v>1128</v>
      </c>
      <c r="D65" s="15" t="s">
        <v>1251</v>
      </c>
      <c r="E65" s="23" t="s">
        <v>19</v>
      </c>
      <c r="F65" s="16"/>
      <c r="G65" s="16"/>
      <c r="H65" s="19" t="n">
        <f aca="false">LEN(IF(F65&lt;&gt;"",F65,D65))</f>
        <v>91</v>
      </c>
      <c r="I65" s="24" t="str">
        <f aca="false">IF(OR(H65&lt;40,H65&gt;150),"분량 확인","")</f>
        <v/>
      </c>
    </row>
    <row r="66" customFormat="false" ht="48" hidden="false" customHeight="true" outlineLevel="0" collapsed="false">
      <c r="A66" s="13" t="s">
        <v>1252</v>
      </c>
      <c r="B66" s="14" t="s">
        <v>694</v>
      </c>
      <c r="C66" s="15" t="s">
        <v>1131</v>
      </c>
      <c r="D66" s="15" t="s">
        <v>1253</v>
      </c>
      <c r="E66" s="23" t="s">
        <v>19</v>
      </c>
      <c r="F66" s="16"/>
      <c r="G66" s="16"/>
      <c r="H66" s="19" t="n">
        <f aca="false">LEN(IF(F66&lt;&gt;"",F66,D66))</f>
        <v>83</v>
      </c>
      <c r="I66" s="24" t="str">
        <f aca="false">IF(OR(H66&lt;40,H66&gt;150),"분량 확인","")</f>
        <v/>
      </c>
    </row>
    <row r="67" customFormat="false" ht="61.5" hidden="false" customHeight="true" outlineLevel="0" collapsed="false">
      <c r="A67" s="13" t="s">
        <v>1254</v>
      </c>
      <c r="B67" s="14" t="s">
        <v>694</v>
      </c>
      <c r="C67" s="15" t="s">
        <v>1134</v>
      </c>
      <c r="D67" s="15" t="s">
        <v>1255</v>
      </c>
      <c r="E67" s="23" t="s">
        <v>19</v>
      </c>
      <c r="F67" s="16"/>
      <c r="G67" s="16"/>
      <c r="H67" s="19" t="n">
        <f aca="false">LEN(IF(F67&lt;&gt;"",F67,D67))</f>
        <v>92</v>
      </c>
      <c r="I67" s="24" t="str">
        <f aca="false">IF(OR(H67&lt;40,H67&gt;150),"분량 확인","")</f>
        <v/>
      </c>
    </row>
    <row r="68" customFormat="false" ht="48" hidden="false" customHeight="true" outlineLevel="0" collapsed="false">
      <c r="A68" s="13" t="s">
        <v>1256</v>
      </c>
      <c r="B68" s="14" t="s">
        <v>707</v>
      </c>
      <c r="C68" s="15" t="s">
        <v>1118</v>
      </c>
      <c r="D68" s="15" t="s">
        <v>1257</v>
      </c>
      <c r="E68" s="23" t="s">
        <v>19</v>
      </c>
      <c r="F68" s="16"/>
      <c r="G68" s="16"/>
      <c r="H68" s="19" t="n">
        <f aca="false">LEN(IF(F68&lt;&gt;"",F68,D68))</f>
        <v>84</v>
      </c>
      <c r="I68" s="24" t="str">
        <f aca="false">IF(OR(H68&lt;40,H68&gt;150),"분량 확인","")</f>
        <v/>
      </c>
    </row>
    <row r="69" customFormat="false" ht="48" hidden="false" customHeight="true" outlineLevel="0" collapsed="false">
      <c r="A69" s="13" t="s">
        <v>1258</v>
      </c>
      <c r="B69" s="14" t="s">
        <v>707</v>
      </c>
      <c r="C69" s="15" t="s">
        <v>1122</v>
      </c>
      <c r="D69" s="15" t="s">
        <v>1259</v>
      </c>
      <c r="E69" s="23" t="s">
        <v>19</v>
      </c>
      <c r="F69" s="16"/>
      <c r="G69" s="16"/>
      <c r="H69" s="19" t="n">
        <f aca="false">LEN(IF(F69&lt;&gt;"",F69,D69))</f>
        <v>78</v>
      </c>
      <c r="I69" s="24" t="str">
        <f aca="false">IF(OR(H69&lt;40,H69&gt;150),"분량 확인","")</f>
        <v/>
      </c>
    </row>
    <row r="70" customFormat="false" ht="48" hidden="false" customHeight="true" outlineLevel="0" collapsed="false">
      <c r="A70" s="13" t="s">
        <v>1260</v>
      </c>
      <c r="B70" s="14" t="s">
        <v>707</v>
      </c>
      <c r="C70" s="15" t="s">
        <v>1124</v>
      </c>
      <c r="D70" s="15" t="s">
        <v>1261</v>
      </c>
      <c r="E70" s="23" t="s">
        <v>19</v>
      </c>
      <c r="F70" s="16"/>
      <c r="G70" s="16"/>
      <c r="H70" s="19" t="n">
        <f aca="false">LEN(IF(F70&lt;&gt;"",F70,D70))</f>
        <v>75</v>
      </c>
      <c r="I70" s="24" t="str">
        <f aca="false">IF(OR(H70&lt;40,H70&gt;150),"분량 확인","")</f>
        <v/>
      </c>
    </row>
    <row r="71" customFormat="false" ht="48" hidden="false" customHeight="true" outlineLevel="0" collapsed="false">
      <c r="A71" s="13" t="s">
        <v>1262</v>
      </c>
      <c r="B71" s="14" t="s">
        <v>707</v>
      </c>
      <c r="C71" s="15" t="s">
        <v>1128</v>
      </c>
      <c r="D71" s="15" t="s">
        <v>1263</v>
      </c>
      <c r="E71" s="23" t="s">
        <v>19</v>
      </c>
      <c r="F71" s="16"/>
      <c r="G71" s="16"/>
      <c r="H71" s="19" t="n">
        <f aca="false">LEN(IF(F71&lt;&gt;"",F71,D71))</f>
        <v>86</v>
      </c>
      <c r="I71" s="24" t="str">
        <f aca="false">IF(OR(H71&lt;40,H71&gt;150),"분량 확인","")</f>
        <v/>
      </c>
    </row>
    <row r="72" customFormat="false" ht="48" hidden="false" customHeight="true" outlineLevel="0" collapsed="false">
      <c r="A72" s="13" t="s">
        <v>1264</v>
      </c>
      <c r="B72" s="14" t="s">
        <v>707</v>
      </c>
      <c r="C72" s="15" t="s">
        <v>1131</v>
      </c>
      <c r="D72" s="15" t="s">
        <v>1265</v>
      </c>
      <c r="E72" s="23" t="s">
        <v>19</v>
      </c>
      <c r="F72" s="16"/>
      <c r="G72" s="16"/>
      <c r="H72" s="19" t="n">
        <f aca="false">LEN(IF(F72&lt;&gt;"",F72,D72))</f>
        <v>74</v>
      </c>
      <c r="I72" s="24" t="str">
        <f aca="false">IF(OR(H72&lt;40,H72&gt;150),"분량 확인","")</f>
        <v/>
      </c>
    </row>
    <row r="73" customFormat="false" ht="48" hidden="false" customHeight="true" outlineLevel="0" collapsed="false">
      <c r="A73" s="13" t="s">
        <v>1266</v>
      </c>
      <c r="B73" s="14" t="s">
        <v>707</v>
      </c>
      <c r="C73" s="15" t="s">
        <v>1134</v>
      </c>
      <c r="D73" s="15" t="s">
        <v>1267</v>
      </c>
      <c r="E73" s="23" t="s">
        <v>19</v>
      </c>
      <c r="F73" s="16"/>
      <c r="G73" s="16"/>
      <c r="H73" s="19" t="n">
        <f aca="false">LEN(IF(F73&lt;&gt;"",F73,D73))</f>
        <v>67</v>
      </c>
      <c r="I73" s="24" t="str">
        <f aca="false">IF(OR(H73&lt;40,H73&gt;150),"분량 확인","")</f>
        <v/>
      </c>
    </row>
    <row r="74" customFormat="false" ht="48" hidden="false" customHeight="true" outlineLevel="0" collapsed="false">
      <c r="A74" s="13" t="s">
        <v>31</v>
      </c>
      <c r="B74" s="14" t="s">
        <v>32</v>
      </c>
      <c r="C74" s="15" t="s">
        <v>1118</v>
      </c>
      <c r="D74" s="15" t="s">
        <v>1268</v>
      </c>
      <c r="E74" s="23" t="s">
        <v>19</v>
      </c>
      <c r="F74" s="16"/>
      <c r="G74" s="16"/>
      <c r="H74" s="19" t="n">
        <f aca="false">LEN(IF(F74&lt;&gt;"",F74,D74))</f>
        <v>82</v>
      </c>
      <c r="I74" s="24" t="str">
        <f aca="false">IF(OR(H74&lt;40,H74&gt;150),"분량 확인","")</f>
        <v/>
      </c>
    </row>
    <row r="75" customFormat="false" ht="48" hidden="false" customHeight="true" outlineLevel="0" collapsed="false">
      <c r="A75" s="13" t="s">
        <v>1269</v>
      </c>
      <c r="B75" s="14" t="s">
        <v>32</v>
      </c>
      <c r="C75" s="15" t="s">
        <v>1122</v>
      </c>
      <c r="D75" s="15" t="s">
        <v>1270</v>
      </c>
      <c r="E75" s="23" t="s">
        <v>19</v>
      </c>
      <c r="F75" s="16"/>
      <c r="G75" s="16"/>
      <c r="H75" s="19" t="n">
        <f aca="false">LEN(IF(F75&lt;&gt;"",F75,D75))</f>
        <v>76</v>
      </c>
      <c r="I75" s="24" t="str">
        <f aca="false">IF(OR(H75&lt;40,H75&gt;150),"분량 확인","")</f>
        <v/>
      </c>
    </row>
    <row r="76" customFormat="false" ht="48" hidden="false" customHeight="true" outlineLevel="0" collapsed="false">
      <c r="A76" s="13" t="s">
        <v>1271</v>
      </c>
      <c r="B76" s="14" t="s">
        <v>32</v>
      </c>
      <c r="C76" s="15" t="s">
        <v>1124</v>
      </c>
      <c r="D76" s="15" t="s">
        <v>1272</v>
      </c>
      <c r="E76" s="23" t="s">
        <v>19</v>
      </c>
      <c r="F76" s="16"/>
      <c r="G76" s="16"/>
      <c r="H76" s="19" t="n">
        <f aca="false">LEN(IF(F76&lt;&gt;"",F76,D76))</f>
        <v>75</v>
      </c>
      <c r="I76" s="24" t="str">
        <f aca="false">IF(OR(H76&lt;40,H76&gt;150),"분량 확인","")</f>
        <v/>
      </c>
    </row>
    <row r="77" customFormat="false" ht="61.5" hidden="false" customHeight="true" outlineLevel="0" collapsed="false">
      <c r="A77" s="13" t="s">
        <v>1273</v>
      </c>
      <c r="B77" s="14" t="s">
        <v>32</v>
      </c>
      <c r="C77" s="15" t="s">
        <v>1128</v>
      </c>
      <c r="D77" s="15" t="s">
        <v>1274</v>
      </c>
      <c r="E77" s="23" t="s">
        <v>19</v>
      </c>
      <c r="F77" s="16"/>
      <c r="G77" s="16"/>
      <c r="H77" s="19" t="n">
        <f aca="false">LEN(IF(F77&lt;&gt;"",F77,D77))</f>
        <v>88</v>
      </c>
      <c r="I77" s="24" t="str">
        <f aca="false">IF(OR(H77&lt;40,H77&gt;150),"분량 확인","")</f>
        <v/>
      </c>
    </row>
    <row r="78" customFormat="false" ht="48" hidden="false" customHeight="true" outlineLevel="0" collapsed="false">
      <c r="A78" s="13" t="s">
        <v>1275</v>
      </c>
      <c r="B78" s="14" t="s">
        <v>32</v>
      </c>
      <c r="C78" s="15" t="s">
        <v>1131</v>
      </c>
      <c r="D78" s="15" t="s">
        <v>1276</v>
      </c>
      <c r="E78" s="23" t="s">
        <v>19</v>
      </c>
      <c r="F78" s="16"/>
      <c r="G78" s="16"/>
      <c r="H78" s="19" t="n">
        <f aca="false">LEN(IF(F78&lt;&gt;"",F78,D78))</f>
        <v>77</v>
      </c>
      <c r="I78" s="24" t="str">
        <f aca="false">IF(OR(H78&lt;40,H78&gt;150),"분량 확인","")</f>
        <v/>
      </c>
    </row>
    <row r="79" customFormat="false" ht="48" hidden="false" customHeight="true" outlineLevel="0" collapsed="false">
      <c r="A79" s="13" t="s">
        <v>1277</v>
      </c>
      <c r="B79" s="14" t="s">
        <v>32</v>
      </c>
      <c r="C79" s="15" t="s">
        <v>1134</v>
      </c>
      <c r="D79" s="15" t="s">
        <v>1278</v>
      </c>
      <c r="E79" s="23" t="s">
        <v>19</v>
      </c>
      <c r="F79" s="16"/>
      <c r="G79" s="16"/>
      <c r="H79" s="19" t="n">
        <f aca="false">LEN(IF(F79&lt;&gt;"",F79,D79))</f>
        <v>72</v>
      </c>
      <c r="I79" s="24" t="str">
        <f aca="false">IF(OR(H79&lt;40,H79&gt;150),"분량 확인","")</f>
        <v/>
      </c>
    </row>
    <row r="80" customFormat="false" ht="48" hidden="false" customHeight="true" outlineLevel="0" collapsed="false">
      <c r="A80" s="13" t="s">
        <v>1279</v>
      </c>
      <c r="B80" s="14" t="s">
        <v>732</v>
      </c>
      <c r="C80" s="15" t="s">
        <v>1118</v>
      </c>
      <c r="D80" s="15" t="s">
        <v>1280</v>
      </c>
      <c r="E80" s="23" t="s">
        <v>19</v>
      </c>
      <c r="F80" s="16"/>
      <c r="G80" s="16"/>
      <c r="H80" s="19" t="n">
        <f aca="false">LEN(IF(F80&lt;&gt;"",F80,D80))</f>
        <v>87</v>
      </c>
      <c r="I80" s="24" t="str">
        <f aca="false">IF(OR(H80&lt;40,H80&gt;150),"분량 확인","")</f>
        <v/>
      </c>
    </row>
    <row r="81" customFormat="false" ht="48" hidden="false" customHeight="true" outlineLevel="0" collapsed="false">
      <c r="A81" s="13" t="s">
        <v>1281</v>
      </c>
      <c r="B81" s="14" t="s">
        <v>732</v>
      </c>
      <c r="C81" s="15" t="s">
        <v>1122</v>
      </c>
      <c r="D81" s="15" t="s">
        <v>1282</v>
      </c>
      <c r="E81" s="23" t="s">
        <v>19</v>
      </c>
      <c r="F81" s="16"/>
      <c r="G81" s="16"/>
      <c r="H81" s="19" t="n">
        <f aca="false">LEN(IF(F81&lt;&gt;"",F81,D81))</f>
        <v>84</v>
      </c>
      <c r="I81" s="24" t="str">
        <f aca="false">IF(OR(H81&lt;40,H81&gt;150),"분량 확인","")</f>
        <v/>
      </c>
    </row>
    <row r="82" customFormat="false" ht="48" hidden="false" customHeight="true" outlineLevel="0" collapsed="false">
      <c r="A82" s="13" t="s">
        <v>1283</v>
      </c>
      <c r="B82" s="14" t="s">
        <v>732</v>
      </c>
      <c r="C82" s="15" t="s">
        <v>1124</v>
      </c>
      <c r="D82" s="15" t="s">
        <v>1284</v>
      </c>
      <c r="E82" s="23" t="s">
        <v>19</v>
      </c>
      <c r="F82" s="16"/>
      <c r="G82" s="16"/>
      <c r="H82" s="19" t="n">
        <f aca="false">LEN(IF(F82&lt;&gt;"",F82,D82))</f>
        <v>83</v>
      </c>
      <c r="I82" s="24" t="str">
        <f aca="false">IF(OR(H82&lt;40,H82&gt;150),"분량 확인","")</f>
        <v/>
      </c>
    </row>
    <row r="83" customFormat="false" ht="48" hidden="false" customHeight="true" outlineLevel="0" collapsed="false">
      <c r="A83" s="13" t="s">
        <v>1285</v>
      </c>
      <c r="B83" s="14" t="s">
        <v>732</v>
      </c>
      <c r="C83" s="15" t="s">
        <v>1128</v>
      </c>
      <c r="D83" s="15" t="s">
        <v>1286</v>
      </c>
      <c r="E83" s="23" t="s">
        <v>19</v>
      </c>
      <c r="F83" s="16"/>
      <c r="G83" s="16"/>
      <c r="H83" s="19" t="n">
        <f aca="false">LEN(IF(F83&lt;&gt;"",F83,D83))</f>
        <v>83</v>
      </c>
      <c r="I83" s="24" t="str">
        <f aca="false">IF(OR(H83&lt;40,H83&gt;150),"분량 확인","")</f>
        <v/>
      </c>
    </row>
    <row r="84" customFormat="false" ht="48" hidden="false" customHeight="true" outlineLevel="0" collapsed="false">
      <c r="A84" s="13" t="s">
        <v>308</v>
      </c>
      <c r="B84" s="14" t="s">
        <v>732</v>
      </c>
      <c r="C84" s="15" t="s">
        <v>1131</v>
      </c>
      <c r="D84" s="15" t="s">
        <v>1287</v>
      </c>
      <c r="E84" s="23" t="s">
        <v>19</v>
      </c>
      <c r="F84" s="16"/>
      <c r="G84" s="17" t="s">
        <v>1288</v>
      </c>
      <c r="H84" s="19" t="n">
        <f aca="false">LEN(IF(F84&lt;&gt;"",F84,D84))</f>
        <v>79</v>
      </c>
      <c r="I84" s="24" t="str">
        <f aca="false">IF(OR(H84&lt;40,H84&gt;150),"분량 확인","")</f>
        <v/>
      </c>
    </row>
    <row r="85" customFormat="false" ht="48" hidden="false" customHeight="true" outlineLevel="0" collapsed="false">
      <c r="A85" s="13" t="s">
        <v>1289</v>
      </c>
      <c r="B85" s="14" t="s">
        <v>732</v>
      </c>
      <c r="C85" s="15" t="s">
        <v>1134</v>
      </c>
      <c r="D85" s="15" t="s">
        <v>1290</v>
      </c>
      <c r="E85" s="23" t="s">
        <v>19</v>
      </c>
      <c r="F85" s="16"/>
      <c r="G85" s="16"/>
      <c r="H85" s="19" t="n">
        <f aca="false">LEN(IF(F85&lt;&gt;"",F85,D85))</f>
        <v>79</v>
      </c>
      <c r="I85" s="24" t="str">
        <f aca="false">IF(OR(H85&lt;40,H85&gt;150),"분량 확인","")</f>
        <v/>
      </c>
    </row>
    <row r="86" customFormat="false" ht="48" hidden="false" customHeight="true" outlineLevel="0" collapsed="false">
      <c r="A86" s="13" t="s">
        <v>315</v>
      </c>
      <c r="B86" s="14" t="s">
        <v>745</v>
      </c>
      <c r="C86" s="15" t="s">
        <v>1118</v>
      </c>
      <c r="D86" s="15" t="s">
        <v>1291</v>
      </c>
      <c r="E86" s="23" t="s">
        <v>19</v>
      </c>
      <c r="F86" s="16"/>
      <c r="G86" s="17" t="s">
        <v>1292</v>
      </c>
      <c r="H86" s="19" t="n">
        <f aca="false">LEN(IF(F86&lt;&gt;"",F86,D86))</f>
        <v>85</v>
      </c>
      <c r="I86" s="24" t="str">
        <f aca="false">IF(OR(H86&lt;40,H86&gt;150),"분량 확인","")</f>
        <v/>
      </c>
    </row>
    <row r="87" customFormat="false" ht="48" hidden="false" customHeight="true" outlineLevel="0" collapsed="false">
      <c r="A87" s="13" t="s">
        <v>1293</v>
      </c>
      <c r="B87" s="14" t="s">
        <v>745</v>
      </c>
      <c r="C87" s="15" t="s">
        <v>1122</v>
      </c>
      <c r="D87" s="15" t="s">
        <v>1294</v>
      </c>
      <c r="E87" s="23" t="s">
        <v>19</v>
      </c>
      <c r="F87" s="16"/>
      <c r="G87" s="16"/>
      <c r="H87" s="19" t="n">
        <f aca="false">LEN(IF(F87&lt;&gt;"",F87,D87))</f>
        <v>83</v>
      </c>
      <c r="I87" s="24" t="str">
        <f aca="false">IF(OR(H87&lt;40,H87&gt;150),"분량 확인","")</f>
        <v/>
      </c>
    </row>
    <row r="88" customFormat="false" ht="48" hidden="false" customHeight="true" outlineLevel="0" collapsed="false">
      <c r="A88" s="13" t="s">
        <v>1295</v>
      </c>
      <c r="B88" s="14" t="s">
        <v>745</v>
      </c>
      <c r="C88" s="15" t="s">
        <v>1124</v>
      </c>
      <c r="D88" s="15" t="s">
        <v>1296</v>
      </c>
      <c r="E88" s="23" t="s">
        <v>19</v>
      </c>
      <c r="F88" s="16"/>
      <c r="G88" s="16"/>
      <c r="H88" s="19" t="n">
        <f aca="false">LEN(IF(F88&lt;&gt;"",F88,D88))</f>
        <v>78</v>
      </c>
      <c r="I88" s="24" t="str">
        <f aca="false">IF(OR(H88&lt;40,H88&gt;150),"분량 확인","")</f>
        <v/>
      </c>
    </row>
    <row r="89" customFormat="false" ht="48" hidden="false" customHeight="true" outlineLevel="0" collapsed="false">
      <c r="A89" s="13" t="s">
        <v>1297</v>
      </c>
      <c r="B89" s="14" t="s">
        <v>745</v>
      </c>
      <c r="C89" s="15" t="s">
        <v>1128</v>
      </c>
      <c r="D89" s="15" t="s">
        <v>1298</v>
      </c>
      <c r="E89" s="23" t="s">
        <v>19</v>
      </c>
      <c r="F89" s="16"/>
      <c r="G89" s="16"/>
      <c r="H89" s="19" t="n">
        <f aca="false">LEN(IF(F89&lt;&gt;"",F89,D89))</f>
        <v>79</v>
      </c>
      <c r="I89" s="24" t="str">
        <f aca="false">IF(OR(H89&lt;40,H89&gt;150),"분량 확인","")</f>
        <v/>
      </c>
    </row>
    <row r="90" customFormat="false" ht="48" hidden="false" customHeight="true" outlineLevel="0" collapsed="false">
      <c r="A90" s="13" t="s">
        <v>319</v>
      </c>
      <c r="B90" s="14" t="s">
        <v>745</v>
      </c>
      <c r="C90" s="15" t="s">
        <v>1131</v>
      </c>
      <c r="D90" s="15" t="s">
        <v>1299</v>
      </c>
      <c r="E90" s="23" t="s">
        <v>19</v>
      </c>
      <c r="F90" s="16"/>
      <c r="G90" s="17" t="s">
        <v>1300</v>
      </c>
      <c r="H90" s="19" t="n">
        <f aca="false">LEN(IF(F90&lt;&gt;"",F90,D90))</f>
        <v>71</v>
      </c>
      <c r="I90" s="24" t="str">
        <f aca="false">IF(OR(H90&lt;40,H90&gt;150),"분량 확인","")</f>
        <v/>
      </c>
    </row>
    <row r="91" customFormat="false" ht="48" hidden="false" customHeight="true" outlineLevel="0" collapsed="false">
      <c r="A91" s="13" t="s">
        <v>1301</v>
      </c>
      <c r="B91" s="14" t="s">
        <v>745</v>
      </c>
      <c r="C91" s="15" t="s">
        <v>1134</v>
      </c>
      <c r="D91" s="15" t="s">
        <v>1302</v>
      </c>
      <c r="E91" s="23" t="s">
        <v>19</v>
      </c>
      <c r="F91" s="16"/>
      <c r="G91" s="16"/>
      <c r="H91" s="19" t="n">
        <f aca="false">LEN(IF(F91&lt;&gt;"",F91,D91))</f>
        <v>81</v>
      </c>
      <c r="I91" s="24" t="str">
        <f aca="false">IF(OR(H91&lt;40,H91&gt;150),"분량 확인","")</f>
        <v/>
      </c>
    </row>
    <row r="92" customFormat="false" ht="61.5" hidden="false" customHeight="true" outlineLevel="0" collapsed="false">
      <c r="A92" s="13" t="s">
        <v>1303</v>
      </c>
      <c r="B92" s="14" t="s">
        <v>758</v>
      </c>
      <c r="C92" s="15" t="s">
        <v>1118</v>
      </c>
      <c r="D92" s="15" t="s">
        <v>1304</v>
      </c>
      <c r="E92" s="23" t="s">
        <v>19</v>
      </c>
      <c r="F92" s="16"/>
      <c r="G92" s="16"/>
      <c r="H92" s="19" t="n">
        <f aca="false">LEN(IF(F92&lt;&gt;"",F92,D92))</f>
        <v>92</v>
      </c>
      <c r="I92" s="24" t="str">
        <f aca="false">IF(OR(H92&lt;40,H92&gt;150),"분량 확인","")</f>
        <v/>
      </c>
    </row>
    <row r="93" customFormat="false" ht="48" hidden="false" customHeight="true" outlineLevel="0" collapsed="false">
      <c r="A93" s="13" t="s">
        <v>1305</v>
      </c>
      <c r="B93" s="14" t="s">
        <v>758</v>
      </c>
      <c r="C93" s="15" t="s">
        <v>1122</v>
      </c>
      <c r="D93" s="15" t="s">
        <v>1306</v>
      </c>
      <c r="E93" s="23" t="s">
        <v>19</v>
      </c>
      <c r="F93" s="16"/>
      <c r="G93" s="16"/>
      <c r="H93" s="19" t="n">
        <f aca="false">LEN(IF(F93&lt;&gt;"",F93,D93))</f>
        <v>78</v>
      </c>
      <c r="I93" s="24" t="str">
        <f aca="false">IF(OR(H93&lt;40,H93&gt;150),"분량 확인","")</f>
        <v/>
      </c>
    </row>
    <row r="94" customFormat="false" ht="48" hidden="false" customHeight="true" outlineLevel="0" collapsed="false">
      <c r="A94" s="13" t="s">
        <v>1307</v>
      </c>
      <c r="B94" s="14" t="s">
        <v>758</v>
      </c>
      <c r="C94" s="15" t="s">
        <v>1124</v>
      </c>
      <c r="D94" s="15" t="s">
        <v>1308</v>
      </c>
      <c r="E94" s="23" t="s">
        <v>19</v>
      </c>
      <c r="F94" s="16"/>
      <c r="G94" s="16"/>
      <c r="H94" s="19" t="n">
        <f aca="false">LEN(IF(F94&lt;&gt;"",F94,D94))</f>
        <v>82</v>
      </c>
      <c r="I94" s="24" t="str">
        <f aca="false">IF(OR(H94&lt;40,H94&gt;150),"분량 확인","")</f>
        <v/>
      </c>
    </row>
    <row r="95" customFormat="false" ht="48" hidden="false" customHeight="true" outlineLevel="0" collapsed="false">
      <c r="A95" s="13" t="s">
        <v>1309</v>
      </c>
      <c r="B95" s="14" t="s">
        <v>758</v>
      </c>
      <c r="C95" s="15" t="s">
        <v>1128</v>
      </c>
      <c r="D95" s="15" t="s">
        <v>1310</v>
      </c>
      <c r="E95" s="23" t="s">
        <v>19</v>
      </c>
      <c r="F95" s="16"/>
      <c r="G95" s="16"/>
      <c r="H95" s="19" t="n">
        <f aca="false">LEN(IF(F95&lt;&gt;"",F95,D95))</f>
        <v>76</v>
      </c>
      <c r="I95" s="24" t="str">
        <f aca="false">IF(OR(H95&lt;40,H95&gt;150),"분량 확인","")</f>
        <v/>
      </c>
    </row>
    <row r="96" customFormat="false" ht="48" hidden="false" customHeight="true" outlineLevel="0" collapsed="false">
      <c r="A96" s="13" t="s">
        <v>1311</v>
      </c>
      <c r="B96" s="14" t="s">
        <v>758</v>
      </c>
      <c r="C96" s="15" t="s">
        <v>1131</v>
      </c>
      <c r="D96" s="15" t="s">
        <v>1312</v>
      </c>
      <c r="E96" s="23" t="s">
        <v>19</v>
      </c>
      <c r="F96" s="16"/>
      <c r="G96" s="16"/>
      <c r="H96" s="19" t="n">
        <f aca="false">LEN(IF(F96&lt;&gt;"",F96,D96))</f>
        <v>81</v>
      </c>
      <c r="I96" s="24" t="str">
        <f aca="false">IF(OR(H96&lt;40,H96&gt;150),"분량 확인","")</f>
        <v/>
      </c>
    </row>
    <row r="97" customFormat="false" ht="48" hidden="false" customHeight="true" outlineLevel="0" collapsed="false">
      <c r="A97" s="13" t="s">
        <v>1313</v>
      </c>
      <c r="B97" s="14" t="s">
        <v>758</v>
      </c>
      <c r="C97" s="15" t="s">
        <v>1134</v>
      </c>
      <c r="D97" s="15" t="s">
        <v>1314</v>
      </c>
      <c r="E97" s="23" t="s">
        <v>19</v>
      </c>
      <c r="F97" s="16"/>
      <c r="G97" s="16"/>
      <c r="H97" s="19" t="n">
        <f aca="false">LEN(IF(F97&lt;&gt;"",F97,D97))</f>
        <v>74</v>
      </c>
      <c r="I97" s="24" t="str">
        <f aca="false">IF(OR(H97&lt;40,H97&gt;150),"분량 확인","")</f>
        <v/>
      </c>
    </row>
    <row r="98" customFormat="false" ht="48" hidden="false" customHeight="true" outlineLevel="0" collapsed="false">
      <c r="A98" s="13" t="s">
        <v>1315</v>
      </c>
      <c r="B98" s="14" t="s">
        <v>771</v>
      </c>
      <c r="C98" s="15" t="s">
        <v>1118</v>
      </c>
      <c r="D98" s="15" t="s">
        <v>1316</v>
      </c>
      <c r="E98" s="23" t="s">
        <v>19</v>
      </c>
      <c r="F98" s="16"/>
      <c r="G98" s="16"/>
      <c r="H98" s="19" t="n">
        <f aca="false">LEN(IF(F98&lt;&gt;"",F98,D98))</f>
        <v>76</v>
      </c>
      <c r="I98" s="24" t="str">
        <f aca="false">IF(OR(H98&lt;40,H98&gt;150),"분량 확인","")</f>
        <v/>
      </c>
    </row>
    <row r="99" customFormat="false" ht="48" hidden="false" customHeight="true" outlineLevel="0" collapsed="false">
      <c r="A99" s="13" t="s">
        <v>1317</v>
      </c>
      <c r="B99" s="14" t="s">
        <v>771</v>
      </c>
      <c r="C99" s="15" t="s">
        <v>1122</v>
      </c>
      <c r="D99" s="15" t="s">
        <v>1318</v>
      </c>
      <c r="E99" s="23" t="s">
        <v>19</v>
      </c>
      <c r="F99" s="16"/>
      <c r="G99" s="16"/>
      <c r="H99" s="19" t="n">
        <f aca="false">LEN(IF(F99&lt;&gt;"",F99,D99))</f>
        <v>78</v>
      </c>
      <c r="I99" s="24" t="str">
        <f aca="false">IF(OR(H99&lt;40,H99&gt;150),"분량 확인","")</f>
        <v/>
      </c>
    </row>
    <row r="100" customFormat="false" ht="48" hidden="false" customHeight="true" outlineLevel="0" collapsed="false">
      <c r="A100" s="13" t="s">
        <v>349</v>
      </c>
      <c r="B100" s="14" t="s">
        <v>771</v>
      </c>
      <c r="C100" s="15" t="s">
        <v>1124</v>
      </c>
      <c r="D100" s="15" t="s">
        <v>1319</v>
      </c>
      <c r="E100" s="23" t="s">
        <v>19</v>
      </c>
      <c r="F100" s="16"/>
      <c r="G100" s="17" t="s">
        <v>1320</v>
      </c>
      <c r="H100" s="19" t="n">
        <f aca="false">LEN(IF(F100&lt;&gt;"",F100,D100))</f>
        <v>79</v>
      </c>
      <c r="I100" s="24" t="str">
        <f aca="false">IF(OR(H100&lt;40,H100&gt;150),"분량 확인","")</f>
        <v/>
      </c>
    </row>
    <row r="101" customFormat="false" ht="48" hidden="false" customHeight="true" outlineLevel="0" collapsed="false">
      <c r="A101" s="13" t="s">
        <v>1321</v>
      </c>
      <c r="B101" s="14" t="s">
        <v>771</v>
      </c>
      <c r="C101" s="15" t="s">
        <v>1128</v>
      </c>
      <c r="D101" s="15" t="s">
        <v>1322</v>
      </c>
      <c r="E101" s="23" t="s">
        <v>19</v>
      </c>
      <c r="F101" s="16"/>
      <c r="G101" s="16"/>
      <c r="H101" s="19" t="n">
        <f aca="false">LEN(IF(F101&lt;&gt;"",F101,D101))</f>
        <v>77</v>
      </c>
      <c r="I101" s="24" t="str">
        <f aca="false">IF(OR(H101&lt;40,H101&gt;150),"분량 확인","")</f>
        <v/>
      </c>
    </row>
    <row r="102" customFormat="false" ht="48" hidden="false" customHeight="true" outlineLevel="0" collapsed="false">
      <c r="A102" s="13" t="s">
        <v>1323</v>
      </c>
      <c r="B102" s="14" t="s">
        <v>771</v>
      </c>
      <c r="C102" s="15" t="s">
        <v>1131</v>
      </c>
      <c r="D102" s="15" t="s">
        <v>1324</v>
      </c>
      <c r="E102" s="23" t="s">
        <v>19</v>
      </c>
      <c r="F102" s="16"/>
      <c r="G102" s="16"/>
      <c r="H102" s="19" t="n">
        <f aca="false">LEN(IF(F102&lt;&gt;"",F102,D102))</f>
        <v>82</v>
      </c>
      <c r="I102" s="24" t="str">
        <f aca="false">IF(OR(H102&lt;40,H102&gt;150),"분량 확인","")</f>
        <v/>
      </c>
    </row>
    <row r="103" customFormat="false" ht="48" hidden="false" customHeight="true" outlineLevel="0" collapsed="false">
      <c r="A103" s="13" t="s">
        <v>1325</v>
      </c>
      <c r="B103" s="14" t="s">
        <v>771</v>
      </c>
      <c r="C103" s="15" t="s">
        <v>1134</v>
      </c>
      <c r="D103" s="15" t="s">
        <v>1326</v>
      </c>
      <c r="E103" s="23" t="s">
        <v>19</v>
      </c>
      <c r="F103" s="16"/>
      <c r="G103" s="16"/>
      <c r="H103" s="19" t="n">
        <f aca="false">LEN(IF(F103&lt;&gt;"",F103,D103))</f>
        <v>77</v>
      </c>
      <c r="I103" s="24" t="str">
        <f aca="false">IF(OR(H103&lt;40,H103&gt;150),"분량 확인","")</f>
        <v/>
      </c>
    </row>
    <row r="104" customFormat="false" ht="48" hidden="false" customHeight="true" outlineLevel="0" collapsed="false">
      <c r="A104" s="13" t="s">
        <v>1327</v>
      </c>
      <c r="B104" s="14" t="s">
        <v>784</v>
      </c>
      <c r="C104" s="15" t="s">
        <v>1118</v>
      </c>
      <c r="D104" s="15" t="s">
        <v>1328</v>
      </c>
      <c r="E104" s="23" t="s">
        <v>19</v>
      </c>
      <c r="F104" s="16"/>
      <c r="G104" s="16"/>
      <c r="H104" s="19" t="n">
        <f aca="false">LEN(IF(F104&lt;&gt;"",F104,D104))</f>
        <v>70</v>
      </c>
      <c r="I104" s="24" t="str">
        <f aca="false">IF(OR(H104&lt;40,H104&gt;150),"분량 확인","")</f>
        <v/>
      </c>
    </row>
    <row r="105" customFormat="false" ht="48" hidden="false" customHeight="true" outlineLevel="0" collapsed="false">
      <c r="A105" s="13" t="s">
        <v>360</v>
      </c>
      <c r="B105" s="14" t="s">
        <v>784</v>
      </c>
      <c r="C105" s="15" t="s">
        <v>1122</v>
      </c>
      <c r="D105" s="15" t="s">
        <v>1329</v>
      </c>
      <c r="E105" s="23" t="s">
        <v>19</v>
      </c>
      <c r="F105" s="16"/>
      <c r="G105" s="17" t="s">
        <v>1330</v>
      </c>
      <c r="H105" s="19" t="n">
        <f aca="false">LEN(IF(F105&lt;&gt;"",F105,D105))</f>
        <v>86</v>
      </c>
      <c r="I105" s="24" t="str">
        <f aca="false">IF(OR(H105&lt;40,H105&gt;150),"분량 확인","")</f>
        <v/>
      </c>
    </row>
    <row r="106" customFormat="false" ht="48" hidden="false" customHeight="true" outlineLevel="0" collapsed="false">
      <c r="A106" s="13" t="s">
        <v>364</v>
      </c>
      <c r="B106" s="14" t="s">
        <v>784</v>
      </c>
      <c r="C106" s="15" t="s">
        <v>1124</v>
      </c>
      <c r="D106" s="15" t="s">
        <v>1331</v>
      </c>
      <c r="E106" s="23" t="s">
        <v>19</v>
      </c>
      <c r="F106" s="16"/>
      <c r="G106" s="17" t="s">
        <v>1332</v>
      </c>
      <c r="H106" s="19" t="n">
        <f aca="false">LEN(IF(F106&lt;&gt;"",F106,D106))</f>
        <v>79</v>
      </c>
      <c r="I106" s="24" t="str">
        <f aca="false">IF(OR(H106&lt;40,H106&gt;150),"분량 확인","")</f>
        <v/>
      </c>
    </row>
    <row r="107" customFormat="false" ht="48" hidden="false" customHeight="true" outlineLevel="0" collapsed="false">
      <c r="A107" s="13" t="s">
        <v>1333</v>
      </c>
      <c r="B107" s="14" t="s">
        <v>784</v>
      </c>
      <c r="C107" s="15" t="s">
        <v>1128</v>
      </c>
      <c r="D107" s="15" t="s">
        <v>1334</v>
      </c>
      <c r="E107" s="23" t="s">
        <v>19</v>
      </c>
      <c r="F107" s="16"/>
      <c r="G107" s="16"/>
      <c r="H107" s="19" t="n">
        <f aca="false">LEN(IF(F107&lt;&gt;"",F107,D107))</f>
        <v>70</v>
      </c>
      <c r="I107" s="24" t="str">
        <f aca="false">IF(OR(H107&lt;40,H107&gt;150),"분량 확인","")</f>
        <v/>
      </c>
    </row>
    <row r="108" customFormat="false" ht="48" hidden="false" customHeight="true" outlineLevel="0" collapsed="false">
      <c r="A108" s="13" t="s">
        <v>1335</v>
      </c>
      <c r="B108" s="14" t="s">
        <v>784</v>
      </c>
      <c r="C108" s="15" t="s">
        <v>1131</v>
      </c>
      <c r="D108" s="15" t="s">
        <v>1336</v>
      </c>
      <c r="E108" s="23" t="s">
        <v>19</v>
      </c>
      <c r="F108" s="16"/>
      <c r="G108" s="16"/>
      <c r="H108" s="19" t="n">
        <f aca="false">LEN(IF(F108&lt;&gt;"",F108,D108))</f>
        <v>69</v>
      </c>
      <c r="I108" s="24" t="str">
        <f aca="false">IF(OR(H108&lt;40,H108&gt;150),"분량 확인","")</f>
        <v/>
      </c>
    </row>
    <row r="109" customFormat="false" ht="48" hidden="false" customHeight="true" outlineLevel="0" collapsed="false">
      <c r="A109" s="13" t="s">
        <v>1337</v>
      </c>
      <c r="B109" s="14" t="s">
        <v>784</v>
      </c>
      <c r="C109" s="15" t="s">
        <v>1134</v>
      </c>
      <c r="D109" s="15" t="s">
        <v>1338</v>
      </c>
      <c r="E109" s="23" t="s">
        <v>19</v>
      </c>
      <c r="F109" s="16"/>
      <c r="G109" s="16"/>
      <c r="H109" s="19" t="n">
        <f aca="false">LEN(IF(F109&lt;&gt;"",F109,D109))</f>
        <v>62</v>
      </c>
      <c r="I109" s="24" t="str">
        <f aca="false">IF(OR(H109&lt;40,H109&gt;150),"분량 확인","")</f>
        <v/>
      </c>
    </row>
    <row r="110" customFormat="false" ht="48" hidden="false" customHeight="true" outlineLevel="0" collapsed="false">
      <c r="A110" s="13" t="s">
        <v>1339</v>
      </c>
      <c r="B110" s="14" t="s">
        <v>797</v>
      </c>
      <c r="C110" s="15" t="s">
        <v>1118</v>
      </c>
      <c r="D110" s="15" t="s">
        <v>1340</v>
      </c>
      <c r="E110" s="23" t="s">
        <v>19</v>
      </c>
      <c r="F110" s="16"/>
      <c r="G110" s="16"/>
      <c r="H110" s="19" t="n">
        <f aca="false">LEN(IF(F110&lt;&gt;"",F110,D110))</f>
        <v>85</v>
      </c>
      <c r="I110" s="24" t="str">
        <f aca="false">IF(OR(H110&lt;40,H110&gt;150),"분량 확인","")</f>
        <v/>
      </c>
    </row>
    <row r="111" customFormat="false" ht="48" hidden="false" customHeight="true" outlineLevel="0" collapsed="false">
      <c r="A111" s="13" t="s">
        <v>1341</v>
      </c>
      <c r="B111" s="14" t="s">
        <v>797</v>
      </c>
      <c r="C111" s="15" t="s">
        <v>1122</v>
      </c>
      <c r="D111" s="15" t="s">
        <v>1342</v>
      </c>
      <c r="E111" s="23" t="s">
        <v>19</v>
      </c>
      <c r="F111" s="16"/>
      <c r="G111" s="16"/>
      <c r="H111" s="19" t="n">
        <f aca="false">LEN(IF(F111&lt;&gt;"",F111,D111))</f>
        <v>70</v>
      </c>
      <c r="I111" s="24" t="str">
        <f aca="false">IF(OR(H111&lt;40,H111&gt;150),"분량 확인","")</f>
        <v/>
      </c>
    </row>
    <row r="112" customFormat="false" ht="48" hidden="false" customHeight="true" outlineLevel="0" collapsed="false">
      <c r="A112" s="13" t="s">
        <v>375</v>
      </c>
      <c r="B112" s="14" t="s">
        <v>797</v>
      </c>
      <c r="C112" s="15" t="s">
        <v>1124</v>
      </c>
      <c r="D112" s="15" t="s">
        <v>1343</v>
      </c>
      <c r="E112" s="23" t="s">
        <v>19</v>
      </c>
      <c r="F112" s="16"/>
      <c r="G112" s="17" t="s">
        <v>1344</v>
      </c>
      <c r="H112" s="19" t="n">
        <f aca="false">LEN(IF(F112&lt;&gt;"",F112,D112))</f>
        <v>82</v>
      </c>
      <c r="I112" s="24" t="str">
        <f aca="false">IF(OR(H112&lt;40,H112&gt;150),"분량 확인","")</f>
        <v/>
      </c>
    </row>
    <row r="113" customFormat="false" ht="48" hidden="false" customHeight="true" outlineLevel="0" collapsed="false">
      <c r="A113" s="13" t="s">
        <v>1345</v>
      </c>
      <c r="B113" s="14" t="s">
        <v>797</v>
      </c>
      <c r="C113" s="15" t="s">
        <v>1128</v>
      </c>
      <c r="D113" s="15" t="s">
        <v>1346</v>
      </c>
      <c r="E113" s="23" t="s">
        <v>19</v>
      </c>
      <c r="F113" s="16"/>
      <c r="G113" s="16"/>
      <c r="H113" s="19" t="n">
        <f aca="false">LEN(IF(F113&lt;&gt;"",F113,D113))</f>
        <v>80</v>
      </c>
      <c r="I113" s="24" t="str">
        <f aca="false">IF(OR(H113&lt;40,H113&gt;150),"분량 확인","")</f>
        <v/>
      </c>
    </row>
    <row r="114" customFormat="false" ht="48" hidden="false" customHeight="true" outlineLevel="0" collapsed="false">
      <c r="A114" s="13" t="s">
        <v>1347</v>
      </c>
      <c r="B114" s="14" t="s">
        <v>797</v>
      </c>
      <c r="C114" s="15" t="s">
        <v>1131</v>
      </c>
      <c r="D114" s="15" t="s">
        <v>1348</v>
      </c>
      <c r="E114" s="23" t="s">
        <v>19</v>
      </c>
      <c r="F114" s="16"/>
      <c r="G114" s="16"/>
      <c r="H114" s="19" t="n">
        <f aca="false">LEN(IF(F114&lt;&gt;"",F114,D114))</f>
        <v>79</v>
      </c>
      <c r="I114" s="24" t="str">
        <f aca="false">IF(OR(H114&lt;40,H114&gt;150),"분량 확인","")</f>
        <v/>
      </c>
    </row>
    <row r="115" customFormat="false" ht="48" hidden="false" customHeight="true" outlineLevel="0" collapsed="false">
      <c r="A115" s="13" t="s">
        <v>1349</v>
      </c>
      <c r="B115" s="14" t="s">
        <v>797</v>
      </c>
      <c r="C115" s="15" t="s">
        <v>1134</v>
      </c>
      <c r="D115" s="15" t="s">
        <v>1350</v>
      </c>
      <c r="E115" s="23" t="s">
        <v>19</v>
      </c>
      <c r="F115" s="16"/>
      <c r="G115" s="16"/>
      <c r="H115" s="19" t="n">
        <f aca="false">LEN(IF(F115&lt;&gt;"",F115,D115))</f>
        <v>64</v>
      </c>
      <c r="I115" s="24" t="str">
        <f aca="false">IF(OR(H115&lt;40,H115&gt;150),"분량 확인","")</f>
        <v/>
      </c>
    </row>
    <row r="116" customFormat="false" ht="48" hidden="false" customHeight="true" outlineLevel="0" collapsed="false">
      <c r="A116" s="13" t="s">
        <v>386</v>
      </c>
      <c r="B116" s="14" t="s">
        <v>810</v>
      </c>
      <c r="C116" s="15" t="s">
        <v>1118</v>
      </c>
      <c r="D116" s="15" t="s">
        <v>1351</v>
      </c>
      <c r="E116" s="23" t="s">
        <v>19</v>
      </c>
      <c r="F116" s="16"/>
      <c r="G116" s="17" t="s">
        <v>1352</v>
      </c>
      <c r="H116" s="19" t="n">
        <f aca="false">LEN(IF(F116&lt;&gt;"",F116,D116))</f>
        <v>68</v>
      </c>
      <c r="I116" s="24" t="str">
        <f aca="false">IF(OR(H116&lt;40,H116&gt;150),"분량 확인","")</f>
        <v/>
      </c>
    </row>
    <row r="117" customFormat="false" ht="48" hidden="false" customHeight="true" outlineLevel="0" collapsed="false">
      <c r="A117" s="13" t="s">
        <v>1353</v>
      </c>
      <c r="B117" s="14" t="s">
        <v>810</v>
      </c>
      <c r="C117" s="15" t="s">
        <v>1122</v>
      </c>
      <c r="D117" s="15" t="s">
        <v>1354</v>
      </c>
      <c r="E117" s="23" t="s">
        <v>19</v>
      </c>
      <c r="F117" s="16"/>
      <c r="G117" s="16"/>
      <c r="H117" s="19" t="n">
        <f aca="false">LEN(IF(F117&lt;&gt;"",F117,D117))</f>
        <v>83</v>
      </c>
      <c r="I117" s="24" t="str">
        <f aca="false">IF(OR(H117&lt;40,H117&gt;150),"분량 확인","")</f>
        <v/>
      </c>
    </row>
    <row r="118" customFormat="false" ht="48" hidden="false" customHeight="true" outlineLevel="0" collapsed="false">
      <c r="A118" s="13" t="s">
        <v>390</v>
      </c>
      <c r="B118" s="14" t="s">
        <v>810</v>
      </c>
      <c r="C118" s="15" t="s">
        <v>1124</v>
      </c>
      <c r="D118" s="15" t="s">
        <v>1355</v>
      </c>
      <c r="E118" s="23" t="s">
        <v>19</v>
      </c>
      <c r="F118" s="16"/>
      <c r="G118" s="17" t="s">
        <v>1356</v>
      </c>
      <c r="H118" s="19" t="n">
        <f aca="false">LEN(IF(F118&lt;&gt;"",F118,D118))</f>
        <v>80</v>
      </c>
      <c r="I118" s="24" t="str">
        <f aca="false">IF(OR(H118&lt;40,H118&gt;150),"분량 확인","")</f>
        <v/>
      </c>
    </row>
    <row r="119" customFormat="false" ht="48" hidden="false" customHeight="true" outlineLevel="0" collapsed="false">
      <c r="A119" s="13" t="s">
        <v>1357</v>
      </c>
      <c r="B119" s="14" t="s">
        <v>810</v>
      </c>
      <c r="C119" s="15" t="s">
        <v>1128</v>
      </c>
      <c r="D119" s="15" t="s">
        <v>1358</v>
      </c>
      <c r="E119" s="23" t="s">
        <v>19</v>
      </c>
      <c r="F119" s="16"/>
      <c r="G119" s="16"/>
      <c r="H119" s="19" t="n">
        <f aca="false">LEN(IF(F119&lt;&gt;"",F119,D119))</f>
        <v>76</v>
      </c>
      <c r="I119" s="24" t="str">
        <f aca="false">IF(OR(H119&lt;40,H119&gt;150),"분량 확인","")</f>
        <v/>
      </c>
    </row>
    <row r="120" customFormat="false" ht="48" hidden="false" customHeight="true" outlineLevel="0" collapsed="false">
      <c r="A120" s="13" t="s">
        <v>1359</v>
      </c>
      <c r="B120" s="14" t="s">
        <v>810</v>
      </c>
      <c r="C120" s="15" t="s">
        <v>1131</v>
      </c>
      <c r="D120" s="15" t="s">
        <v>1360</v>
      </c>
      <c r="E120" s="23" t="s">
        <v>19</v>
      </c>
      <c r="F120" s="16"/>
      <c r="G120" s="16"/>
      <c r="H120" s="19" t="n">
        <f aca="false">LEN(IF(F120&lt;&gt;"",F120,D120))</f>
        <v>77</v>
      </c>
      <c r="I120" s="24" t="str">
        <f aca="false">IF(OR(H120&lt;40,H120&gt;150),"분량 확인","")</f>
        <v/>
      </c>
    </row>
    <row r="121" customFormat="false" ht="48" hidden="false" customHeight="true" outlineLevel="0" collapsed="false">
      <c r="A121" s="13" t="s">
        <v>1361</v>
      </c>
      <c r="B121" s="14" t="s">
        <v>810</v>
      </c>
      <c r="C121" s="15" t="s">
        <v>1134</v>
      </c>
      <c r="D121" s="15" t="s">
        <v>1362</v>
      </c>
      <c r="E121" s="23" t="s">
        <v>19</v>
      </c>
      <c r="F121" s="16"/>
      <c r="G121" s="16"/>
      <c r="H121" s="19" t="n">
        <f aca="false">LEN(IF(F121&lt;&gt;"",F121,D121))</f>
        <v>78</v>
      </c>
      <c r="I121" s="24" t="str">
        <f aca="false">IF(OR(H121&lt;40,H121&gt;150),"분량 확인","")</f>
        <v/>
      </c>
    </row>
    <row r="122" customFormat="false" ht="48" hidden="false" customHeight="true" outlineLevel="0" collapsed="false">
      <c r="A122" s="13" t="s">
        <v>1363</v>
      </c>
      <c r="B122" s="14" t="s">
        <v>823</v>
      </c>
      <c r="C122" s="15" t="s">
        <v>1118</v>
      </c>
      <c r="D122" s="15" t="s">
        <v>1364</v>
      </c>
      <c r="E122" s="23" t="s">
        <v>19</v>
      </c>
      <c r="F122" s="16"/>
      <c r="G122" s="16"/>
      <c r="H122" s="19" t="n">
        <f aca="false">LEN(IF(F122&lt;&gt;"",F122,D122))</f>
        <v>81</v>
      </c>
      <c r="I122" s="24" t="str">
        <f aca="false">IF(OR(H122&lt;40,H122&gt;150),"분량 확인","")</f>
        <v/>
      </c>
    </row>
    <row r="123" customFormat="false" ht="48" hidden="false" customHeight="true" outlineLevel="0" collapsed="false">
      <c r="A123" s="13" t="s">
        <v>1365</v>
      </c>
      <c r="B123" s="14" t="s">
        <v>823</v>
      </c>
      <c r="C123" s="15" t="s">
        <v>1122</v>
      </c>
      <c r="D123" s="15" t="s">
        <v>1366</v>
      </c>
      <c r="E123" s="23" t="s">
        <v>19</v>
      </c>
      <c r="F123" s="16"/>
      <c r="G123" s="16"/>
      <c r="H123" s="19" t="n">
        <f aca="false">LEN(IF(F123&lt;&gt;"",F123,D123))</f>
        <v>85</v>
      </c>
      <c r="I123" s="24" t="str">
        <f aca="false">IF(OR(H123&lt;40,H123&gt;150),"분량 확인","")</f>
        <v/>
      </c>
    </row>
    <row r="124" customFormat="false" ht="48" hidden="false" customHeight="true" outlineLevel="0" collapsed="false">
      <c r="A124" s="13" t="s">
        <v>1367</v>
      </c>
      <c r="B124" s="14" t="s">
        <v>823</v>
      </c>
      <c r="C124" s="15" t="s">
        <v>1124</v>
      </c>
      <c r="D124" s="15" t="s">
        <v>1368</v>
      </c>
      <c r="E124" s="23" t="s">
        <v>19</v>
      </c>
      <c r="F124" s="16"/>
      <c r="G124" s="16"/>
      <c r="H124" s="19" t="n">
        <f aca="false">LEN(IF(F124&lt;&gt;"",F124,D124))</f>
        <v>75</v>
      </c>
      <c r="I124" s="24" t="str">
        <f aca="false">IF(OR(H124&lt;40,H124&gt;150),"분량 확인","")</f>
        <v/>
      </c>
    </row>
    <row r="125" customFormat="false" ht="48" hidden="false" customHeight="true" outlineLevel="0" collapsed="false">
      <c r="A125" s="13" t="s">
        <v>1369</v>
      </c>
      <c r="B125" s="14" t="s">
        <v>823</v>
      </c>
      <c r="C125" s="15" t="s">
        <v>1128</v>
      </c>
      <c r="D125" s="15" t="s">
        <v>1370</v>
      </c>
      <c r="E125" s="23" t="s">
        <v>19</v>
      </c>
      <c r="F125" s="16"/>
      <c r="G125" s="16"/>
      <c r="H125" s="19" t="n">
        <f aca="false">LEN(IF(F125&lt;&gt;"",F125,D125))</f>
        <v>81</v>
      </c>
      <c r="I125" s="24" t="str">
        <f aca="false">IF(OR(H125&lt;40,H125&gt;150),"분량 확인","")</f>
        <v/>
      </c>
    </row>
    <row r="126" customFormat="false" ht="48" hidden="false" customHeight="true" outlineLevel="0" collapsed="false">
      <c r="A126" s="13" t="s">
        <v>424</v>
      </c>
      <c r="B126" s="14" t="s">
        <v>823</v>
      </c>
      <c r="C126" s="15" t="s">
        <v>1131</v>
      </c>
      <c r="D126" s="15" t="s">
        <v>1371</v>
      </c>
      <c r="E126" s="23" t="s">
        <v>19</v>
      </c>
      <c r="F126" s="16"/>
      <c r="G126" s="17" t="s">
        <v>1372</v>
      </c>
      <c r="H126" s="19" t="n">
        <f aca="false">LEN(IF(F126&lt;&gt;"",F126,D126))</f>
        <v>81</v>
      </c>
      <c r="I126" s="24" t="str">
        <f aca="false">IF(OR(H126&lt;40,H126&gt;150),"분량 확인","")</f>
        <v/>
      </c>
    </row>
    <row r="127" customFormat="false" ht="48" hidden="false" customHeight="true" outlineLevel="0" collapsed="false">
      <c r="A127" s="13" t="s">
        <v>1373</v>
      </c>
      <c r="B127" s="14" t="s">
        <v>823</v>
      </c>
      <c r="C127" s="15" t="s">
        <v>1134</v>
      </c>
      <c r="D127" s="15" t="s">
        <v>1374</v>
      </c>
      <c r="E127" s="23" t="s">
        <v>19</v>
      </c>
      <c r="F127" s="16"/>
      <c r="G127" s="16"/>
      <c r="H127" s="19" t="n">
        <f aca="false">LEN(IF(F127&lt;&gt;"",F127,D127))</f>
        <v>75</v>
      </c>
      <c r="I127" s="24" t="str">
        <f aca="false">IF(OR(H127&lt;40,H127&gt;150),"분량 확인","")</f>
        <v/>
      </c>
    </row>
    <row r="128" customFormat="false" ht="48" hidden="false" customHeight="true" outlineLevel="0" collapsed="false">
      <c r="A128" s="13" t="s">
        <v>1375</v>
      </c>
      <c r="B128" s="14" t="s">
        <v>836</v>
      </c>
      <c r="C128" s="15" t="s">
        <v>1118</v>
      </c>
      <c r="D128" s="15" t="s">
        <v>1376</v>
      </c>
      <c r="E128" s="23" t="s">
        <v>19</v>
      </c>
      <c r="F128" s="16"/>
      <c r="G128" s="16"/>
      <c r="H128" s="19" t="n">
        <f aca="false">LEN(IF(F128&lt;&gt;"",F128,D128))</f>
        <v>76</v>
      </c>
      <c r="I128" s="24" t="str">
        <f aca="false">IF(OR(H128&lt;40,H128&gt;150),"분량 확인","")</f>
        <v/>
      </c>
    </row>
    <row r="129" customFormat="false" ht="48" hidden="false" customHeight="true" outlineLevel="0" collapsed="false">
      <c r="A129" s="13" t="s">
        <v>1377</v>
      </c>
      <c r="B129" s="14" t="s">
        <v>836</v>
      </c>
      <c r="C129" s="15" t="s">
        <v>1122</v>
      </c>
      <c r="D129" s="15" t="s">
        <v>1378</v>
      </c>
      <c r="E129" s="23" t="s">
        <v>19</v>
      </c>
      <c r="F129" s="16"/>
      <c r="G129" s="16"/>
      <c r="H129" s="19" t="n">
        <f aca="false">LEN(IF(F129&lt;&gt;"",F129,D129))</f>
        <v>87</v>
      </c>
      <c r="I129" s="24" t="str">
        <f aca="false">IF(OR(H129&lt;40,H129&gt;150),"분량 확인","")</f>
        <v/>
      </c>
    </row>
    <row r="130" customFormat="false" ht="48" hidden="false" customHeight="true" outlineLevel="0" collapsed="false">
      <c r="A130" s="13" t="s">
        <v>1379</v>
      </c>
      <c r="B130" s="14" t="s">
        <v>836</v>
      </c>
      <c r="C130" s="15" t="s">
        <v>1124</v>
      </c>
      <c r="D130" s="15" t="s">
        <v>1380</v>
      </c>
      <c r="E130" s="23" t="s">
        <v>19</v>
      </c>
      <c r="F130" s="16"/>
      <c r="G130" s="16"/>
      <c r="H130" s="19" t="n">
        <f aca="false">LEN(IF(F130&lt;&gt;"",F130,D130))</f>
        <v>78</v>
      </c>
      <c r="I130" s="24" t="str">
        <f aca="false">IF(OR(H130&lt;40,H130&gt;150),"분량 확인","")</f>
        <v/>
      </c>
    </row>
    <row r="131" customFormat="false" ht="48" hidden="false" customHeight="true" outlineLevel="0" collapsed="false">
      <c r="A131" s="13" t="s">
        <v>1381</v>
      </c>
      <c r="B131" s="14" t="s">
        <v>836</v>
      </c>
      <c r="C131" s="15" t="s">
        <v>1128</v>
      </c>
      <c r="D131" s="15" t="s">
        <v>1382</v>
      </c>
      <c r="E131" s="23" t="s">
        <v>19</v>
      </c>
      <c r="F131" s="16"/>
      <c r="G131" s="16"/>
      <c r="H131" s="19" t="n">
        <f aca="false">LEN(IF(F131&lt;&gt;"",F131,D131))</f>
        <v>83</v>
      </c>
      <c r="I131" s="24" t="str">
        <f aca="false">IF(OR(H131&lt;40,H131&gt;150),"분량 확인","")</f>
        <v/>
      </c>
    </row>
    <row r="132" customFormat="false" ht="48" hidden="false" customHeight="true" outlineLevel="0" collapsed="false">
      <c r="A132" s="13" t="s">
        <v>1383</v>
      </c>
      <c r="B132" s="14" t="s">
        <v>836</v>
      </c>
      <c r="C132" s="15" t="s">
        <v>1131</v>
      </c>
      <c r="D132" s="15" t="s">
        <v>1384</v>
      </c>
      <c r="E132" s="23" t="s">
        <v>19</v>
      </c>
      <c r="F132" s="16"/>
      <c r="G132" s="16"/>
      <c r="H132" s="19" t="n">
        <f aca="false">LEN(IF(F132&lt;&gt;"",F132,D132))</f>
        <v>77</v>
      </c>
      <c r="I132" s="24" t="str">
        <f aca="false">IF(OR(H132&lt;40,H132&gt;150),"분량 확인","")</f>
        <v/>
      </c>
    </row>
    <row r="133" customFormat="false" ht="48" hidden="false" customHeight="true" outlineLevel="0" collapsed="false">
      <c r="A133" s="13" t="s">
        <v>1385</v>
      </c>
      <c r="B133" s="14" t="s">
        <v>836</v>
      </c>
      <c r="C133" s="15" t="s">
        <v>1134</v>
      </c>
      <c r="D133" s="15" t="s">
        <v>1386</v>
      </c>
      <c r="E133" s="23" t="s">
        <v>19</v>
      </c>
      <c r="F133" s="16"/>
      <c r="G133" s="16"/>
      <c r="H133" s="19" t="n">
        <f aca="false">LEN(IF(F133&lt;&gt;"",F133,D133))</f>
        <v>60</v>
      </c>
      <c r="I133" s="24" t="str">
        <f aca="false">IF(OR(H133&lt;40,H133&gt;150),"분량 확인","")</f>
        <v/>
      </c>
    </row>
  </sheetData>
  <autoFilter ref="A1:I133"/>
  <conditionalFormatting sqref="E2:E133">
    <cfRule type="cellIs" priority="2" operator="equal" aboveAverage="0" equalAverage="0" bottom="0" percent="0" rank="0" text="" dxfId="5">
      <formula>"확정"</formula>
    </cfRule>
    <cfRule type="cellIs" priority="3" operator="equal" aboveAverage="0" equalAverage="0" bottom="0" percent="0" rank="0" text="" dxfId="6">
      <formula>"수정요청"</formula>
    </cfRule>
    <cfRule type="cellIs" priority="4" operator="equal" aboveAverage="0" equalAverage="0" bottom="0" percent="0" rank="0" text="" dxfId="7">
      <formula>"검수중"</formula>
    </cfRule>
    <cfRule type="cellIs" priority="5" operator="equal" aboveAverage="0" equalAverage="0" bottom="0" percent="0" rank="0" text="" dxfId="8">
      <formula>"삭제"</formula>
    </cfRule>
  </conditionalFormatting>
  <conditionalFormatting sqref="I2:I133">
    <cfRule type="expression" priority="6" aboveAverage="0" equalAverage="0" bottom="0" percent="0" rank="0" text="" dxfId="9">
      <formula>I2="분량 확인"</formula>
    </cfRule>
  </conditionalFormatting>
  <dataValidations count="1">
    <dataValidation allowBlank="false" error="초안 · 검수중 · 수정요청 · 확정 · 삭제 중에서 골라 주세요." errorStyle="stop" errorTitle="상태" operator="between" showDropDown="false" showErrorMessage="false" showInputMessage="false" sqref="E2:E133" type="list">
      <formula1>"초안,검수중,수정요청,확정,삭제"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12F53"/>
    <pageSetUpPr fitToPage="false"/>
  </sheetPr>
  <dimension ref="A1:I133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2"/>
    <col collapsed="false" customWidth="true" hidden="false" outlineLevel="0" max="3" min="3" style="0" width="26"/>
    <col collapsed="false" customWidth="true" hidden="false" outlineLevel="0" max="4" min="4" style="0" width="62"/>
    <col collapsed="false" customWidth="true" hidden="false" outlineLevel="0" max="5" min="5" style="0" width="10"/>
    <col collapsed="false" customWidth="true" hidden="false" outlineLevel="0" max="6" min="6" style="0" width="56"/>
    <col collapsed="false" customWidth="true" hidden="false" outlineLevel="0" max="7" min="7" style="0" width="30"/>
    <col collapsed="false" customWidth="true" hidden="false" outlineLevel="0" max="8" min="8" style="0" width="9"/>
    <col collapsed="false" customWidth="true" hidden="false" outlineLevel="0" max="9" min="9" style="0" width="10"/>
  </cols>
  <sheetData>
    <row r="1" customFormat="false" ht="30" hidden="false" customHeight="true" outlineLevel="0" collapsed="false">
      <c r="A1" s="11" t="s">
        <v>554</v>
      </c>
      <c r="B1" s="12" t="s">
        <v>25</v>
      </c>
      <c r="C1" s="12" t="s">
        <v>26</v>
      </c>
      <c r="D1" s="12" t="s">
        <v>27</v>
      </c>
      <c r="E1" s="12" t="s">
        <v>28</v>
      </c>
      <c r="F1" s="12" t="s">
        <v>29</v>
      </c>
      <c r="G1" s="12" t="s">
        <v>30</v>
      </c>
      <c r="H1" s="12" t="s">
        <v>555</v>
      </c>
      <c r="I1" s="12" t="s">
        <v>556</v>
      </c>
    </row>
    <row r="2" customFormat="false" ht="33.75" hidden="false" customHeight="true" outlineLevel="0" collapsed="false">
      <c r="A2" s="13" t="s">
        <v>1387</v>
      </c>
      <c r="B2" s="14" t="s">
        <v>558</v>
      </c>
      <c r="C2" s="15" t="s">
        <v>1388</v>
      </c>
      <c r="D2" s="15" t="s">
        <v>1389</v>
      </c>
      <c r="E2" s="23" t="s">
        <v>19</v>
      </c>
      <c r="F2" s="16"/>
      <c r="G2" s="16"/>
      <c r="H2" s="19" t="n">
        <f aca="false">LEN(IF(F2&lt;&gt;"",F2,D2))</f>
        <v>44</v>
      </c>
      <c r="I2" s="24" t="str">
        <f aca="false">IF(OR(H2&lt;15,H2&gt;95),"분량 확인","")</f>
        <v/>
      </c>
    </row>
    <row r="3" customFormat="false" ht="33.75" hidden="false" customHeight="true" outlineLevel="0" collapsed="false">
      <c r="A3" s="13" t="s">
        <v>1390</v>
      </c>
      <c r="B3" s="14" t="s">
        <v>558</v>
      </c>
      <c r="C3" s="15" t="s">
        <v>1391</v>
      </c>
      <c r="D3" s="15" t="s">
        <v>1392</v>
      </c>
      <c r="E3" s="23" t="s">
        <v>19</v>
      </c>
      <c r="F3" s="16"/>
      <c r="G3" s="16"/>
      <c r="H3" s="19" t="n">
        <f aca="false">LEN(IF(F3&lt;&gt;"",F3,D3))</f>
        <v>52</v>
      </c>
      <c r="I3" s="24" t="str">
        <f aca="false">IF(OR(H3&lt;15,H3&gt;95),"분량 확인","")</f>
        <v/>
      </c>
    </row>
    <row r="4" customFormat="false" ht="48" hidden="false" customHeight="true" outlineLevel="0" collapsed="false">
      <c r="A4" s="13" t="s">
        <v>1393</v>
      </c>
      <c r="B4" s="14" t="s">
        <v>558</v>
      </c>
      <c r="C4" s="15" t="s">
        <v>1394</v>
      </c>
      <c r="D4" s="15" t="s">
        <v>1395</v>
      </c>
      <c r="E4" s="23" t="s">
        <v>19</v>
      </c>
      <c r="F4" s="16"/>
      <c r="G4" s="16"/>
      <c r="H4" s="19" t="n">
        <f aca="false">LEN(IF(F4&lt;&gt;"",F4,D4))</f>
        <v>59</v>
      </c>
      <c r="I4" s="24" t="str">
        <f aca="false">IF(OR(H4&lt;15,H4&gt;95),"분량 확인","")</f>
        <v/>
      </c>
    </row>
    <row r="5" customFormat="false" ht="33.75" hidden="false" customHeight="true" outlineLevel="0" collapsed="false">
      <c r="A5" s="13" t="s">
        <v>1396</v>
      </c>
      <c r="B5" s="14" t="s">
        <v>558</v>
      </c>
      <c r="C5" s="15" t="s">
        <v>1397</v>
      </c>
      <c r="D5" s="15" t="s">
        <v>1398</v>
      </c>
      <c r="E5" s="23" t="s">
        <v>19</v>
      </c>
      <c r="F5" s="16"/>
      <c r="G5" s="16"/>
      <c r="H5" s="19" t="n">
        <f aca="false">LEN(IF(F5&lt;&gt;"",F5,D5))</f>
        <v>46</v>
      </c>
      <c r="I5" s="24" t="str">
        <f aca="false">IF(OR(H5&lt;15,H5&gt;95),"분량 확인","")</f>
        <v/>
      </c>
    </row>
    <row r="6" customFormat="false" ht="33.75" hidden="false" customHeight="true" outlineLevel="0" collapsed="false">
      <c r="A6" s="13" t="s">
        <v>1399</v>
      </c>
      <c r="B6" s="14" t="s">
        <v>558</v>
      </c>
      <c r="C6" s="15" t="s">
        <v>1400</v>
      </c>
      <c r="D6" s="15" t="s">
        <v>1401</v>
      </c>
      <c r="E6" s="23" t="s">
        <v>19</v>
      </c>
      <c r="F6" s="16"/>
      <c r="G6" s="16"/>
      <c r="H6" s="19" t="n">
        <f aca="false">LEN(IF(F6&lt;&gt;"",F6,D6))</f>
        <v>47</v>
      </c>
      <c r="I6" s="24" t="str">
        <f aca="false">IF(OR(H6&lt;15,H6&gt;95),"분량 확인","")</f>
        <v/>
      </c>
    </row>
    <row r="7" customFormat="false" ht="33.75" hidden="false" customHeight="true" outlineLevel="0" collapsed="false">
      <c r="A7" s="13" t="s">
        <v>1402</v>
      </c>
      <c r="B7" s="14" t="s">
        <v>558</v>
      </c>
      <c r="C7" s="15" t="s">
        <v>1403</v>
      </c>
      <c r="D7" s="15" t="s">
        <v>1404</v>
      </c>
      <c r="E7" s="23" t="s">
        <v>19</v>
      </c>
      <c r="F7" s="16"/>
      <c r="G7" s="16"/>
      <c r="H7" s="19" t="n">
        <f aca="false">LEN(IF(F7&lt;&gt;"",F7,D7))</f>
        <v>55</v>
      </c>
      <c r="I7" s="24" t="str">
        <f aca="false">IF(OR(H7&lt;15,H7&gt;95),"분량 확인","")</f>
        <v/>
      </c>
    </row>
    <row r="8" customFormat="false" ht="33.75" hidden="false" customHeight="true" outlineLevel="0" collapsed="false">
      <c r="A8" s="13" t="s">
        <v>1405</v>
      </c>
      <c r="B8" s="14" t="s">
        <v>577</v>
      </c>
      <c r="C8" s="15" t="s">
        <v>1388</v>
      </c>
      <c r="D8" s="15" t="s">
        <v>1406</v>
      </c>
      <c r="E8" s="23" t="s">
        <v>19</v>
      </c>
      <c r="F8" s="16"/>
      <c r="G8" s="16"/>
      <c r="H8" s="19" t="n">
        <f aca="false">LEN(IF(F8&lt;&gt;"",F8,D8))</f>
        <v>45</v>
      </c>
      <c r="I8" s="24" t="str">
        <f aca="false">IF(OR(H8&lt;15,H8&gt;95),"분량 확인","")</f>
        <v/>
      </c>
    </row>
    <row r="9" customFormat="false" ht="33.75" hidden="false" customHeight="true" outlineLevel="0" collapsed="false">
      <c r="A9" s="13" t="s">
        <v>1407</v>
      </c>
      <c r="B9" s="14" t="s">
        <v>577</v>
      </c>
      <c r="C9" s="15" t="s">
        <v>1391</v>
      </c>
      <c r="D9" s="15" t="s">
        <v>1408</v>
      </c>
      <c r="E9" s="23" t="s">
        <v>19</v>
      </c>
      <c r="F9" s="16"/>
      <c r="G9" s="16"/>
      <c r="H9" s="19" t="n">
        <f aca="false">LEN(IF(F9&lt;&gt;"",F9,D9))</f>
        <v>41</v>
      </c>
      <c r="I9" s="24" t="str">
        <f aca="false">IF(OR(H9&lt;15,H9&gt;95),"분량 확인","")</f>
        <v/>
      </c>
    </row>
    <row r="10" customFormat="false" ht="33.75" hidden="false" customHeight="true" outlineLevel="0" collapsed="false">
      <c r="A10" s="13" t="s">
        <v>1409</v>
      </c>
      <c r="B10" s="14" t="s">
        <v>577</v>
      </c>
      <c r="C10" s="15" t="s">
        <v>1394</v>
      </c>
      <c r="D10" s="15" t="s">
        <v>1410</v>
      </c>
      <c r="E10" s="23" t="s">
        <v>19</v>
      </c>
      <c r="F10" s="16"/>
      <c r="G10" s="16"/>
      <c r="H10" s="19" t="n">
        <f aca="false">LEN(IF(F10&lt;&gt;"",F10,D10))</f>
        <v>52</v>
      </c>
      <c r="I10" s="24" t="str">
        <f aca="false">IF(OR(H10&lt;15,H10&gt;95),"분량 확인","")</f>
        <v/>
      </c>
    </row>
    <row r="11" customFormat="false" ht="33.75" hidden="false" customHeight="true" outlineLevel="0" collapsed="false">
      <c r="A11" s="13" t="s">
        <v>1411</v>
      </c>
      <c r="B11" s="14" t="s">
        <v>577</v>
      </c>
      <c r="C11" s="15" t="s">
        <v>1397</v>
      </c>
      <c r="D11" s="15" t="s">
        <v>1412</v>
      </c>
      <c r="E11" s="23" t="s">
        <v>19</v>
      </c>
      <c r="F11" s="16"/>
      <c r="G11" s="16"/>
      <c r="H11" s="19" t="n">
        <f aca="false">LEN(IF(F11&lt;&gt;"",F11,D11))</f>
        <v>44</v>
      </c>
      <c r="I11" s="24" t="str">
        <f aca="false">IF(OR(H11&lt;15,H11&gt;95),"분량 확인","")</f>
        <v/>
      </c>
    </row>
    <row r="12" customFormat="false" ht="33.75" hidden="false" customHeight="true" outlineLevel="0" collapsed="false">
      <c r="A12" s="13" t="s">
        <v>1413</v>
      </c>
      <c r="B12" s="14" t="s">
        <v>577</v>
      </c>
      <c r="C12" s="15" t="s">
        <v>1400</v>
      </c>
      <c r="D12" s="15" t="s">
        <v>1414</v>
      </c>
      <c r="E12" s="23" t="s">
        <v>19</v>
      </c>
      <c r="F12" s="16"/>
      <c r="G12" s="16"/>
      <c r="H12" s="19" t="n">
        <f aca="false">LEN(IF(F12&lt;&gt;"",F12,D12))</f>
        <v>46</v>
      </c>
      <c r="I12" s="24" t="str">
        <f aca="false">IF(OR(H12&lt;15,H12&gt;95),"분량 확인","")</f>
        <v/>
      </c>
    </row>
    <row r="13" customFormat="false" ht="33.75" hidden="false" customHeight="true" outlineLevel="0" collapsed="false">
      <c r="A13" s="13" t="s">
        <v>1415</v>
      </c>
      <c r="B13" s="14" t="s">
        <v>577</v>
      </c>
      <c r="C13" s="15" t="s">
        <v>1403</v>
      </c>
      <c r="D13" s="15" t="s">
        <v>1416</v>
      </c>
      <c r="E13" s="23" t="s">
        <v>19</v>
      </c>
      <c r="F13" s="16"/>
      <c r="G13" s="16"/>
      <c r="H13" s="19" t="n">
        <f aca="false">LEN(IF(F13&lt;&gt;"",F13,D13))</f>
        <v>58</v>
      </c>
      <c r="I13" s="24" t="str">
        <f aca="false">IF(OR(H13&lt;15,H13&gt;95),"분량 확인","")</f>
        <v/>
      </c>
    </row>
    <row r="14" customFormat="false" ht="33.75" hidden="false" customHeight="true" outlineLevel="0" collapsed="false">
      <c r="A14" s="13" t="s">
        <v>1417</v>
      </c>
      <c r="B14" s="14" t="s">
        <v>590</v>
      </c>
      <c r="C14" s="15" t="s">
        <v>1388</v>
      </c>
      <c r="D14" s="15" t="s">
        <v>1418</v>
      </c>
      <c r="E14" s="23" t="s">
        <v>19</v>
      </c>
      <c r="F14" s="16"/>
      <c r="G14" s="16"/>
      <c r="H14" s="19" t="n">
        <f aca="false">LEN(IF(F14&lt;&gt;"",F14,D14))</f>
        <v>49</v>
      </c>
      <c r="I14" s="24" t="str">
        <f aca="false">IF(OR(H14&lt;15,H14&gt;95),"분량 확인","")</f>
        <v/>
      </c>
    </row>
    <row r="15" customFormat="false" ht="33.75" hidden="false" customHeight="true" outlineLevel="0" collapsed="false">
      <c r="A15" s="13" t="s">
        <v>1419</v>
      </c>
      <c r="B15" s="14" t="s">
        <v>590</v>
      </c>
      <c r="C15" s="15" t="s">
        <v>1391</v>
      </c>
      <c r="D15" s="15" t="s">
        <v>1420</v>
      </c>
      <c r="E15" s="23" t="s">
        <v>19</v>
      </c>
      <c r="F15" s="16"/>
      <c r="G15" s="16"/>
      <c r="H15" s="19" t="n">
        <f aca="false">LEN(IF(F15&lt;&gt;"",F15,D15))</f>
        <v>48</v>
      </c>
      <c r="I15" s="24" t="str">
        <f aca="false">IF(OR(H15&lt;15,H15&gt;95),"분량 확인","")</f>
        <v/>
      </c>
    </row>
    <row r="16" customFormat="false" ht="48" hidden="false" customHeight="true" outlineLevel="0" collapsed="false">
      <c r="A16" s="13" t="s">
        <v>1421</v>
      </c>
      <c r="B16" s="14" t="s">
        <v>590</v>
      </c>
      <c r="C16" s="15" t="s">
        <v>1394</v>
      </c>
      <c r="D16" s="15" t="s">
        <v>1422</v>
      </c>
      <c r="E16" s="23" t="s">
        <v>19</v>
      </c>
      <c r="F16" s="16"/>
      <c r="G16" s="16"/>
      <c r="H16" s="19" t="n">
        <f aca="false">LEN(IF(F16&lt;&gt;"",F16,D16))</f>
        <v>60</v>
      </c>
      <c r="I16" s="24" t="str">
        <f aca="false">IF(OR(H16&lt;15,H16&gt;95),"분량 확인","")</f>
        <v/>
      </c>
    </row>
    <row r="17" customFormat="false" ht="33.75" hidden="false" customHeight="true" outlineLevel="0" collapsed="false">
      <c r="A17" s="13" t="s">
        <v>1423</v>
      </c>
      <c r="B17" s="14" t="s">
        <v>590</v>
      </c>
      <c r="C17" s="15" t="s">
        <v>1397</v>
      </c>
      <c r="D17" s="15" t="s">
        <v>1424</v>
      </c>
      <c r="E17" s="23" t="s">
        <v>19</v>
      </c>
      <c r="F17" s="16"/>
      <c r="G17" s="16"/>
      <c r="H17" s="19" t="n">
        <f aca="false">LEN(IF(F17&lt;&gt;"",F17,D17))</f>
        <v>49</v>
      </c>
      <c r="I17" s="24" t="str">
        <f aca="false">IF(OR(H17&lt;15,H17&gt;95),"분량 확인","")</f>
        <v/>
      </c>
    </row>
    <row r="18" customFormat="false" ht="33.75" hidden="false" customHeight="true" outlineLevel="0" collapsed="false">
      <c r="A18" s="13" t="s">
        <v>1425</v>
      </c>
      <c r="B18" s="14" t="s">
        <v>590</v>
      </c>
      <c r="C18" s="15" t="s">
        <v>1400</v>
      </c>
      <c r="D18" s="15" t="s">
        <v>1426</v>
      </c>
      <c r="E18" s="23" t="s">
        <v>19</v>
      </c>
      <c r="F18" s="16"/>
      <c r="G18" s="16"/>
      <c r="H18" s="19" t="n">
        <f aca="false">LEN(IF(F18&lt;&gt;"",F18,D18))</f>
        <v>50</v>
      </c>
      <c r="I18" s="24" t="str">
        <f aca="false">IF(OR(H18&lt;15,H18&gt;95),"분량 확인","")</f>
        <v/>
      </c>
    </row>
    <row r="19" customFormat="false" ht="48" hidden="false" customHeight="true" outlineLevel="0" collapsed="false">
      <c r="A19" s="13" t="s">
        <v>1427</v>
      </c>
      <c r="B19" s="14" t="s">
        <v>590</v>
      </c>
      <c r="C19" s="15" t="s">
        <v>1403</v>
      </c>
      <c r="D19" s="15" t="s">
        <v>1428</v>
      </c>
      <c r="E19" s="23" t="s">
        <v>19</v>
      </c>
      <c r="F19" s="16"/>
      <c r="G19" s="16"/>
      <c r="H19" s="19" t="n">
        <f aca="false">LEN(IF(F19&lt;&gt;"",F19,D19))</f>
        <v>60</v>
      </c>
      <c r="I19" s="24" t="str">
        <f aca="false">IF(OR(H19&lt;15,H19&gt;95),"분량 확인","")</f>
        <v/>
      </c>
    </row>
    <row r="20" customFormat="false" ht="33.75" hidden="false" customHeight="true" outlineLevel="0" collapsed="false">
      <c r="A20" s="13" t="s">
        <v>1429</v>
      </c>
      <c r="B20" s="14" t="s">
        <v>603</v>
      </c>
      <c r="C20" s="15" t="s">
        <v>1388</v>
      </c>
      <c r="D20" s="15" t="s">
        <v>1430</v>
      </c>
      <c r="E20" s="23" t="s">
        <v>19</v>
      </c>
      <c r="F20" s="16"/>
      <c r="G20" s="16"/>
      <c r="H20" s="19" t="n">
        <f aca="false">LEN(IF(F20&lt;&gt;"",F20,D20))</f>
        <v>47</v>
      </c>
      <c r="I20" s="24" t="str">
        <f aca="false">IF(OR(H20&lt;15,H20&gt;95),"분량 확인","")</f>
        <v/>
      </c>
    </row>
    <row r="21" customFormat="false" ht="33.75" hidden="false" customHeight="true" outlineLevel="0" collapsed="false">
      <c r="A21" s="13" t="s">
        <v>1431</v>
      </c>
      <c r="B21" s="14" t="s">
        <v>603</v>
      </c>
      <c r="C21" s="15" t="s">
        <v>1391</v>
      </c>
      <c r="D21" s="15" t="s">
        <v>1432</v>
      </c>
      <c r="E21" s="23" t="s">
        <v>19</v>
      </c>
      <c r="F21" s="16"/>
      <c r="G21" s="16"/>
      <c r="H21" s="19" t="n">
        <f aca="false">LEN(IF(F21&lt;&gt;"",F21,D21))</f>
        <v>48</v>
      </c>
      <c r="I21" s="24" t="str">
        <f aca="false">IF(OR(H21&lt;15,H21&gt;95),"분량 확인","")</f>
        <v/>
      </c>
    </row>
    <row r="22" customFormat="false" ht="33.75" hidden="false" customHeight="true" outlineLevel="0" collapsed="false">
      <c r="A22" s="13" t="s">
        <v>1433</v>
      </c>
      <c r="B22" s="14" t="s">
        <v>603</v>
      </c>
      <c r="C22" s="15" t="s">
        <v>1394</v>
      </c>
      <c r="D22" s="15" t="s">
        <v>1434</v>
      </c>
      <c r="E22" s="23" t="s">
        <v>19</v>
      </c>
      <c r="F22" s="16"/>
      <c r="G22" s="16"/>
      <c r="H22" s="19" t="n">
        <f aca="false">LEN(IF(F22&lt;&gt;"",F22,D22))</f>
        <v>52</v>
      </c>
      <c r="I22" s="24" t="str">
        <f aca="false">IF(OR(H22&lt;15,H22&gt;95),"분량 확인","")</f>
        <v/>
      </c>
    </row>
    <row r="23" customFormat="false" ht="33.75" hidden="false" customHeight="true" outlineLevel="0" collapsed="false">
      <c r="A23" s="13" t="s">
        <v>1435</v>
      </c>
      <c r="B23" s="14" t="s">
        <v>603</v>
      </c>
      <c r="C23" s="15" t="s">
        <v>1397</v>
      </c>
      <c r="D23" s="15" t="s">
        <v>1436</v>
      </c>
      <c r="E23" s="23" t="s">
        <v>19</v>
      </c>
      <c r="F23" s="16"/>
      <c r="G23" s="16"/>
      <c r="H23" s="19" t="n">
        <f aca="false">LEN(IF(F23&lt;&gt;"",F23,D23))</f>
        <v>38</v>
      </c>
      <c r="I23" s="24" t="str">
        <f aca="false">IF(OR(H23&lt;15,H23&gt;95),"분량 확인","")</f>
        <v/>
      </c>
    </row>
    <row r="24" customFormat="false" ht="33.75" hidden="false" customHeight="true" outlineLevel="0" collapsed="false">
      <c r="A24" s="13" t="s">
        <v>1437</v>
      </c>
      <c r="B24" s="14" t="s">
        <v>603</v>
      </c>
      <c r="C24" s="15" t="s">
        <v>1400</v>
      </c>
      <c r="D24" s="15" t="s">
        <v>1438</v>
      </c>
      <c r="E24" s="23" t="s">
        <v>19</v>
      </c>
      <c r="F24" s="16"/>
      <c r="G24" s="16"/>
      <c r="H24" s="19" t="n">
        <f aca="false">LEN(IF(F24&lt;&gt;"",F24,D24))</f>
        <v>48</v>
      </c>
      <c r="I24" s="24" t="str">
        <f aca="false">IF(OR(H24&lt;15,H24&gt;95),"분량 확인","")</f>
        <v/>
      </c>
    </row>
    <row r="25" customFormat="false" ht="33.75" hidden="false" customHeight="true" outlineLevel="0" collapsed="false">
      <c r="A25" s="13" t="s">
        <v>1439</v>
      </c>
      <c r="B25" s="14" t="s">
        <v>603</v>
      </c>
      <c r="C25" s="15" t="s">
        <v>1403</v>
      </c>
      <c r="D25" s="15" t="s">
        <v>1440</v>
      </c>
      <c r="E25" s="23" t="s">
        <v>19</v>
      </c>
      <c r="F25" s="16"/>
      <c r="G25" s="16"/>
      <c r="H25" s="19" t="n">
        <f aca="false">LEN(IF(F25&lt;&gt;"",F25,D25))</f>
        <v>56</v>
      </c>
      <c r="I25" s="24" t="str">
        <f aca="false">IF(OR(H25&lt;15,H25&gt;95),"분량 확인","")</f>
        <v/>
      </c>
    </row>
    <row r="26" customFormat="false" ht="33.75" hidden="false" customHeight="true" outlineLevel="0" collapsed="false">
      <c r="A26" s="13" t="s">
        <v>1441</v>
      </c>
      <c r="B26" s="14" t="s">
        <v>616</v>
      </c>
      <c r="C26" s="15" t="s">
        <v>1388</v>
      </c>
      <c r="D26" s="15" t="s">
        <v>1442</v>
      </c>
      <c r="E26" s="23" t="s">
        <v>19</v>
      </c>
      <c r="F26" s="16"/>
      <c r="G26" s="16"/>
      <c r="H26" s="19" t="n">
        <f aca="false">LEN(IF(F26&lt;&gt;"",F26,D26))</f>
        <v>46</v>
      </c>
      <c r="I26" s="24" t="str">
        <f aca="false">IF(OR(H26&lt;15,H26&gt;95),"분량 확인","")</f>
        <v/>
      </c>
    </row>
    <row r="27" customFormat="false" ht="33.75" hidden="false" customHeight="true" outlineLevel="0" collapsed="false">
      <c r="A27" s="13" t="s">
        <v>1443</v>
      </c>
      <c r="B27" s="14" t="s">
        <v>616</v>
      </c>
      <c r="C27" s="15" t="s">
        <v>1391</v>
      </c>
      <c r="D27" s="15" t="s">
        <v>1444</v>
      </c>
      <c r="E27" s="23" t="s">
        <v>19</v>
      </c>
      <c r="F27" s="16"/>
      <c r="G27" s="16"/>
      <c r="H27" s="19" t="n">
        <f aca="false">LEN(IF(F27&lt;&gt;"",F27,D27))</f>
        <v>52</v>
      </c>
      <c r="I27" s="24" t="str">
        <f aca="false">IF(OR(H27&lt;15,H27&gt;95),"분량 확인","")</f>
        <v/>
      </c>
    </row>
    <row r="28" customFormat="false" ht="48" hidden="false" customHeight="true" outlineLevel="0" collapsed="false">
      <c r="A28" s="13" t="s">
        <v>1445</v>
      </c>
      <c r="B28" s="14" t="s">
        <v>616</v>
      </c>
      <c r="C28" s="15" t="s">
        <v>1394</v>
      </c>
      <c r="D28" s="15" t="s">
        <v>1446</v>
      </c>
      <c r="E28" s="23" t="s">
        <v>19</v>
      </c>
      <c r="F28" s="16"/>
      <c r="G28" s="16"/>
      <c r="H28" s="19" t="n">
        <f aca="false">LEN(IF(F28&lt;&gt;"",F28,D28))</f>
        <v>59</v>
      </c>
      <c r="I28" s="24" t="str">
        <f aca="false">IF(OR(H28&lt;15,H28&gt;95),"분량 확인","")</f>
        <v/>
      </c>
    </row>
    <row r="29" customFormat="false" ht="33.75" hidden="false" customHeight="true" outlineLevel="0" collapsed="false">
      <c r="A29" s="13" t="s">
        <v>1447</v>
      </c>
      <c r="B29" s="14" t="s">
        <v>616</v>
      </c>
      <c r="C29" s="15" t="s">
        <v>1397</v>
      </c>
      <c r="D29" s="15" t="s">
        <v>1448</v>
      </c>
      <c r="E29" s="23" t="s">
        <v>19</v>
      </c>
      <c r="F29" s="16"/>
      <c r="G29" s="16"/>
      <c r="H29" s="19" t="n">
        <f aca="false">LEN(IF(F29&lt;&gt;"",F29,D29))</f>
        <v>43</v>
      </c>
      <c r="I29" s="24" t="str">
        <f aca="false">IF(OR(H29&lt;15,H29&gt;95),"분량 확인","")</f>
        <v/>
      </c>
    </row>
    <row r="30" customFormat="false" ht="33.75" hidden="false" customHeight="true" outlineLevel="0" collapsed="false">
      <c r="A30" s="13" t="s">
        <v>1449</v>
      </c>
      <c r="B30" s="14" t="s">
        <v>616</v>
      </c>
      <c r="C30" s="15" t="s">
        <v>1400</v>
      </c>
      <c r="D30" s="15" t="s">
        <v>1450</v>
      </c>
      <c r="E30" s="23" t="s">
        <v>19</v>
      </c>
      <c r="F30" s="16"/>
      <c r="G30" s="16"/>
      <c r="H30" s="19" t="n">
        <f aca="false">LEN(IF(F30&lt;&gt;"",F30,D30))</f>
        <v>50</v>
      </c>
      <c r="I30" s="24" t="str">
        <f aca="false">IF(OR(H30&lt;15,H30&gt;95),"분량 확인","")</f>
        <v/>
      </c>
    </row>
    <row r="31" customFormat="false" ht="33.75" hidden="false" customHeight="true" outlineLevel="0" collapsed="false">
      <c r="A31" s="13" t="s">
        <v>1451</v>
      </c>
      <c r="B31" s="14" t="s">
        <v>616</v>
      </c>
      <c r="C31" s="15" t="s">
        <v>1403</v>
      </c>
      <c r="D31" s="15" t="s">
        <v>1452</v>
      </c>
      <c r="E31" s="23" t="s">
        <v>19</v>
      </c>
      <c r="F31" s="16"/>
      <c r="G31" s="16"/>
      <c r="H31" s="19" t="n">
        <f aca="false">LEN(IF(F31&lt;&gt;"",F31,D31))</f>
        <v>58</v>
      </c>
      <c r="I31" s="24" t="str">
        <f aca="false">IF(OR(H31&lt;15,H31&gt;95),"분량 확인","")</f>
        <v/>
      </c>
    </row>
    <row r="32" customFormat="false" ht="33.75" hidden="false" customHeight="true" outlineLevel="0" collapsed="false">
      <c r="A32" s="13" t="s">
        <v>1453</v>
      </c>
      <c r="B32" s="14" t="s">
        <v>629</v>
      </c>
      <c r="C32" s="15" t="s">
        <v>1388</v>
      </c>
      <c r="D32" s="15" t="s">
        <v>1454</v>
      </c>
      <c r="E32" s="23" t="s">
        <v>19</v>
      </c>
      <c r="F32" s="16"/>
      <c r="G32" s="16"/>
      <c r="H32" s="19" t="n">
        <f aca="false">LEN(IF(F32&lt;&gt;"",F32,D32))</f>
        <v>42</v>
      </c>
      <c r="I32" s="24" t="str">
        <f aca="false">IF(OR(H32&lt;15,H32&gt;95),"분량 확인","")</f>
        <v/>
      </c>
    </row>
    <row r="33" customFormat="false" ht="33.75" hidden="false" customHeight="true" outlineLevel="0" collapsed="false">
      <c r="A33" s="13" t="s">
        <v>1455</v>
      </c>
      <c r="B33" s="14" t="s">
        <v>629</v>
      </c>
      <c r="C33" s="15" t="s">
        <v>1391</v>
      </c>
      <c r="D33" s="15" t="s">
        <v>1456</v>
      </c>
      <c r="E33" s="23" t="s">
        <v>19</v>
      </c>
      <c r="F33" s="16"/>
      <c r="G33" s="16"/>
      <c r="H33" s="19" t="n">
        <f aca="false">LEN(IF(F33&lt;&gt;"",F33,D33))</f>
        <v>48</v>
      </c>
      <c r="I33" s="24" t="str">
        <f aca="false">IF(OR(H33&lt;15,H33&gt;95),"분량 확인","")</f>
        <v/>
      </c>
    </row>
    <row r="34" customFormat="false" ht="33.75" hidden="false" customHeight="true" outlineLevel="0" collapsed="false">
      <c r="A34" s="13" t="s">
        <v>1457</v>
      </c>
      <c r="B34" s="14" t="s">
        <v>629</v>
      </c>
      <c r="C34" s="15" t="s">
        <v>1394</v>
      </c>
      <c r="D34" s="15" t="s">
        <v>1458</v>
      </c>
      <c r="E34" s="23" t="s">
        <v>19</v>
      </c>
      <c r="F34" s="16"/>
      <c r="G34" s="16"/>
      <c r="H34" s="19" t="n">
        <f aca="false">LEN(IF(F34&lt;&gt;"",F34,D34))</f>
        <v>55</v>
      </c>
      <c r="I34" s="24" t="str">
        <f aca="false">IF(OR(H34&lt;15,H34&gt;95),"분량 확인","")</f>
        <v/>
      </c>
    </row>
    <row r="35" customFormat="false" ht="33.75" hidden="false" customHeight="true" outlineLevel="0" collapsed="false">
      <c r="A35" s="13" t="s">
        <v>1459</v>
      </c>
      <c r="B35" s="14" t="s">
        <v>629</v>
      </c>
      <c r="C35" s="15" t="s">
        <v>1397</v>
      </c>
      <c r="D35" s="15" t="s">
        <v>1460</v>
      </c>
      <c r="E35" s="23" t="s">
        <v>19</v>
      </c>
      <c r="F35" s="16"/>
      <c r="G35" s="16"/>
      <c r="H35" s="19" t="n">
        <f aca="false">LEN(IF(F35&lt;&gt;"",F35,D35))</f>
        <v>46</v>
      </c>
      <c r="I35" s="24" t="str">
        <f aca="false">IF(OR(H35&lt;15,H35&gt;95),"분량 확인","")</f>
        <v/>
      </c>
    </row>
    <row r="36" customFormat="false" ht="33.75" hidden="false" customHeight="true" outlineLevel="0" collapsed="false">
      <c r="A36" s="13" t="s">
        <v>1461</v>
      </c>
      <c r="B36" s="14" t="s">
        <v>629</v>
      </c>
      <c r="C36" s="15" t="s">
        <v>1400</v>
      </c>
      <c r="D36" s="15" t="s">
        <v>1462</v>
      </c>
      <c r="E36" s="23" t="s">
        <v>19</v>
      </c>
      <c r="F36" s="16"/>
      <c r="G36" s="16"/>
      <c r="H36" s="19" t="n">
        <f aca="false">LEN(IF(F36&lt;&gt;"",F36,D36))</f>
        <v>49</v>
      </c>
      <c r="I36" s="24" t="str">
        <f aca="false">IF(OR(H36&lt;15,H36&gt;95),"분량 확인","")</f>
        <v/>
      </c>
    </row>
    <row r="37" customFormat="false" ht="33.75" hidden="false" customHeight="true" outlineLevel="0" collapsed="false">
      <c r="A37" s="13" t="s">
        <v>1463</v>
      </c>
      <c r="B37" s="14" t="s">
        <v>629</v>
      </c>
      <c r="C37" s="15" t="s">
        <v>1403</v>
      </c>
      <c r="D37" s="15" t="s">
        <v>1464</v>
      </c>
      <c r="E37" s="23" t="s">
        <v>19</v>
      </c>
      <c r="F37" s="16"/>
      <c r="G37" s="16"/>
      <c r="H37" s="19" t="n">
        <f aca="false">LEN(IF(F37&lt;&gt;"",F37,D37))</f>
        <v>56</v>
      </c>
      <c r="I37" s="24" t="str">
        <f aca="false">IF(OR(H37&lt;15,H37&gt;95),"분량 확인","")</f>
        <v/>
      </c>
    </row>
    <row r="38" customFormat="false" ht="33.75" hidden="false" customHeight="true" outlineLevel="0" collapsed="false">
      <c r="A38" s="13" t="s">
        <v>1465</v>
      </c>
      <c r="B38" s="14" t="s">
        <v>642</v>
      </c>
      <c r="C38" s="15" t="s">
        <v>1388</v>
      </c>
      <c r="D38" s="15" t="s">
        <v>1466</v>
      </c>
      <c r="E38" s="23" t="s">
        <v>19</v>
      </c>
      <c r="F38" s="16"/>
      <c r="G38" s="16"/>
      <c r="H38" s="19" t="n">
        <f aca="false">LEN(IF(F38&lt;&gt;"",F38,D38))</f>
        <v>40</v>
      </c>
      <c r="I38" s="24" t="str">
        <f aca="false">IF(OR(H38&lt;15,H38&gt;95),"분량 확인","")</f>
        <v/>
      </c>
    </row>
    <row r="39" customFormat="false" ht="33.75" hidden="false" customHeight="true" outlineLevel="0" collapsed="false">
      <c r="A39" s="13" t="s">
        <v>1467</v>
      </c>
      <c r="B39" s="14" t="s">
        <v>642</v>
      </c>
      <c r="C39" s="15" t="s">
        <v>1391</v>
      </c>
      <c r="D39" s="15" t="s">
        <v>1468</v>
      </c>
      <c r="E39" s="23" t="s">
        <v>19</v>
      </c>
      <c r="F39" s="16"/>
      <c r="G39" s="16"/>
      <c r="H39" s="19" t="n">
        <f aca="false">LEN(IF(F39&lt;&gt;"",F39,D39))</f>
        <v>46</v>
      </c>
      <c r="I39" s="24" t="str">
        <f aca="false">IF(OR(H39&lt;15,H39&gt;95),"분량 확인","")</f>
        <v/>
      </c>
    </row>
    <row r="40" customFormat="false" ht="48" hidden="false" customHeight="true" outlineLevel="0" collapsed="false">
      <c r="A40" s="13" t="s">
        <v>1469</v>
      </c>
      <c r="B40" s="14" t="s">
        <v>642</v>
      </c>
      <c r="C40" s="15" t="s">
        <v>1394</v>
      </c>
      <c r="D40" s="15" t="s">
        <v>1470</v>
      </c>
      <c r="E40" s="23" t="s">
        <v>19</v>
      </c>
      <c r="F40" s="16"/>
      <c r="G40" s="16"/>
      <c r="H40" s="19" t="n">
        <f aca="false">LEN(IF(F40&lt;&gt;"",F40,D40))</f>
        <v>59</v>
      </c>
      <c r="I40" s="24" t="str">
        <f aca="false">IF(OR(H40&lt;15,H40&gt;95),"분량 확인","")</f>
        <v/>
      </c>
    </row>
    <row r="41" customFormat="false" ht="33.75" hidden="false" customHeight="true" outlineLevel="0" collapsed="false">
      <c r="A41" s="13" t="s">
        <v>1471</v>
      </c>
      <c r="B41" s="14" t="s">
        <v>642</v>
      </c>
      <c r="C41" s="15" t="s">
        <v>1397</v>
      </c>
      <c r="D41" s="15" t="s">
        <v>1472</v>
      </c>
      <c r="E41" s="23" t="s">
        <v>19</v>
      </c>
      <c r="F41" s="16"/>
      <c r="G41" s="16"/>
      <c r="H41" s="19" t="n">
        <f aca="false">LEN(IF(F41&lt;&gt;"",F41,D41))</f>
        <v>45</v>
      </c>
      <c r="I41" s="24" t="str">
        <f aca="false">IF(OR(H41&lt;15,H41&gt;95),"분량 확인","")</f>
        <v/>
      </c>
    </row>
    <row r="42" customFormat="false" ht="33.75" hidden="false" customHeight="true" outlineLevel="0" collapsed="false">
      <c r="A42" s="13" t="s">
        <v>1473</v>
      </c>
      <c r="B42" s="14" t="s">
        <v>642</v>
      </c>
      <c r="C42" s="15" t="s">
        <v>1400</v>
      </c>
      <c r="D42" s="15" t="s">
        <v>1474</v>
      </c>
      <c r="E42" s="23" t="s">
        <v>19</v>
      </c>
      <c r="F42" s="16"/>
      <c r="G42" s="16"/>
      <c r="H42" s="19" t="n">
        <f aca="false">LEN(IF(F42&lt;&gt;"",F42,D42))</f>
        <v>48</v>
      </c>
      <c r="I42" s="24" t="str">
        <f aca="false">IF(OR(H42&lt;15,H42&gt;95),"분량 확인","")</f>
        <v/>
      </c>
    </row>
    <row r="43" customFormat="false" ht="48" hidden="false" customHeight="true" outlineLevel="0" collapsed="false">
      <c r="A43" s="13" t="s">
        <v>1475</v>
      </c>
      <c r="B43" s="14" t="s">
        <v>642</v>
      </c>
      <c r="C43" s="15" t="s">
        <v>1403</v>
      </c>
      <c r="D43" s="15" t="s">
        <v>1476</v>
      </c>
      <c r="E43" s="23" t="s">
        <v>19</v>
      </c>
      <c r="F43" s="16"/>
      <c r="G43" s="16"/>
      <c r="H43" s="19" t="n">
        <f aca="false">LEN(IF(F43&lt;&gt;"",F43,D43))</f>
        <v>66</v>
      </c>
      <c r="I43" s="24" t="str">
        <f aca="false">IF(OR(H43&lt;15,H43&gt;95),"분량 확인","")</f>
        <v/>
      </c>
    </row>
    <row r="44" customFormat="false" ht="33.75" hidden="false" customHeight="true" outlineLevel="0" collapsed="false">
      <c r="A44" s="13" t="s">
        <v>1477</v>
      </c>
      <c r="B44" s="14" t="s">
        <v>655</v>
      </c>
      <c r="C44" s="15" t="s">
        <v>1388</v>
      </c>
      <c r="D44" s="15" t="s">
        <v>1478</v>
      </c>
      <c r="E44" s="23" t="s">
        <v>19</v>
      </c>
      <c r="F44" s="16"/>
      <c r="G44" s="16"/>
      <c r="H44" s="19" t="n">
        <f aca="false">LEN(IF(F44&lt;&gt;"",F44,D44))</f>
        <v>46</v>
      </c>
      <c r="I44" s="24" t="str">
        <f aca="false">IF(OR(H44&lt;15,H44&gt;95),"분량 확인","")</f>
        <v/>
      </c>
    </row>
    <row r="45" customFormat="false" ht="33.75" hidden="false" customHeight="true" outlineLevel="0" collapsed="false">
      <c r="A45" s="13" t="s">
        <v>1479</v>
      </c>
      <c r="B45" s="14" t="s">
        <v>655</v>
      </c>
      <c r="C45" s="15" t="s">
        <v>1391</v>
      </c>
      <c r="D45" s="15" t="s">
        <v>1480</v>
      </c>
      <c r="E45" s="23" t="s">
        <v>19</v>
      </c>
      <c r="F45" s="16"/>
      <c r="G45" s="16"/>
      <c r="H45" s="19" t="n">
        <f aca="false">LEN(IF(F45&lt;&gt;"",F45,D45))</f>
        <v>50</v>
      </c>
      <c r="I45" s="24" t="str">
        <f aca="false">IF(OR(H45&lt;15,H45&gt;95),"분량 확인","")</f>
        <v/>
      </c>
    </row>
    <row r="46" customFormat="false" ht="48" hidden="false" customHeight="true" outlineLevel="0" collapsed="false">
      <c r="A46" s="13" t="s">
        <v>1481</v>
      </c>
      <c r="B46" s="14" t="s">
        <v>655</v>
      </c>
      <c r="C46" s="15" t="s">
        <v>1394</v>
      </c>
      <c r="D46" s="15" t="s">
        <v>1482</v>
      </c>
      <c r="E46" s="23" t="s">
        <v>19</v>
      </c>
      <c r="F46" s="16"/>
      <c r="G46" s="16"/>
      <c r="H46" s="19" t="n">
        <f aca="false">LEN(IF(F46&lt;&gt;"",F46,D46))</f>
        <v>65</v>
      </c>
      <c r="I46" s="24" t="str">
        <f aca="false">IF(OR(H46&lt;15,H46&gt;95),"분량 확인","")</f>
        <v/>
      </c>
    </row>
    <row r="47" customFormat="false" ht="33.75" hidden="false" customHeight="true" outlineLevel="0" collapsed="false">
      <c r="A47" s="13" t="s">
        <v>1483</v>
      </c>
      <c r="B47" s="14" t="s">
        <v>655</v>
      </c>
      <c r="C47" s="15" t="s">
        <v>1397</v>
      </c>
      <c r="D47" s="15" t="s">
        <v>1484</v>
      </c>
      <c r="E47" s="23" t="s">
        <v>19</v>
      </c>
      <c r="F47" s="16"/>
      <c r="G47" s="16"/>
      <c r="H47" s="19" t="n">
        <f aca="false">LEN(IF(F47&lt;&gt;"",F47,D47))</f>
        <v>46</v>
      </c>
      <c r="I47" s="24" t="str">
        <f aca="false">IF(OR(H47&lt;15,H47&gt;95),"분량 확인","")</f>
        <v/>
      </c>
    </row>
    <row r="48" customFormat="false" ht="33.75" hidden="false" customHeight="true" outlineLevel="0" collapsed="false">
      <c r="A48" s="13" t="s">
        <v>1485</v>
      </c>
      <c r="B48" s="14" t="s">
        <v>655</v>
      </c>
      <c r="C48" s="15" t="s">
        <v>1400</v>
      </c>
      <c r="D48" s="15" t="s">
        <v>1486</v>
      </c>
      <c r="E48" s="23" t="s">
        <v>19</v>
      </c>
      <c r="F48" s="16"/>
      <c r="G48" s="16"/>
      <c r="H48" s="19" t="n">
        <f aca="false">LEN(IF(F48&lt;&gt;"",F48,D48))</f>
        <v>45</v>
      </c>
      <c r="I48" s="24" t="str">
        <f aca="false">IF(OR(H48&lt;15,H48&gt;95),"분량 확인","")</f>
        <v/>
      </c>
    </row>
    <row r="49" customFormat="false" ht="33.75" hidden="false" customHeight="true" outlineLevel="0" collapsed="false">
      <c r="A49" s="13" t="s">
        <v>1487</v>
      </c>
      <c r="B49" s="14" t="s">
        <v>655</v>
      </c>
      <c r="C49" s="15" t="s">
        <v>1403</v>
      </c>
      <c r="D49" s="15" t="s">
        <v>1488</v>
      </c>
      <c r="E49" s="23" t="s">
        <v>19</v>
      </c>
      <c r="F49" s="16"/>
      <c r="G49" s="16"/>
      <c r="H49" s="19" t="n">
        <f aca="false">LEN(IF(F49&lt;&gt;"",F49,D49))</f>
        <v>57</v>
      </c>
      <c r="I49" s="24" t="str">
        <f aca="false">IF(OR(H49&lt;15,H49&gt;95),"분량 확인","")</f>
        <v/>
      </c>
    </row>
    <row r="50" customFormat="false" ht="33.75" hidden="false" customHeight="true" outlineLevel="0" collapsed="false">
      <c r="A50" s="13" t="s">
        <v>1489</v>
      </c>
      <c r="B50" s="14" t="s">
        <v>668</v>
      </c>
      <c r="C50" s="15" t="s">
        <v>1388</v>
      </c>
      <c r="D50" s="15" t="s">
        <v>1490</v>
      </c>
      <c r="E50" s="23" t="s">
        <v>19</v>
      </c>
      <c r="F50" s="16"/>
      <c r="G50" s="16"/>
      <c r="H50" s="19" t="n">
        <f aca="false">LEN(IF(F50&lt;&gt;"",F50,D50))</f>
        <v>39</v>
      </c>
      <c r="I50" s="24" t="str">
        <f aca="false">IF(OR(H50&lt;15,H50&gt;95),"분량 확인","")</f>
        <v/>
      </c>
    </row>
    <row r="51" customFormat="false" ht="33.75" hidden="false" customHeight="true" outlineLevel="0" collapsed="false">
      <c r="A51" s="13" t="s">
        <v>1491</v>
      </c>
      <c r="B51" s="14" t="s">
        <v>668</v>
      </c>
      <c r="C51" s="15" t="s">
        <v>1391</v>
      </c>
      <c r="D51" s="15" t="s">
        <v>1492</v>
      </c>
      <c r="E51" s="23" t="s">
        <v>19</v>
      </c>
      <c r="F51" s="16"/>
      <c r="G51" s="16"/>
      <c r="H51" s="19" t="n">
        <f aca="false">LEN(IF(F51&lt;&gt;"",F51,D51))</f>
        <v>48</v>
      </c>
      <c r="I51" s="24" t="str">
        <f aca="false">IF(OR(H51&lt;15,H51&gt;95),"분량 확인","")</f>
        <v/>
      </c>
    </row>
    <row r="52" customFormat="false" ht="48" hidden="false" customHeight="true" outlineLevel="0" collapsed="false">
      <c r="A52" s="13" t="s">
        <v>1493</v>
      </c>
      <c r="B52" s="14" t="s">
        <v>668</v>
      </c>
      <c r="C52" s="15" t="s">
        <v>1394</v>
      </c>
      <c r="D52" s="15" t="s">
        <v>1494</v>
      </c>
      <c r="E52" s="23" t="s">
        <v>19</v>
      </c>
      <c r="F52" s="16"/>
      <c r="G52" s="16"/>
      <c r="H52" s="19" t="n">
        <f aca="false">LEN(IF(F52&lt;&gt;"",F52,D52))</f>
        <v>59</v>
      </c>
      <c r="I52" s="24" t="str">
        <f aca="false">IF(OR(H52&lt;15,H52&gt;95),"분량 확인","")</f>
        <v/>
      </c>
    </row>
    <row r="53" customFormat="false" ht="33.75" hidden="false" customHeight="true" outlineLevel="0" collapsed="false">
      <c r="A53" s="13" t="s">
        <v>1495</v>
      </c>
      <c r="B53" s="14" t="s">
        <v>668</v>
      </c>
      <c r="C53" s="15" t="s">
        <v>1397</v>
      </c>
      <c r="D53" s="15" t="s">
        <v>1496</v>
      </c>
      <c r="E53" s="23" t="s">
        <v>19</v>
      </c>
      <c r="F53" s="16"/>
      <c r="G53" s="16"/>
      <c r="H53" s="19" t="n">
        <f aca="false">LEN(IF(F53&lt;&gt;"",F53,D53))</f>
        <v>39</v>
      </c>
      <c r="I53" s="24" t="str">
        <f aca="false">IF(OR(H53&lt;15,H53&gt;95),"분량 확인","")</f>
        <v/>
      </c>
    </row>
    <row r="54" customFormat="false" ht="33.75" hidden="false" customHeight="true" outlineLevel="0" collapsed="false">
      <c r="A54" s="13" t="s">
        <v>1497</v>
      </c>
      <c r="B54" s="14" t="s">
        <v>668</v>
      </c>
      <c r="C54" s="15" t="s">
        <v>1400</v>
      </c>
      <c r="D54" s="15" t="s">
        <v>1498</v>
      </c>
      <c r="E54" s="23" t="s">
        <v>19</v>
      </c>
      <c r="F54" s="16"/>
      <c r="G54" s="16"/>
      <c r="H54" s="19" t="n">
        <f aca="false">LEN(IF(F54&lt;&gt;"",F54,D54))</f>
        <v>46</v>
      </c>
      <c r="I54" s="24" t="str">
        <f aca="false">IF(OR(H54&lt;15,H54&gt;95),"분량 확인","")</f>
        <v/>
      </c>
    </row>
    <row r="55" customFormat="false" ht="33.75" hidden="false" customHeight="true" outlineLevel="0" collapsed="false">
      <c r="A55" s="13" t="s">
        <v>1499</v>
      </c>
      <c r="B55" s="14" t="s">
        <v>668</v>
      </c>
      <c r="C55" s="15" t="s">
        <v>1403</v>
      </c>
      <c r="D55" s="15" t="s">
        <v>1500</v>
      </c>
      <c r="E55" s="23" t="s">
        <v>19</v>
      </c>
      <c r="F55" s="16"/>
      <c r="G55" s="16"/>
      <c r="H55" s="19" t="n">
        <f aca="false">LEN(IF(F55&lt;&gt;"",F55,D55))</f>
        <v>56</v>
      </c>
      <c r="I55" s="24" t="str">
        <f aca="false">IF(OR(H55&lt;15,H55&gt;95),"분량 확인","")</f>
        <v/>
      </c>
    </row>
    <row r="56" customFormat="false" ht="33.75" hidden="false" customHeight="true" outlineLevel="0" collapsed="false">
      <c r="A56" s="13" t="s">
        <v>1501</v>
      </c>
      <c r="B56" s="14" t="s">
        <v>681</v>
      </c>
      <c r="C56" s="15" t="s">
        <v>1388</v>
      </c>
      <c r="D56" s="15" t="s">
        <v>1502</v>
      </c>
      <c r="E56" s="23" t="s">
        <v>19</v>
      </c>
      <c r="F56" s="16"/>
      <c r="G56" s="16"/>
      <c r="H56" s="19" t="n">
        <f aca="false">LEN(IF(F56&lt;&gt;"",F56,D56))</f>
        <v>46</v>
      </c>
      <c r="I56" s="24" t="str">
        <f aca="false">IF(OR(H56&lt;15,H56&gt;95),"분량 확인","")</f>
        <v/>
      </c>
    </row>
    <row r="57" customFormat="false" ht="33.75" hidden="false" customHeight="true" outlineLevel="0" collapsed="false">
      <c r="A57" s="13" t="s">
        <v>1503</v>
      </c>
      <c r="B57" s="14" t="s">
        <v>681</v>
      </c>
      <c r="C57" s="15" t="s">
        <v>1391</v>
      </c>
      <c r="D57" s="15" t="s">
        <v>1504</v>
      </c>
      <c r="E57" s="23" t="s">
        <v>19</v>
      </c>
      <c r="F57" s="16"/>
      <c r="G57" s="16"/>
      <c r="H57" s="19" t="n">
        <f aca="false">LEN(IF(F57&lt;&gt;"",F57,D57))</f>
        <v>45</v>
      </c>
      <c r="I57" s="24" t="str">
        <f aca="false">IF(OR(H57&lt;15,H57&gt;95),"분량 확인","")</f>
        <v/>
      </c>
    </row>
    <row r="58" customFormat="false" ht="48" hidden="false" customHeight="true" outlineLevel="0" collapsed="false">
      <c r="A58" s="13" t="s">
        <v>1505</v>
      </c>
      <c r="B58" s="14" t="s">
        <v>681</v>
      </c>
      <c r="C58" s="15" t="s">
        <v>1394</v>
      </c>
      <c r="D58" s="15" t="s">
        <v>1506</v>
      </c>
      <c r="E58" s="23" t="s">
        <v>19</v>
      </c>
      <c r="F58" s="16"/>
      <c r="G58" s="16"/>
      <c r="H58" s="19" t="n">
        <f aca="false">LEN(IF(F58&lt;&gt;"",F58,D58))</f>
        <v>65</v>
      </c>
      <c r="I58" s="24" t="str">
        <f aca="false">IF(OR(H58&lt;15,H58&gt;95),"분량 확인","")</f>
        <v/>
      </c>
    </row>
    <row r="59" customFormat="false" ht="33.75" hidden="false" customHeight="true" outlineLevel="0" collapsed="false">
      <c r="A59" s="13" t="s">
        <v>1507</v>
      </c>
      <c r="B59" s="14" t="s">
        <v>681</v>
      </c>
      <c r="C59" s="15" t="s">
        <v>1397</v>
      </c>
      <c r="D59" s="15" t="s">
        <v>1508</v>
      </c>
      <c r="E59" s="23" t="s">
        <v>19</v>
      </c>
      <c r="F59" s="16"/>
      <c r="G59" s="16"/>
      <c r="H59" s="19" t="n">
        <f aca="false">LEN(IF(F59&lt;&gt;"",F59,D59))</f>
        <v>45</v>
      </c>
      <c r="I59" s="24" t="str">
        <f aca="false">IF(OR(H59&lt;15,H59&gt;95),"분량 확인","")</f>
        <v/>
      </c>
    </row>
    <row r="60" customFormat="false" ht="33.75" hidden="false" customHeight="true" outlineLevel="0" collapsed="false">
      <c r="A60" s="13" t="s">
        <v>1509</v>
      </c>
      <c r="B60" s="14" t="s">
        <v>681</v>
      </c>
      <c r="C60" s="15" t="s">
        <v>1400</v>
      </c>
      <c r="D60" s="15" t="s">
        <v>1510</v>
      </c>
      <c r="E60" s="23" t="s">
        <v>19</v>
      </c>
      <c r="F60" s="16"/>
      <c r="G60" s="16"/>
      <c r="H60" s="19" t="n">
        <f aca="false">LEN(IF(F60&lt;&gt;"",F60,D60))</f>
        <v>46</v>
      </c>
      <c r="I60" s="24" t="str">
        <f aca="false">IF(OR(H60&lt;15,H60&gt;95),"분량 확인","")</f>
        <v/>
      </c>
    </row>
    <row r="61" customFormat="false" ht="33.75" hidden="false" customHeight="true" outlineLevel="0" collapsed="false">
      <c r="A61" s="13" t="s">
        <v>1511</v>
      </c>
      <c r="B61" s="14" t="s">
        <v>681</v>
      </c>
      <c r="C61" s="15" t="s">
        <v>1403</v>
      </c>
      <c r="D61" s="15" t="s">
        <v>1512</v>
      </c>
      <c r="E61" s="23" t="s">
        <v>19</v>
      </c>
      <c r="F61" s="16"/>
      <c r="G61" s="16"/>
      <c r="H61" s="19" t="n">
        <f aca="false">LEN(IF(F61&lt;&gt;"",F61,D61))</f>
        <v>58</v>
      </c>
      <c r="I61" s="24" t="str">
        <f aca="false">IF(OR(H61&lt;15,H61&gt;95),"분량 확인","")</f>
        <v/>
      </c>
    </row>
    <row r="62" customFormat="false" ht="33.75" hidden="false" customHeight="true" outlineLevel="0" collapsed="false">
      <c r="A62" s="13" t="s">
        <v>1513</v>
      </c>
      <c r="B62" s="14" t="s">
        <v>694</v>
      </c>
      <c r="C62" s="15" t="s">
        <v>1388</v>
      </c>
      <c r="D62" s="15" t="s">
        <v>1514</v>
      </c>
      <c r="E62" s="23" t="s">
        <v>19</v>
      </c>
      <c r="F62" s="16"/>
      <c r="G62" s="16"/>
      <c r="H62" s="19" t="n">
        <f aca="false">LEN(IF(F62&lt;&gt;"",F62,D62))</f>
        <v>40</v>
      </c>
      <c r="I62" s="24" t="str">
        <f aca="false">IF(OR(H62&lt;15,H62&gt;95),"분량 확인","")</f>
        <v/>
      </c>
    </row>
    <row r="63" customFormat="false" ht="33.75" hidden="false" customHeight="true" outlineLevel="0" collapsed="false">
      <c r="A63" s="13" t="s">
        <v>1515</v>
      </c>
      <c r="B63" s="14" t="s">
        <v>694</v>
      </c>
      <c r="C63" s="15" t="s">
        <v>1391</v>
      </c>
      <c r="D63" s="15" t="s">
        <v>1516</v>
      </c>
      <c r="E63" s="23" t="s">
        <v>19</v>
      </c>
      <c r="F63" s="16"/>
      <c r="G63" s="16"/>
      <c r="H63" s="19" t="n">
        <f aca="false">LEN(IF(F63&lt;&gt;"",F63,D63))</f>
        <v>42</v>
      </c>
      <c r="I63" s="24" t="str">
        <f aca="false">IF(OR(H63&lt;15,H63&gt;95),"분량 확인","")</f>
        <v/>
      </c>
    </row>
    <row r="64" customFormat="false" ht="48" hidden="false" customHeight="true" outlineLevel="0" collapsed="false">
      <c r="A64" s="13" t="s">
        <v>1517</v>
      </c>
      <c r="B64" s="14" t="s">
        <v>694</v>
      </c>
      <c r="C64" s="15" t="s">
        <v>1394</v>
      </c>
      <c r="D64" s="15" t="s">
        <v>1518</v>
      </c>
      <c r="E64" s="23" t="s">
        <v>19</v>
      </c>
      <c r="F64" s="16"/>
      <c r="G64" s="16"/>
      <c r="H64" s="19" t="n">
        <f aca="false">LEN(IF(F64&lt;&gt;"",F64,D64))</f>
        <v>67</v>
      </c>
      <c r="I64" s="24" t="str">
        <f aca="false">IF(OR(H64&lt;15,H64&gt;95),"분량 확인","")</f>
        <v/>
      </c>
    </row>
    <row r="65" customFormat="false" ht="33.75" hidden="false" customHeight="true" outlineLevel="0" collapsed="false">
      <c r="A65" s="13" t="s">
        <v>1519</v>
      </c>
      <c r="B65" s="14" t="s">
        <v>694</v>
      </c>
      <c r="C65" s="15" t="s">
        <v>1397</v>
      </c>
      <c r="D65" s="15" t="s">
        <v>1520</v>
      </c>
      <c r="E65" s="23" t="s">
        <v>19</v>
      </c>
      <c r="F65" s="16"/>
      <c r="G65" s="16"/>
      <c r="H65" s="19" t="n">
        <f aca="false">LEN(IF(F65&lt;&gt;"",F65,D65))</f>
        <v>44</v>
      </c>
      <c r="I65" s="24" t="str">
        <f aca="false">IF(OR(H65&lt;15,H65&gt;95),"분량 확인","")</f>
        <v/>
      </c>
    </row>
    <row r="66" customFormat="false" ht="33.75" hidden="false" customHeight="true" outlineLevel="0" collapsed="false">
      <c r="A66" s="13" t="s">
        <v>1521</v>
      </c>
      <c r="B66" s="14" t="s">
        <v>694</v>
      </c>
      <c r="C66" s="15" t="s">
        <v>1400</v>
      </c>
      <c r="D66" s="15" t="s">
        <v>1522</v>
      </c>
      <c r="E66" s="23" t="s">
        <v>19</v>
      </c>
      <c r="F66" s="16"/>
      <c r="G66" s="16"/>
      <c r="H66" s="19" t="n">
        <f aca="false">LEN(IF(F66&lt;&gt;"",F66,D66))</f>
        <v>52</v>
      </c>
      <c r="I66" s="24" t="str">
        <f aca="false">IF(OR(H66&lt;15,H66&gt;95),"분량 확인","")</f>
        <v/>
      </c>
    </row>
    <row r="67" customFormat="false" ht="48" hidden="false" customHeight="true" outlineLevel="0" collapsed="false">
      <c r="A67" s="13" t="s">
        <v>1523</v>
      </c>
      <c r="B67" s="14" t="s">
        <v>694</v>
      </c>
      <c r="C67" s="15" t="s">
        <v>1403</v>
      </c>
      <c r="D67" s="15" t="s">
        <v>1524</v>
      </c>
      <c r="E67" s="23" t="s">
        <v>19</v>
      </c>
      <c r="F67" s="16"/>
      <c r="G67" s="16"/>
      <c r="H67" s="19" t="n">
        <f aca="false">LEN(IF(F67&lt;&gt;"",F67,D67))</f>
        <v>69</v>
      </c>
      <c r="I67" s="24" t="str">
        <f aca="false">IF(OR(H67&lt;15,H67&gt;95),"분량 확인","")</f>
        <v/>
      </c>
    </row>
    <row r="68" customFormat="false" ht="33.75" hidden="false" customHeight="true" outlineLevel="0" collapsed="false">
      <c r="A68" s="13" t="s">
        <v>1525</v>
      </c>
      <c r="B68" s="14" t="s">
        <v>707</v>
      </c>
      <c r="C68" s="15" t="s">
        <v>1388</v>
      </c>
      <c r="D68" s="15" t="s">
        <v>1526</v>
      </c>
      <c r="E68" s="23" t="s">
        <v>19</v>
      </c>
      <c r="F68" s="16"/>
      <c r="G68" s="16"/>
      <c r="H68" s="19" t="n">
        <f aca="false">LEN(IF(F68&lt;&gt;"",F68,D68))</f>
        <v>41</v>
      </c>
      <c r="I68" s="24" t="str">
        <f aca="false">IF(OR(H68&lt;15,H68&gt;95),"분량 확인","")</f>
        <v/>
      </c>
    </row>
    <row r="69" customFormat="false" ht="33.75" hidden="false" customHeight="true" outlineLevel="0" collapsed="false">
      <c r="A69" s="13" t="s">
        <v>1527</v>
      </c>
      <c r="B69" s="14" t="s">
        <v>707</v>
      </c>
      <c r="C69" s="15" t="s">
        <v>1391</v>
      </c>
      <c r="D69" s="15" t="s">
        <v>1528</v>
      </c>
      <c r="E69" s="23" t="s">
        <v>19</v>
      </c>
      <c r="F69" s="16"/>
      <c r="G69" s="16"/>
      <c r="H69" s="19" t="n">
        <f aca="false">LEN(IF(F69&lt;&gt;"",F69,D69))</f>
        <v>41</v>
      </c>
      <c r="I69" s="24" t="str">
        <f aca="false">IF(OR(H69&lt;15,H69&gt;95),"분량 확인","")</f>
        <v/>
      </c>
    </row>
    <row r="70" customFormat="false" ht="33.75" hidden="false" customHeight="true" outlineLevel="0" collapsed="false">
      <c r="A70" s="13" t="s">
        <v>1529</v>
      </c>
      <c r="B70" s="14" t="s">
        <v>707</v>
      </c>
      <c r="C70" s="15" t="s">
        <v>1394</v>
      </c>
      <c r="D70" s="15" t="s">
        <v>1530</v>
      </c>
      <c r="E70" s="23" t="s">
        <v>19</v>
      </c>
      <c r="F70" s="16"/>
      <c r="G70" s="16"/>
      <c r="H70" s="19" t="n">
        <f aca="false">LEN(IF(F70&lt;&gt;"",F70,D70))</f>
        <v>53</v>
      </c>
      <c r="I70" s="24" t="str">
        <f aca="false">IF(OR(H70&lt;15,H70&gt;95),"분량 확인","")</f>
        <v/>
      </c>
    </row>
    <row r="71" customFormat="false" ht="33.75" hidden="false" customHeight="true" outlineLevel="0" collapsed="false">
      <c r="A71" s="13" t="s">
        <v>1531</v>
      </c>
      <c r="B71" s="14" t="s">
        <v>707</v>
      </c>
      <c r="C71" s="15" t="s">
        <v>1397</v>
      </c>
      <c r="D71" s="15" t="s">
        <v>1532</v>
      </c>
      <c r="E71" s="23" t="s">
        <v>19</v>
      </c>
      <c r="F71" s="16"/>
      <c r="G71" s="16"/>
      <c r="H71" s="19" t="n">
        <f aca="false">LEN(IF(F71&lt;&gt;"",F71,D71))</f>
        <v>43</v>
      </c>
      <c r="I71" s="24" t="str">
        <f aca="false">IF(OR(H71&lt;15,H71&gt;95),"분량 확인","")</f>
        <v/>
      </c>
    </row>
    <row r="72" customFormat="false" ht="33.75" hidden="false" customHeight="true" outlineLevel="0" collapsed="false">
      <c r="A72" s="13" t="s">
        <v>1533</v>
      </c>
      <c r="B72" s="14" t="s">
        <v>707</v>
      </c>
      <c r="C72" s="15" t="s">
        <v>1400</v>
      </c>
      <c r="D72" s="15" t="s">
        <v>1534</v>
      </c>
      <c r="E72" s="23" t="s">
        <v>19</v>
      </c>
      <c r="F72" s="16"/>
      <c r="G72" s="16"/>
      <c r="H72" s="19" t="n">
        <f aca="false">LEN(IF(F72&lt;&gt;"",F72,D72))</f>
        <v>40</v>
      </c>
      <c r="I72" s="24" t="str">
        <f aca="false">IF(OR(H72&lt;15,H72&gt;95),"분량 확인","")</f>
        <v/>
      </c>
    </row>
    <row r="73" customFormat="false" ht="33.75" hidden="false" customHeight="true" outlineLevel="0" collapsed="false">
      <c r="A73" s="13" t="s">
        <v>1535</v>
      </c>
      <c r="B73" s="14" t="s">
        <v>707</v>
      </c>
      <c r="C73" s="15" t="s">
        <v>1403</v>
      </c>
      <c r="D73" s="15" t="s">
        <v>1536</v>
      </c>
      <c r="E73" s="23" t="s">
        <v>19</v>
      </c>
      <c r="F73" s="16"/>
      <c r="G73" s="16"/>
      <c r="H73" s="19" t="n">
        <f aca="false">LEN(IF(F73&lt;&gt;"",F73,D73))</f>
        <v>55</v>
      </c>
      <c r="I73" s="24" t="str">
        <f aca="false">IF(OR(H73&lt;15,H73&gt;95),"분량 확인","")</f>
        <v/>
      </c>
    </row>
    <row r="74" customFormat="false" ht="33.75" hidden="false" customHeight="true" outlineLevel="0" collapsed="false">
      <c r="A74" s="13" t="s">
        <v>1537</v>
      </c>
      <c r="B74" s="14" t="s">
        <v>32</v>
      </c>
      <c r="C74" s="15" t="s">
        <v>1388</v>
      </c>
      <c r="D74" s="15" t="s">
        <v>1538</v>
      </c>
      <c r="E74" s="23" t="s">
        <v>19</v>
      </c>
      <c r="F74" s="16"/>
      <c r="G74" s="16"/>
      <c r="H74" s="19" t="n">
        <f aca="false">LEN(IF(F74&lt;&gt;"",F74,D74))</f>
        <v>38</v>
      </c>
      <c r="I74" s="24" t="str">
        <f aca="false">IF(OR(H74&lt;15,H74&gt;95),"분량 확인","")</f>
        <v/>
      </c>
    </row>
    <row r="75" customFormat="false" ht="33.75" hidden="false" customHeight="true" outlineLevel="0" collapsed="false">
      <c r="A75" s="13" t="s">
        <v>1539</v>
      </c>
      <c r="B75" s="14" t="s">
        <v>32</v>
      </c>
      <c r="C75" s="15" t="s">
        <v>1391</v>
      </c>
      <c r="D75" s="15" t="s">
        <v>1540</v>
      </c>
      <c r="E75" s="23" t="s">
        <v>19</v>
      </c>
      <c r="F75" s="16"/>
      <c r="G75" s="16"/>
      <c r="H75" s="19" t="n">
        <f aca="false">LEN(IF(F75&lt;&gt;"",F75,D75))</f>
        <v>40</v>
      </c>
      <c r="I75" s="24" t="str">
        <f aca="false">IF(OR(H75&lt;15,H75&gt;95),"분량 확인","")</f>
        <v/>
      </c>
    </row>
    <row r="76" customFormat="false" ht="33.75" hidden="false" customHeight="true" outlineLevel="0" collapsed="false">
      <c r="A76" s="13" t="s">
        <v>1541</v>
      </c>
      <c r="B76" s="14" t="s">
        <v>32</v>
      </c>
      <c r="C76" s="15" t="s">
        <v>1394</v>
      </c>
      <c r="D76" s="15" t="s">
        <v>1542</v>
      </c>
      <c r="E76" s="23" t="s">
        <v>19</v>
      </c>
      <c r="F76" s="16"/>
      <c r="G76" s="16"/>
      <c r="H76" s="19" t="n">
        <f aca="false">LEN(IF(F76&lt;&gt;"",F76,D76))</f>
        <v>53</v>
      </c>
      <c r="I76" s="24" t="str">
        <f aca="false">IF(OR(H76&lt;15,H76&gt;95),"분량 확인","")</f>
        <v/>
      </c>
    </row>
    <row r="77" customFormat="false" ht="33.75" hidden="false" customHeight="true" outlineLevel="0" collapsed="false">
      <c r="A77" s="13" t="s">
        <v>1543</v>
      </c>
      <c r="B77" s="14" t="s">
        <v>32</v>
      </c>
      <c r="C77" s="15" t="s">
        <v>1397</v>
      </c>
      <c r="D77" s="15" t="s">
        <v>1544</v>
      </c>
      <c r="E77" s="23" t="s">
        <v>19</v>
      </c>
      <c r="F77" s="16"/>
      <c r="G77" s="16"/>
      <c r="H77" s="19" t="n">
        <f aca="false">LEN(IF(F77&lt;&gt;"",F77,D77))</f>
        <v>44</v>
      </c>
      <c r="I77" s="24" t="str">
        <f aca="false">IF(OR(H77&lt;15,H77&gt;95),"분량 확인","")</f>
        <v/>
      </c>
    </row>
    <row r="78" customFormat="false" ht="33.75" hidden="false" customHeight="true" outlineLevel="0" collapsed="false">
      <c r="A78" s="13" t="s">
        <v>1545</v>
      </c>
      <c r="B78" s="14" t="s">
        <v>32</v>
      </c>
      <c r="C78" s="15" t="s">
        <v>1400</v>
      </c>
      <c r="D78" s="15" t="s">
        <v>1546</v>
      </c>
      <c r="E78" s="23" t="s">
        <v>19</v>
      </c>
      <c r="F78" s="16"/>
      <c r="G78" s="16"/>
      <c r="H78" s="19" t="n">
        <f aca="false">LEN(IF(F78&lt;&gt;"",F78,D78))</f>
        <v>47</v>
      </c>
      <c r="I78" s="24" t="str">
        <f aca="false">IF(OR(H78&lt;15,H78&gt;95),"분량 확인","")</f>
        <v/>
      </c>
    </row>
    <row r="79" customFormat="false" ht="33.75" hidden="false" customHeight="true" outlineLevel="0" collapsed="false">
      <c r="A79" s="13" t="s">
        <v>1547</v>
      </c>
      <c r="B79" s="14" t="s">
        <v>32</v>
      </c>
      <c r="C79" s="15" t="s">
        <v>1403</v>
      </c>
      <c r="D79" s="15" t="s">
        <v>1548</v>
      </c>
      <c r="E79" s="23" t="s">
        <v>19</v>
      </c>
      <c r="F79" s="16"/>
      <c r="G79" s="16"/>
      <c r="H79" s="19" t="n">
        <f aca="false">LEN(IF(F79&lt;&gt;"",F79,D79))</f>
        <v>55</v>
      </c>
      <c r="I79" s="24" t="str">
        <f aca="false">IF(OR(H79&lt;15,H79&gt;95),"분량 확인","")</f>
        <v/>
      </c>
    </row>
    <row r="80" customFormat="false" ht="33.75" hidden="false" customHeight="true" outlineLevel="0" collapsed="false">
      <c r="A80" s="13" t="s">
        <v>1549</v>
      </c>
      <c r="B80" s="14" t="s">
        <v>732</v>
      </c>
      <c r="C80" s="15" t="s">
        <v>1388</v>
      </c>
      <c r="D80" s="15" t="s">
        <v>1550</v>
      </c>
      <c r="E80" s="23" t="s">
        <v>19</v>
      </c>
      <c r="F80" s="16"/>
      <c r="G80" s="16"/>
      <c r="H80" s="19" t="n">
        <f aca="false">LEN(IF(F80&lt;&gt;"",F80,D80))</f>
        <v>46</v>
      </c>
      <c r="I80" s="24" t="str">
        <f aca="false">IF(OR(H80&lt;15,H80&gt;95),"분량 확인","")</f>
        <v/>
      </c>
    </row>
    <row r="81" customFormat="false" ht="33.75" hidden="false" customHeight="true" outlineLevel="0" collapsed="false">
      <c r="A81" s="13" t="s">
        <v>1551</v>
      </c>
      <c r="B81" s="14" t="s">
        <v>732</v>
      </c>
      <c r="C81" s="15" t="s">
        <v>1391</v>
      </c>
      <c r="D81" s="15" t="s">
        <v>1552</v>
      </c>
      <c r="E81" s="23" t="s">
        <v>19</v>
      </c>
      <c r="F81" s="16"/>
      <c r="G81" s="16"/>
      <c r="H81" s="19" t="n">
        <f aca="false">LEN(IF(F81&lt;&gt;"",F81,D81))</f>
        <v>42</v>
      </c>
      <c r="I81" s="24" t="str">
        <f aca="false">IF(OR(H81&lt;15,H81&gt;95),"분량 확인","")</f>
        <v/>
      </c>
    </row>
    <row r="82" customFormat="false" ht="48" hidden="false" customHeight="true" outlineLevel="0" collapsed="false">
      <c r="A82" s="13" t="s">
        <v>1553</v>
      </c>
      <c r="B82" s="14" t="s">
        <v>732</v>
      </c>
      <c r="C82" s="15" t="s">
        <v>1394</v>
      </c>
      <c r="D82" s="15" t="s">
        <v>1554</v>
      </c>
      <c r="E82" s="23" t="s">
        <v>19</v>
      </c>
      <c r="F82" s="16"/>
      <c r="G82" s="16"/>
      <c r="H82" s="19" t="n">
        <f aca="false">LEN(IF(F82&lt;&gt;"",F82,D82))</f>
        <v>60</v>
      </c>
      <c r="I82" s="24" t="str">
        <f aca="false">IF(OR(H82&lt;15,H82&gt;95),"분량 확인","")</f>
        <v/>
      </c>
    </row>
    <row r="83" customFormat="false" ht="33.75" hidden="false" customHeight="true" outlineLevel="0" collapsed="false">
      <c r="A83" s="13" t="s">
        <v>1555</v>
      </c>
      <c r="B83" s="14" t="s">
        <v>732</v>
      </c>
      <c r="C83" s="15" t="s">
        <v>1397</v>
      </c>
      <c r="D83" s="15" t="s">
        <v>1556</v>
      </c>
      <c r="E83" s="23" t="s">
        <v>19</v>
      </c>
      <c r="F83" s="16"/>
      <c r="G83" s="16"/>
      <c r="H83" s="19" t="n">
        <f aca="false">LEN(IF(F83&lt;&gt;"",F83,D83))</f>
        <v>43</v>
      </c>
      <c r="I83" s="24" t="str">
        <f aca="false">IF(OR(H83&lt;15,H83&gt;95),"분량 확인","")</f>
        <v/>
      </c>
    </row>
    <row r="84" customFormat="false" ht="33.75" hidden="false" customHeight="true" outlineLevel="0" collapsed="false">
      <c r="A84" s="13" t="s">
        <v>1557</v>
      </c>
      <c r="B84" s="14" t="s">
        <v>732</v>
      </c>
      <c r="C84" s="15" t="s">
        <v>1400</v>
      </c>
      <c r="D84" s="15" t="s">
        <v>1558</v>
      </c>
      <c r="E84" s="23" t="s">
        <v>19</v>
      </c>
      <c r="F84" s="16"/>
      <c r="G84" s="16"/>
      <c r="H84" s="19" t="n">
        <f aca="false">LEN(IF(F84&lt;&gt;"",F84,D84))</f>
        <v>48</v>
      </c>
      <c r="I84" s="24" t="str">
        <f aca="false">IF(OR(H84&lt;15,H84&gt;95),"분량 확인","")</f>
        <v/>
      </c>
    </row>
    <row r="85" customFormat="false" ht="33.75" hidden="false" customHeight="true" outlineLevel="0" collapsed="false">
      <c r="A85" s="13" t="s">
        <v>1559</v>
      </c>
      <c r="B85" s="14" t="s">
        <v>732</v>
      </c>
      <c r="C85" s="15" t="s">
        <v>1403</v>
      </c>
      <c r="D85" s="15" t="s">
        <v>1560</v>
      </c>
      <c r="E85" s="23" t="s">
        <v>19</v>
      </c>
      <c r="F85" s="16"/>
      <c r="G85" s="16"/>
      <c r="H85" s="19" t="n">
        <f aca="false">LEN(IF(F85&lt;&gt;"",F85,D85))</f>
        <v>55</v>
      </c>
      <c r="I85" s="24" t="str">
        <f aca="false">IF(OR(H85&lt;15,H85&gt;95),"분량 확인","")</f>
        <v/>
      </c>
    </row>
    <row r="86" customFormat="false" ht="33.75" hidden="false" customHeight="true" outlineLevel="0" collapsed="false">
      <c r="A86" s="13" t="s">
        <v>1561</v>
      </c>
      <c r="B86" s="14" t="s">
        <v>745</v>
      </c>
      <c r="C86" s="15" t="s">
        <v>1388</v>
      </c>
      <c r="D86" s="15" t="s">
        <v>1562</v>
      </c>
      <c r="E86" s="23" t="s">
        <v>19</v>
      </c>
      <c r="F86" s="16"/>
      <c r="G86" s="16"/>
      <c r="H86" s="19" t="n">
        <f aca="false">LEN(IF(F86&lt;&gt;"",F86,D86))</f>
        <v>43</v>
      </c>
      <c r="I86" s="24" t="str">
        <f aca="false">IF(OR(H86&lt;15,H86&gt;95),"분량 확인","")</f>
        <v/>
      </c>
    </row>
    <row r="87" customFormat="false" ht="33.75" hidden="false" customHeight="true" outlineLevel="0" collapsed="false">
      <c r="A87" s="13" t="s">
        <v>1563</v>
      </c>
      <c r="B87" s="14" t="s">
        <v>745</v>
      </c>
      <c r="C87" s="15" t="s">
        <v>1391</v>
      </c>
      <c r="D87" s="15" t="s">
        <v>1564</v>
      </c>
      <c r="E87" s="23" t="s">
        <v>19</v>
      </c>
      <c r="F87" s="16"/>
      <c r="G87" s="16"/>
      <c r="H87" s="19" t="n">
        <f aca="false">LEN(IF(F87&lt;&gt;"",F87,D87))</f>
        <v>40</v>
      </c>
      <c r="I87" s="24" t="str">
        <f aca="false">IF(OR(H87&lt;15,H87&gt;95),"분량 확인","")</f>
        <v/>
      </c>
    </row>
    <row r="88" customFormat="false" ht="33.75" hidden="false" customHeight="true" outlineLevel="0" collapsed="false">
      <c r="A88" s="13" t="s">
        <v>1565</v>
      </c>
      <c r="B88" s="14" t="s">
        <v>745</v>
      </c>
      <c r="C88" s="15" t="s">
        <v>1394</v>
      </c>
      <c r="D88" s="15" t="s">
        <v>1566</v>
      </c>
      <c r="E88" s="23" t="s">
        <v>19</v>
      </c>
      <c r="F88" s="16"/>
      <c r="G88" s="16"/>
      <c r="H88" s="19" t="n">
        <f aca="false">LEN(IF(F88&lt;&gt;"",F88,D88))</f>
        <v>48</v>
      </c>
      <c r="I88" s="24" t="str">
        <f aca="false">IF(OR(H88&lt;15,H88&gt;95),"분량 확인","")</f>
        <v/>
      </c>
    </row>
    <row r="89" customFormat="false" ht="33.75" hidden="false" customHeight="true" outlineLevel="0" collapsed="false">
      <c r="A89" s="13" t="s">
        <v>1567</v>
      </c>
      <c r="B89" s="14" t="s">
        <v>745</v>
      </c>
      <c r="C89" s="15" t="s">
        <v>1397</v>
      </c>
      <c r="D89" s="15" t="s">
        <v>1568</v>
      </c>
      <c r="E89" s="23" t="s">
        <v>19</v>
      </c>
      <c r="F89" s="16"/>
      <c r="G89" s="16"/>
      <c r="H89" s="19" t="n">
        <f aca="false">LEN(IF(F89&lt;&gt;"",F89,D89))</f>
        <v>41</v>
      </c>
      <c r="I89" s="24" t="str">
        <f aca="false">IF(OR(H89&lt;15,H89&gt;95),"분량 확인","")</f>
        <v/>
      </c>
    </row>
    <row r="90" customFormat="false" ht="33.75" hidden="false" customHeight="true" outlineLevel="0" collapsed="false">
      <c r="A90" s="13" t="s">
        <v>1569</v>
      </c>
      <c r="B90" s="14" t="s">
        <v>745</v>
      </c>
      <c r="C90" s="15" t="s">
        <v>1400</v>
      </c>
      <c r="D90" s="15" t="s">
        <v>1570</v>
      </c>
      <c r="E90" s="23" t="s">
        <v>19</v>
      </c>
      <c r="F90" s="16"/>
      <c r="G90" s="16"/>
      <c r="H90" s="19" t="n">
        <f aca="false">LEN(IF(F90&lt;&gt;"",F90,D90))</f>
        <v>45</v>
      </c>
      <c r="I90" s="24" t="str">
        <f aca="false">IF(OR(H90&lt;15,H90&gt;95),"분량 확인","")</f>
        <v/>
      </c>
    </row>
    <row r="91" customFormat="false" ht="33.75" hidden="false" customHeight="true" outlineLevel="0" collapsed="false">
      <c r="A91" s="13" t="s">
        <v>1571</v>
      </c>
      <c r="B91" s="14" t="s">
        <v>745</v>
      </c>
      <c r="C91" s="15" t="s">
        <v>1403</v>
      </c>
      <c r="D91" s="15" t="s">
        <v>1572</v>
      </c>
      <c r="E91" s="23" t="s">
        <v>19</v>
      </c>
      <c r="F91" s="16"/>
      <c r="G91" s="16"/>
      <c r="H91" s="19" t="n">
        <f aca="false">LEN(IF(F91&lt;&gt;"",F91,D91))</f>
        <v>51</v>
      </c>
      <c r="I91" s="24" t="str">
        <f aca="false">IF(OR(H91&lt;15,H91&gt;95),"분량 확인","")</f>
        <v/>
      </c>
    </row>
    <row r="92" customFormat="false" ht="33.75" hidden="false" customHeight="true" outlineLevel="0" collapsed="false">
      <c r="A92" s="13" t="s">
        <v>1573</v>
      </c>
      <c r="B92" s="14" t="s">
        <v>758</v>
      </c>
      <c r="C92" s="15" t="s">
        <v>1388</v>
      </c>
      <c r="D92" s="15" t="s">
        <v>1574</v>
      </c>
      <c r="E92" s="23" t="s">
        <v>19</v>
      </c>
      <c r="F92" s="16"/>
      <c r="G92" s="16"/>
      <c r="H92" s="19" t="n">
        <f aca="false">LEN(IF(F92&lt;&gt;"",F92,D92))</f>
        <v>41</v>
      </c>
      <c r="I92" s="24" t="str">
        <f aca="false">IF(OR(H92&lt;15,H92&gt;95),"분량 확인","")</f>
        <v/>
      </c>
    </row>
    <row r="93" customFormat="false" ht="33.75" hidden="false" customHeight="true" outlineLevel="0" collapsed="false">
      <c r="A93" s="13" t="s">
        <v>1575</v>
      </c>
      <c r="B93" s="14" t="s">
        <v>758</v>
      </c>
      <c r="C93" s="15" t="s">
        <v>1391</v>
      </c>
      <c r="D93" s="15" t="s">
        <v>1576</v>
      </c>
      <c r="E93" s="23" t="s">
        <v>19</v>
      </c>
      <c r="F93" s="16"/>
      <c r="G93" s="16"/>
      <c r="H93" s="19" t="n">
        <f aca="false">LEN(IF(F93&lt;&gt;"",F93,D93))</f>
        <v>41</v>
      </c>
      <c r="I93" s="24" t="str">
        <f aca="false">IF(OR(H93&lt;15,H93&gt;95),"분량 확인","")</f>
        <v/>
      </c>
    </row>
    <row r="94" customFormat="false" ht="33.75" hidden="false" customHeight="true" outlineLevel="0" collapsed="false">
      <c r="A94" s="13" t="s">
        <v>1577</v>
      </c>
      <c r="B94" s="14" t="s">
        <v>758</v>
      </c>
      <c r="C94" s="15" t="s">
        <v>1394</v>
      </c>
      <c r="D94" s="15" t="s">
        <v>1578</v>
      </c>
      <c r="E94" s="23" t="s">
        <v>19</v>
      </c>
      <c r="F94" s="16"/>
      <c r="G94" s="16"/>
      <c r="H94" s="19" t="n">
        <f aca="false">LEN(IF(F94&lt;&gt;"",F94,D94))</f>
        <v>55</v>
      </c>
      <c r="I94" s="24" t="str">
        <f aca="false">IF(OR(H94&lt;15,H94&gt;95),"분량 확인","")</f>
        <v/>
      </c>
    </row>
    <row r="95" customFormat="false" ht="33.75" hidden="false" customHeight="true" outlineLevel="0" collapsed="false">
      <c r="A95" s="13" t="s">
        <v>1579</v>
      </c>
      <c r="B95" s="14" t="s">
        <v>758</v>
      </c>
      <c r="C95" s="15" t="s">
        <v>1397</v>
      </c>
      <c r="D95" s="15" t="s">
        <v>1580</v>
      </c>
      <c r="E95" s="23" t="s">
        <v>19</v>
      </c>
      <c r="F95" s="16"/>
      <c r="G95" s="16"/>
      <c r="H95" s="19" t="n">
        <f aca="false">LEN(IF(F95&lt;&gt;"",F95,D95))</f>
        <v>41</v>
      </c>
      <c r="I95" s="24" t="str">
        <f aca="false">IF(OR(H95&lt;15,H95&gt;95),"분량 확인","")</f>
        <v/>
      </c>
    </row>
    <row r="96" customFormat="false" ht="33.75" hidden="false" customHeight="true" outlineLevel="0" collapsed="false">
      <c r="A96" s="13" t="s">
        <v>1581</v>
      </c>
      <c r="B96" s="14" t="s">
        <v>758</v>
      </c>
      <c r="C96" s="15" t="s">
        <v>1400</v>
      </c>
      <c r="D96" s="15" t="s">
        <v>1582</v>
      </c>
      <c r="E96" s="23" t="s">
        <v>19</v>
      </c>
      <c r="F96" s="16"/>
      <c r="G96" s="16"/>
      <c r="H96" s="19" t="n">
        <f aca="false">LEN(IF(F96&lt;&gt;"",F96,D96))</f>
        <v>49</v>
      </c>
      <c r="I96" s="24" t="str">
        <f aca="false">IF(OR(H96&lt;15,H96&gt;95),"분량 확인","")</f>
        <v/>
      </c>
    </row>
    <row r="97" customFormat="false" ht="33.75" hidden="false" customHeight="true" outlineLevel="0" collapsed="false">
      <c r="A97" s="13" t="s">
        <v>1583</v>
      </c>
      <c r="B97" s="14" t="s">
        <v>758</v>
      </c>
      <c r="C97" s="15" t="s">
        <v>1403</v>
      </c>
      <c r="D97" s="15" t="s">
        <v>1584</v>
      </c>
      <c r="E97" s="23" t="s">
        <v>19</v>
      </c>
      <c r="F97" s="16"/>
      <c r="G97" s="16"/>
      <c r="H97" s="19" t="n">
        <f aca="false">LEN(IF(F97&lt;&gt;"",F97,D97))</f>
        <v>56</v>
      </c>
      <c r="I97" s="24" t="str">
        <f aca="false">IF(OR(H97&lt;15,H97&gt;95),"분량 확인","")</f>
        <v/>
      </c>
    </row>
    <row r="98" customFormat="false" ht="33.75" hidden="false" customHeight="true" outlineLevel="0" collapsed="false">
      <c r="A98" s="13" t="s">
        <v>1585</v>
      </c>
      <c r="B98" s="14" t="s">
        <v>771</v>
      </c>
      <c r="C98" s="15" t="s">
        <v>1388</v>
      </c>
      <c r="D98" s="15" t="s">
        <v>1586</v>
      </c>
      <c r="E98" s="23" t="s">
        <v>19</v>
      </c>
      <c r="F98" s="16"/>
      <c r="G98" s="16"/>
      <c r="H98" s="19" t="n">
        <f aca="false">LEN(IF(F98&lt;&gt;"",F98,D98))</f>
        <v>42</v>
      </c>
      <c r="I98" s="24" t="str">
        <f aca="false">IF(OR(H98&lt;15,H98&gt;95),"분량 확인","")</f>
        <v/>
      </c>
    </row>
    <row r="99" customFormat="false" ht="33.75" hidden="false" customHeight="true" outlineLevel="0" collapsed="false">
      <c r="A99" s="13" t="s">
        <v>1587</v>
      </c>
      <c r="B99" s="14" t="s">
        <v>771</v>
      </c>
      <c r="C99" s="15" t="s">
        <v>1391</v>
      </c>
      <c r="D99" s="15" t="s">
        <v>1588</v>
      </c>
      <c r="E99" s="23" t="s">
        <v>19</v>
      </c>
      <c r="F99" s="16"/>
      <c r="G99" s="16"/>
      <c r="H99" s="19" t="n">
        <f aca="false">LEN(IF(F99&lt;&gt;"",F99,D99))</f>
        <v>40</v>
      </c>
      <c r="I99" s="24" t="str">
        <f aca="false">IF(OR(H99&lt;15,H99&gt;95),"분량 확인","")</f>
        <v/>
      </c>
    </row>
    <row r="100" customFormat="false" ht="33.75" hidden="false" customHeight="true" outlineLevel="0" collapsed="false">
      <c r="A100" s="13" t="s">
        <v>1589</v>
      </c>
      <c r="B100" s="14" t="s">
        <v>771</v>
      </c>
      <c r="C100" s="15" t="s">
        <v>1394</v>
      </c>
      <c r="D100" s="15" t="s">
        <v>1590</v>
      </c>
      <c r="E100" s="23" t="s">
        <v>19</v>
      </c>
      <c r="F100" s="16"/>
      <c r="G100" s="16"/>
      <c r="H100" s="19" t="n">
        <f aca="false">LEN(IF(F100&lt;&gt;"",F100,D100))</f>
        <v>53</v>
      </c>
      <c r="I100" s="24" t="str">
        <f aca="false">IF(OR(H100&lt;15,H100&gt;95),"분량 확인","")</f>
        <v/>
      </c>
    </row>
    <row r="101" customFormat="false" ht="33.75" hidden="false" customHeight="true" outlineLevel="0" collapsed="false">
      <c r="A101" s="13" t="s">
        <v>1591</v>
      </c>
      <c r="B101" s="14" t="s">
        <v>771</v>
      </c>
      <c r="C101" s="15" t="s">
        <v>1397</v>
      </c>
      <c r="D101" s="15" t="s">
        <v>1592</v>
      </c>
      <c r="E101" s="23" t="s">
        <v>19</v>
      </c>
      <c r="F101" s="16"/>
      <c r="G101" s="16"/>
      <c r="H101" s="19" t="n">
        <f aca="false">LEN(IF(F101&lt;&gt;"",F101,D101))</f>
        <v>42</v>
      </c>
      <c r="I101" s="24" t="str">
        <f aca="false">IF(OR(H101&lt;15,H101&gt;95),"분량 확인","")</f>
        <v/>
      </c>
    </row>
    <row r="102" customFormat="false" ht="33.75" hidden="false" customHeight="true" outlineLevel="0" collapsed="false">
      <c r="A102" s="13" t="s">
        <v>1593</v>
      </c>
      <c r="B102" s="14" t="s">
        <v>771</v>
      </c>
      <c r="C102" s="15" t="s">
        <v>1400</v>
      </c>
      <c r="D102" s="15" t="s">
        <v>1594</v>
      </c>
      <c r="E102" s="23" t="s">
        <v>19</v>
      </c>
      <c r="F102" s="16"/>
      <c r="G102" s="16"/>
      <c r="H102" s="19" t="n">
        <f aca="false">LEN(IF(F102&lt;&gt;"",F102,D102))</f>
        <v>41</v>
      </c>
      <c r="I102" s="24" t="str">
        <f aca="false">IF(OR(H102&lt;15,H102&gt;95),"분량 확인","")</f>
        <v/>
      </c>
    </row>
    <row r="103" customFormat="false" ht="33.75" hidden="false" customHeight="true" outlineLevel="0" collapsed="false">
      <c r="A103" s="13" t="s">
        <v>1595</v>
      </c>
      <c r="B103" s="14" t="s">
        <v>771</v>
      </c>
      <c r="C103" s="15" t="s">
        <v>1403</v>
      </c>
      <c r="D103" s="15" t="s">
        <v>1596</v>
      </c>
      <c r="E103" s="23" t="s">
        <v>19</v>
      </c>
      <c r="F103" s="16"/>
      <c r="G103" s="16"/>
      <c r="H103" s="19" t="n">
        <f aca="false">LEN(IF(F103&lt;&gt;"",F103,D103))</f>
        <v>53</v>
      </c>
      <c r="I103" s="24" t="str">
        <f aca="false">IF(OR(H103&lt;15,H103&gt;95),"분량 확인","")</f>
        <v/>
      </c>
    </row>
    <row r="104" customFormat="false" ht="33.75" hidden="false" customHeight="true" outlineLevel="0" collapsed="false">
      <c r="A104" s="13" t="s">
        <v>1597</v>
      </c>
      <c r="B104" s="14" t="s">
        <v>784</v>
      </c>
      <c r="C104" s="15" t="s">
        <v>1388</v>
      </c>
      <c r="D104" s="15" t="s">
        <v>1598</v>
      </c>
      <c r="E104" s="23" t="s">
        <v>19</v>
      </c>
      <c r="F104" s="16"/>
      <c r="G104" s="16"/>
      <c r="H104" s="19" t="n">
        <f aca="false">LEN(IF(F104&lt;&gt;"",F104,D104))</f>
        <v>41</v>
      </c>
      <c r="I104" s="24" t="str">
        <f aca="false">IF(OR(H104&lt;15,H104&gt;95),"분량 확인","")</f>
        <v/>
      </c>
    </row>
    <row r="105" customFormat="false" ht="33.75" hidden="false" customHeight="true" outlineLevel="0" collapsed="false">
      <c r="A105" s="13" t="s">
        <v>1599</v>
      </c>
      <c r="B105" s="14" t="s">
        <v>784</v>
      </c>
      <c r="C105" s="15" t="s">
        <v>1391</v>
      </c>
      <c r="D105" s="15" t="s">
        <v>1600</v>
      </c>
      <c r="E105" s="23" t="s">
        <v>19</v>
      </c>
      <c r="F105" s="16"/>
      <c r="G105" s="16"/>
      <c r="H105" s="19" t="n">
        <f aca="false">LEN(IF(F105&lt;&gt;"",F105,D105))</f>
        <v>43</v>
      </c>
      <c r="I105" s="24" t="str">
        <f aca="false">IF(OR(H105&lt;15,H105&gt;95),"분량 확인","")</f>
        <v/>
      </c>
    </row>
    <row r="106" customFormat="false" ht="33.75" hidden="false" customHeight="true" outlineLevel="0" collapsed="false">
      <c r="A106" s="13" t="s">
        <v>1601</v>
      </c>
      <c r="B106" s="14" t="s">
        <v>784</v>
      </c>
      <c r="C106" s="15" t="s">
        <v>1394</v>
      </c>
      <c r="D106" s="15" t="s">
        <v>1602</v>
      </c>
      <c r="E106" s="23" t="s">
        <v>19</v>
      </c>
      <c r="F106" s="16"/>
      <c r="G106" s="16"/>
      <c r="H106" s="19" t="n">
        <f aca="false">LEN(IF(F106&lt;&gt;"",F106,D106))</f>
        <v>58</v>
      </c>
      <c r="I106" s="24" t="str">
        <f aca="false">IF(OR(H106&lt;15,H106&gt;95),"분량 확인","")</f>
        <v/>
      </c>
    </row>
    <row r="107" customFormat="false" ht="33.75" hidden="false" customHeight="true" outlineLevel="0" collapsed="false">
      <c r="A107" s="13" t="s">
        <v>1603</v>
      </c>
      <c r="B107" s="14" t="s">
        <v>784</v>
      </c>
      <c r="C107" s="15" t="s">
        <v>1397</v>
      </c>
      <c r="D107" s="15" t="s">
        <v>1604</v>
      </c>
      <c r="E107" s="23" t="s">
        <v>19</v>
      </c>
      <c r="F107" s="16"/>
      <c r="G107" s="16"/>
      <c r="H107" s="19" t="n">
        <f aca="false">LEN(IF(F107&lt;&gt;"",F107,D107))</f>
        <v>47</v>
      </c>
      <c r="I107" s="24" t="str">
        <f aca="false">IF(OR(H107&lt;15,H107&gt;95),"분량 확인","")</f>
        <v/>
      </c>
    </row>
    <row r="108" customFormat="false" ht="33.75" hidden="false" customHeight="true" outlineLevel="0" collapsed="false">
      <c r="A108" s="13" t="s">
        <v>1605</v>
      </c>
      <c r="B108" s="14" t="s">
        <v>784</v>
      </c>
      <c r="C108" s="15" t="s">
        <v>1400</v>
      </c>
      <c r="D108" s="15" t="s">
        <v>1606</v>
      </c>
      <c r="E108" s="23" t="s">
        <v>19</v>
      </c>
      <c r="F108" s="16"/>
      <c r="G108" s="16"/>
      <c r="H108" s="19" t="n">
        <f aca="false">LEN(IF(F108&lt;&gt;"",F108,D108))</f>
        <v>52</v>
      </c>
      <c r="I108" s="24" t="str">
        <f aca="false">IF(OR(H108&lt;15,H108&gt;95),"분량 확인","")</f>
        <v/>
      </c>
    </row>
    <row r="109" customFormat="false" ht="33.75" hidden="false" customHeight="true" outlineLevel="0" collapsed="false">
      <c r="A109" s="13" t="s">
        <v>1607</v>
      </c>
      <c r="B109" s="14" t="s">
        <v>784</v>
      </c>
      <c r="C109" s="15" t="s">
        <v>1403</v>
      </c>
      <c r="D109" s="15" t="s">
        <v>1608</v>
      </c>
      <c r="E109" s="23" t="s">
        <v>19</v>
      </c>
      <c r="F109" s="16"/>
      <c r="G109" s="16"/>
      <c r="H109" s="19" t="n">
        <f aca="false">LEN(IF(F109&lt;&gt;"",F109,D109))</f>
        <v>56</v>
      </c>
      <c r="I109" s="24" t="str">
        <f aca="false">IF(OR(H109&lt;15,H109&gt;95),"분량 확인","")</f>
        <v/>
      </c>
    </row>
    <row r="110" customFormat="false" ht="33.75" hidden="false" customHeight="true" outlineLevel="0" collapsed="false">
      <c r="A110" s="13" t="s">
        <v>1609</v>
      </c>
      <c r="B110" s="14" t="s">
        <v>797</v>
      </c>
      <c r="C110" s="15" t="s">
        <v>1388</v>
      </c>
      <c r="D110" s="15" t="s">
        <v>1610</v>
      </c>
      <c r="E110" s="23" t="s">
        <v>19</v>
      </c>
      <c r="F110" s="16"/>
      <c r="G110" s="16"/>
      <c r="H110" s="19" t="n">
        <f aca="false">LEN(IF(F110&lt;&gt;"",F110,D110))</f>
        <v>41</v>
      </c>
      <c r="I110" s="24" t="str">
        <f aca="false">IF(OR(H110&lt;15,H110&gt;95),"분량 확인","")</f>
        <v/>
      </c>
    </row>
    <row r="111" customFormat="false" ht="33.75" hidden="false" customHeight="true" outlineLevel="0" collapsed="false">
      <c r="A111" s="13" t="s">
        <v>1611</v>
      </c>
      <c r="B111" s="14" t="s">
        <v>797</v>
      </c>
      <c r="C111" s="15" t="s">
        <v>1391</v>
      </c>
      <c r="D111" s="15" t="s">
        <v>1612</v>
      </c>
      <c r="E111" s="23" t="s">
        <v>19</v>
      </c>
      <c r="F111" s="16"/>
      <c r="G111" s="16"/>
      <c r="H111" s="19" t="n">
        <f aca="false">LEN(IF(F111&lt;&gt;"",F111,D111))</f>
        <v>51</v>
      </c>
      <c r="I111" s="24" t="str">
        <f aca="false">IF(OR(H111&lt;15,H111&gt;95),"분량 확인","")</f>
        <v/>
      </c>
    </row>
    <row r="112" customFormat="false" ht="48" hidden="false" customHeight="true" outlineLevel="0" collapsed="false">
      <c r="A112" s="13" t="s">
        <v>1613</v>
      </c>
      <c r="B112" s="14" t="s">
        <v>797</v>
      </c>
      <c r="C112" s="15" t="s">
        <v>1394</v>
      </c>
      <c r="D112" s="15" t="s">
        <v>1614</v>
      </c>
      <c r="E112" s="23" t="s">
        <v>19</v>
      </c>
      <c r="F112" s="16"/>
      <c r="G112" s="16"/>
      <c r="H112" s="19" t="n">
        <f aca="false">LEN(IF(F112&lt;&gt;"",F112,D112))</f>
        <v>64</v>
      </c>
      <c r="I112" s="24" t="str">
        <f aca="false">IF(OR(H112&lt;15,H112&gt;95),"분량 확인","")</f>
        <v/>
      </c>
    </row>
    <row r="113" customFormat="false" ht="33.75" hidden="false" customHeight="true" outlineLevel="0" collapsed="false">
      <c r="A113" s="13" t="s">
        <v>1615</v>
      </c>
      <c r="B113" s="14" t="s">
        <v>797</v>
      </c>
      <c r="C113" s="15" t="s">
        <v>1397</v>
      </c>
      <c r="D113" s="15" t="s">
        <v>1616</v>
      </c>
      <c r="E113" s="23" t="s">
        <v>19</v>
      </c>
      <c r="F113" s="16"/>
      <c r="G113" s="16"/>
      <c r="H113" s="19" t="n">
        <f aca="false">LEN(IF(F113&lt;&gt;"",F113,D113))</f>
        <v>50</v>
      </c>
      <c r="I113" s="24" t="str">
        <f aca="false">IF(OR(H113&lt;15,H113&gt;95),"분량 확인","")</f>
        <v/>
      </c>
    </row>
    <row r="114" customFormat="false" ht="33.75" hidden="false" customHeight="true" outlineLevel="0" collapsed="false">
      <c r="A114" s="13" t="s">
        <v>1617</v>
      </c>
      <c r="B114" s="14" t="s">
        <v>797</v>
      </c>
      <c r="C114" s="15" t="s">
        <v>1400</v>
      </c>
      <c r="D114" s="15" t="s">
        <v>1618</v>
      </c>
      <c r="E114" s="23" t="s">
        <v>19</v>
      </c>
      <c r="F114" s="16"/>
      <c r="G114" s="16"/>
      <c r="H114" s="19" t="n">
        <f aca="false">LEN(IF(F114&lt;&gt;"",F114,D114))</f>
        <v>56</v>
      </c>
      <c r="I114" s="24" t="str">
        <f aca="false">IF(OR(H114&lt;15,H114&gt;95),"분량 확인","")</f>
        <v/>
      </c>
    </row>
    <row r="115" customFormat="false" ht="48" hidden="false" customHeight="true" outlineLevel="0" collapsed="false">
      <c r="A115" s="13" t="s">
        <v>1619</v>
      </c>
      <c r="B115" s="14" t="s">
        <v>797</v>
      </c>
      <c r="C115" s="15" t="s">
        <v>1403</v>
      </c>
      <c r="D115" s="15" t="s">
        <v>1620</v>
      </c>
      <c r="E115" s="23" t="s">
        <v>19</v>
      </c>
      <c r="F115" s="16"/>
      <c r="G115" s="16"/>
      <c r="H115" s="19" t="n">
        <f aca="false">LEN(IF(F115&lt;&gt;"",F115,D115))</f>
        <v>62</v>
      </c>
      <c r="I115" s="24" t="str">
        <f aca="false">IF(OR(H115&lt;15,H115&gt;95),"분량 확인","")</f>
        <v/>
      </c>
    </row>
    <row r="116" customFormat="false" ht="33.75" hidden="false" customHeight="true" outlineLevel="0" collapsed="false">
      <c r="A116" s="13" t="s">
        <v>1621</v>
      </c>
      <c r="B116" s="14" t="s">
        <v>810</v>
      </c>
      <c r="C116" s="15" t="s">
        <v>1388</v>
      </c>
      <c r="D116" s="15" t="s">
        <v>1622</v>
      </c>
      <c r="E116" s="23" t="s">
        <v>19</v>
      </c>
      <c r="F116" s="16"/>
      <c r="G116" s="16"/>
      <c r="H116" s="19" t="n">
        <f aca="false">LEN(IF(F116&lt;&gt;"",F116,D116))</f>
        <v>43</v>
      </c>
      <c r="I116" s="24" t="str">
        <f aca="false">IF(OR(H116&lt;15,H116&gt;95),"분량 확인","")</f>
        <v/>
      </c>
    </row>
    <row r="117" customFormat="false" ht="33.75" hidden="false" customHeight="true" outlineLevel="0" collapsed="false">
      <c r="A117" s="13" t="s">
        <v>1623</v>
      </c>
      <c r="B117" s="14" t="s">
        <v>810</v>
      </c>
      <c r="C117" s="15" t="s">
        <v>1391</v>
      </c>
      <c r="D117" s="15" t="s">
        <v>1624</v>
      </c>
      <c r="E117" s="23" t="s">
        <v>19</v>
      </c>
      <c r="F117" s="16"/>
      <c r="G117" s="16"/>
      <c r="H117" s="19" t="n">
        <f aca="false">LEN(IF(F117&lt;&gt;"",F117,D117))</f>
        <v>45</v>
      </c>
      <c r="I117" s="24" t="str">
        <f aca="false">IF(OR(H117&lt;15,H117&gt;95),"분량 확인","")</f>
        <v/>
      </c>
    </row>
    <row r="118" customFormat="false" ht="33.75" hidden="false" customHeight="true" outlineLevel="0" collapsed="false">
      <c r="A118" s="13" t="s">
        <v>1625</v>
      </c>
      <c r="B118" s="14" t="s">
        <v>810</v>
      </c>
      <c r="C118" s="15" t="s">
        <v>1394</v>
      </c>
      <c r="D118" s="15" t="s">
        <v>1626</v>
      </c>
      <c r="E118" s="23" t="s">
        <v>19</v>
      </c>
      <c r="F118" s="16"/>
      <c r="G118" s="16"/>
      <c r="H118" s="19" t="n">
        <f aca="false">LEN(IF(F118&lt;&gt;"",F118,D118))</f>
        <v>56</v>
      </c>
      <c r="I118" s="24" t="str">
        <f aca="false">IF(OR(H118&lt;15,H118&gt;95),"분량 확인","")</f>
        <v/>
      </c>
    </row>
    <row r="119" customFormat="false" ht="33.75" hidden="false" customHeight="true" outlineLevel="0" collapsed="false">
      <c r="A119" s="13" t="s">
        <v>1627</v>
      </c>
      <c r="B119" s="14" t="s">
        <v>810</v>
      </c>
      <c r="C119" s="15" t="s">
        <v>1397</v>
      </c>
      <c r="D119" s="15" t="s">
        <v>1628</v>
      </c>
      <c r="E119" s="23" t="s">
        <v>19</v>
      </c>
      <c r="F119" s="16"/>
      <c r="G119" s="16"/>
      <c r="H119" s="19" t="n">
        <f aca="false">LEN(IF(F119&lt;&gt;"",F119,D119))</f>
        <v>53</v>
      </c>
      <c r="I119" s="24" t="str">
        <f aca="false">IF(OR(H119&lt;15,H119&gt;95),"분량 확인","")</f>
        <v/>
      </c>
    </row>
    <row r="120" customFormat="false" ht="33.75" hidden="false" customHeight="true" outlineLevel="0" collapsed="false">
      <c r="A120" s="13" t="s">
        <v>1629</v>
      </c>
      <c r="B120" s="14" t="s">
        <v>810</v>
      </c>
      <c r="C120" s="15" t="s">
        <v>1400</v>
      </c>
      <c r="D120" s="15" t="s">
        <v>1630</v>
      </c>
      <c r="E120" s="23" t="s">
        <v>19</v>
      </c>
      <c r="F120" s="16"/>
      <c r="G120" s="16"/>
      <c r="H120" s="19" t="n">
        <f aca="false">LEN(IF(F120&lt;&gt;"",F120,D120))</f>
        <v>46</v>
      </c>
      <c r="I120" s="24" t="str">
        <f aca="false">IF(OR(H120&lt;15,H120&gt;95),"분량 확인","")</f>
        <v/>
      </c>
    </row>
    <row r="121" customFormat="false" ht="48" hidden="false" customHeight="true" outlineLevel="0" collapsed="false">
      <c r="A121" s="13" t="s">
        <v>1631</v>
      </c>
      <c r="B121" s="14" t="s">
        <v>810</v>
      </c>
      <c r="C121" s="15" t="s">
        <v>1403</v>
      </c>
      <c r="D121" s="15" t="s">
        <v>1632</v>
      </c>
      <c r="E121" s="23" t="s">
        <v>19</v>
      </c>
      <c r="F121" s="16"/>
      <c r="G121" s="16"/>
      <c r="H121" s="19" t="n">
        <f aca="false">LEN(IF(F121&lt;&gt;"",F121,D121))</f>
        <v>62</v>
      </c>
      <c r="I121" s="24" t="str">
        <f aca="false">IF(OR(H121&lt;15,H121&gt;95),"분량 확인","")</f>
        <v/>
      </c>
    </row>
    <row r="122" customFormat="false" ht="33.75" hidden="false" customHeight="true" outlineLevel="0" collapsed="false">
      <c r="A122" s="13" t="s">
        <v>1633</v>
      </c>
      <c r="B122" s="14" t="s">
        <v>823</v>
      </c>
      <c r="C122" s="15" t="s">
        <v>1388</v>
      </c>
      <c r="D122" s="15" t="s">
        <v>1634</v>
      </c>
      <c r="E122" s="23" t="s">
        <v>19</v>
      </c>
      <c r="F122" s="16"/>
      <c r="G122" s="16"/>
      <c r="H122" s="19" t="n">
        <f aca="false">LEN(IF(F122&lt;&gt;"",F122,D122))</f>
        <v>45</v>
      </c>
      <c r="I122" s="24" t="str">
        <f aca="false">IF(OR(H122&lt;15,H122&gt;95),"분량 확인","")</f>
        <v/>
      </c>
    </row>
    <row r="123" customFormat="false" ht="33.75" hidden="false" customHeight="true" outlineLevel="0" collapsed="false">
      <c r="A123" s="13" t="s">
        <v>1635</v>
      </c>
      <c r="B123" s="14" t="s">
        <v>823</v>
      </c>
      <c r="C123" s="15" t="s">
        <v>1391</v>
      </c>
      <c r="D123" s="15" t="s">
        <v>1636</v>
      </c>
      <c r="E123" s="23" t="s">
        <v>19</v>
      </c>
      <c r="F123" s="16"/>
      <c r="G123" s="16"/>
      <c r="H123" s="19" t="n">
        <f aca="false">LEN(IF(F123&lt;&gt;"",F123,D123))</f>
        <v>49</v>
      </c>
      <c r="I123" s="24" t="str">
        <f aca="false">IF(OR(H123&lt;15,H123&gt;95),"분량 확인","")</f>
        <v/>
      </c>
    </row>
    <row r="124" customFormat="false" ht="33.75" hidden="false" customHeight="true" outlineLevel="0" collapsed="false">
      <c r="A124" s="13" t="s">
        <v>1637</v>
      </c>
      <c r="B124" s="14" t="s">
        <v>823</v>
      </c>
      <c r="C124" s="15" t="s">
        <v>1394</v>
      </c>
      <c r="D124" s="15" t="s">
        <v>1638</v>
      </c>
      <c r="E124" s="23" t="s">
        <v>19</v>
      </c>
      <c r="F124" s="16"/>
      <c r="G124" s="16"/>
      <c r="H124" s="19" t="n">
        <f aca="false">LEN(IF(F124&lt;&gt;"",F124,D124))</f>
        <v>55</v>
      </c>
      <c r="I124" s="24" t="str">
        <f aca="false">IF(OR(H124&lt;15,H124&gt;95),"분량 확인","")</f>
        <v/>
      </c>
    </row>
    <row r="125" customFormat="false" ht="33.75" hidden="false" customHeight="true" outlineLevel="0" collapsed="false">
      <c r="A125" s="13" t="s">
        <v>1639</v>
      </c>
      <c r="B125" s="14" t="s">
        <v>823</v>
      </c>
      <c r="C125" s="15" t="s">
        <v>1397</v>
      </c>
      <c r="D125" s="15" t="s">
        <v>1640</v>
      </c>
      <c r="E125" s="23" t="s">
        <v>19</v>
      </c>
      <c r="F125" s="16"/>
      <c r="G125" s="16"/>
      <c r="H125" s="19" t="n">
        <f aca="false">LEN(IF(F125&lt;&gt;"",F125,D125))</f>
        <v>47</v>
      </c>
      <c r="I125" s="24" t="str">
        <f aca="false">IF(OR(H125&lt;15,H125&gt;95),"분량 확인","")</f>
        <v/>
      </c>
    </row>
    <row r="126" customFormat="false" ht="33.75" hidden="false" customHeight="true" outlineLevel="0" collapsed="false">
      <c r="A126" s="13" t="s">
        <v>1641</v>
      </c>
      <c r="B126" s="14" t="s">
        <v>823</v>
      </c>
      <c r="C126" s="15" t="s">
        <v>1400</v>
      </c>
      <c r="D126" s="15" t="s">
        <v>1642</v>
      </c>
      <c r="E126" s="23" t="s">
        <v>19</v>
      </c>
      <c r="F126" s="16"/>
      <c r="G126" s="16"/>
      <c r="H126" s="19" t="n">
        <f aca="false">LEN(IF(F126&lt;&gt;"",F126,D126))</f>
        <v>49</v>
      </c>
      <c r="I126" s="24" t="str">
        <f aca="false">IF(OR(H126&lt;15,H126&gt;95),"분량 확인","")</f>
        <v/>
      </c>
    </row>
    <row r="127" customFormat="false" ht="48" hidden="false" customHeight="true" outlineLevel="0" collapsed="false">
      <c r="A127" s="13" t="s">
        <v>1643</v>
      </c>
      <c r="B127" s="14" t="s">
        <v>823</v>
      </c>
      <c r="C127" s="15" t="s">
        <v>1403</v>
      </c>
      <c r="D127" s="15" t="s">
        <v>1644</v>
      </c>
      <c r="E127" s="23" t="s">
        <v>19</v>
      </c>
      <c r="F127" s="16"/>
      <c r="G127" s="16"/>
      <c r="H127" s="19" t="n">
        <f aca="false">LEN(IF(F127&lt;&gt;"",F127,D127))</f>
        <v>65</v>
      </c>
      <c r="I127" s="24" t="str">
        <f aca="false">IF(OR(H127&lt;15,H127&gt;95),"분량 확인","")</f>
        <v/>
      </c>
    </row>
    <row r="128" customFormat="false" ht="48" hidden="false" customHeight="true" outlineLevel="0" collapsed="false">
      <c r="A128" s="13" t="s">
        <v>1645</v>
      </c>
      <c r="B128" s="14" t="s">
        <v>836</v>
      </c>
      <c r="C128" s="15" t="s">
        <v>1388</v>
      </c>
      <c r="D128" s="15" t="s">
        <v>1646</v>
      </c>
      <c r="E128" s="23" t="s">
        <v>19</v>
      </c>
      <c r="F128" s="16"/>
      <c r="G128" s="16"/>
      <c r="H128" s="19" t="n">
        <f aca="false">LEN(IF(F128&lt;&gt;"",F128,D128))</f>
        <v>44</v>
      </c>
      <c r="I128" s="24" t="str">
        <f aca="false">IF(OR(H128&lt;15,H128&gt;95),"분량 확인","")</f>
        <v/>
      </c>
    </row>
    <row r="129" customFormat="false" ht="48" hidden="false" customHeight="true" outlineLevel="0" collapsed="false">
      <c r="A129" s="13" t="s">
        <v>1647</v>
      </c>
      <c r="B129" s="14" t="s">
        <v>836</v>
      </c>
      <c r="C129" s="15" t="s">
        <v>1391</v>
      </c>
      <c r="D129" s="15" t="s">
        <v>1648</v>
      </c>
      <c r="E129" s="23" t="s">
        <v>19</v>
      </c>
      <c r="F129" s="16"/>
      <c r="G129" s="16"/>
      <c r="H129" s="19" t="n">
        <f aca="false">LEN(IF(F129&lt;&gt;"",F129,D129))</f>
        <v>54</v>
      </c>
      <c r="I129" s="24" t="str">
        <f aca="false">IF(OR(H129&lt;15,H129&gt;95),"분량 확인","")</f>
        <v/>
      </c>
    </row>
    <row r="130" customFormat="false" ht="48" hidden="false" customHeight="true" outlineLevel="0" collapsed="false">
      <c r="A130" s="13" t="s">
        <v>1649</v>
      </c>
      <c r="B130" s="14" t="s">
        <v>836</v>
      </c>
      <c r="C130" s="15" t="s">
        <v>1394</v>
      </c>
      <c r="D130" s="15" t="s">
        <v>1650</v>
      </c>
      <c r="E130" s="23" t="s">
        <v>19</v>
      </c>
      <c r="F130" s="16"/>
      <c r="G130" s="16"/>
      <c r="H130" s="19" t="n">
        <f aca="false">LEN(IF(F130&lt;&gt;"",F130,D130))</f>
        <v>61</v>
      </c>
      <c r="I130" s="24" t="str">
        <f aca="false">IF(OR(H130&lt;15,H130&gt;95),"분량 확인","")</f>
        <v/>
      </c>
    </row>
    <row r="131" customFormat="false" ht="48" hidden="false" customHeight="true" outlineLevel="0" collapsed="false">
      <c r="A131" s="13" t="s">
        <v>1651</v>
      </c>
      <c r="B131" s="14" t="s">
        <v>836</v>
      </c>
      <c r="C131" s="15" t="s">
        <v>1397</v>
      </c>
      <c r="D131" s="15" t="s">
        <v>1652</v>
      </c>
      <c r="E131" s="23" t="s">
        <v>19</v>
      </c>
      <c r="F131" s="16"/>
      <c r="G131" s="16"/>
      <c r="H131" s="19" t="n">
        <f aca="false">LEN(IF(F131&lt;&gt;"",F131,D131))</f>
        <v>49</v>
      </c>
      <c r="I131" s="24" t="str">
        <f aca="false">IF(OR(H131&lt;15,H131&gt;95),"분량 확인","")</f>
        <v/>
      </c>
    </row>
    <row r="132" customFormat="false" ht="48" hidden="false" customHeight="true" outlineLevel="0" collapsed="false">
      <c r="A132" s="13" t="s">
        <v>1653</v>
      </c>
      <c r="B132" s="14" t="s">
        <v>836</v>
      </c>
      <c r="C132" s="15" t="s">
        <v>1400</v>
      </c>
      <c r="D132" s="15" t="s">
        <v>1654</v>
      </c>
      <c r="E132" s="23" t="s">
        <v>19</v>
      </c>
      <c r="F132" s="16"/>
      <c r="G132" s="16"/>
      <c r="H132" s="19" t="n">
        <f aca="false">LEN(IF(F132&lt;&gt;"",F132,D132))</f>
        <v>45</v>
      </c>
      <c r="I132" s="24" t="str">
        <f aca="false">IF(OR(H132&lt;15,H132&gt;95),"분량 확인","")</f>
        <v/>
      </c>
    </row>
    <row r="133" customFormat="false" ht="48" hidden="false" customHeight="true" outlineLevel="0" collapsed="false">
      <c r="A133" s="13" t="s">
        <v>1655</v>
      </c>
      <c r="B133" s="14" t="s">
        <v>836</v>
      </c>
      <c r="C133" s="15" t="s">
        <v>1403</v>
      </c>
      <c r="D133" s="15" t="s">
        <v>1656</v>
      </c>
      <c r="E133" s="23" t="s">
        <v>19</v>
      </c>
      <c r="F133" s="16"/>
      <c r="G133" s="16"/>
      <c r="H133" s="19" t="n">
        <f aca="false">LEN(IF(F133&lt;&gt;"",F133,D133))</f>
        <v>61</v>
      </c>
      <c r="I133" s="24" t="str">
        <f aca="false">IF(OR(H133&lt;15,H133&gt;95),"분량 확인","")</f>
        <v/>
      </c>
    </row>
  </sheetData>
  <autoFilter ref="A1:I133"/>
  <conditionalFormatting sqref="E2:E133">
    <cfRule type="cellIs" priority="2" operator="equal" aboveAverage="0" equalAverage="0" bottom="0" percent="0" rank="0" text="" dxfId="5">
      <formula>"확정"</formula>
    </cfRule>
    <cfRule type="cellIs" priority="3" operator="equal" aboveAverage="0" equalAverage="0" bottom="0" percent="0" rank="0" text="" dxfId="6">
      <formula>"수정요청"</formula>
    </cfRule>
    <cfRule type="cellIs" priority="4" operator="equal" aboveAverage="0" equalAverage="0" bottom="0" percent="0" rank="0" text="" dxfId="7">
      <formula>"검수중"</formula>
    </cfRule>
    <cfRule type="cellIs" priority="5" operator="equal" aboveAverage="0" equalAverage="0" bottom="0" percent="0" rank="0" text="" dxfId="8">
      <formula>"삭제"</formula>
    </cfRule>
  </conditionalFormatting>
  <conditionalFormatting sqref="I2:I133">
    <cfRule type="expression" priority="6" aboveAverage="0" equalAverage="0" bottom="0" percent="0" rank="0" text="" dxfId="9">
      <formula>I2="분량 확인"</formula>
    </cfRule>
  </conditionalFormatting>
  <dataValidations count="1">
    <dataValidation allowBlank="false" error="초안 · 검수중 · 수정요청 · 확정 · 삭제 중에서 골라 주세요." errorStyle="stop" errorTitle="상태" operator="between" showDropDown="false" showErrorMessage="false" showInputMessage="false" sqref="E2:E133" type="list">
      <formula1>"초안,검수중,수정요청,확정,삭제"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12F53"/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2"/>
    <col collapsed="false" customWidth="true" hidden="false" outlineLevel="0" max="3" min="3" style="0" width="26"/>
    <col collapsed="false" customWidth="true" hidden="false" outlineLevel="0" max="4" min="4" style="0" width="62"/>
    <col collapsed="false" customWidth="true" hidden="false" outlineLevel="0" max="5" min="5" style="0" width="10"/>
    <col collapsed="false" customWidth="true" hidden="false" outlineLevel="0" max="6" min="6" style="0" width="56"/>
    <col collapsed="false" customWidth="true" hidden="false" outlineLevel="0" max="7" min="7" style="0" width="30"/>
    <col collapsed="false" customWidth="true" hidden="false" outlineLevel="0" max="8" min="8" style="0" width="9"/>
    <col collapsed="false" customWidth="true" hidden="false" outlineLevel="0" max="9" min="9" style="0" width="10"/>
  </cols>
  <sheetData>
    <row r="1" customFormat="false" ht="30" hidden="false" customHeight="true" outlineLevel="0" collapsed="false">
      <c r="A1" s="11" t="s">
        <v>554</v>
      </c>
      <c r="B1" s="12" t="s">
        <v>25</v>
      </c>
      <c r="C1" s="12" t="s">
        <v>26</v>
      </c>
      <c r="D1" s="12" t="s">
        <v>27</v>
      </c>
      <c r="E1" s="12" t="s">
        <v>28</v>
      </c>
      <c r="F1" s="12" t="s">
        <v>29</v>
      </c>
      <c r="G1" s="12" t="s">
        <v>30</v>
      </c>
      <c r="H1" s="12" t="s">
        <v>555</v>
      </c>
      <c r="I1" s="12" t="s">
        <v>556</v>
      </c>
    </row>
    <row r="2" customFormat="false" ht="61.5" hidden="false" customHeight="true" outlineLevel="0" collapsed="false">
      <c r="A2" s="13" t="s">
        <v>1657</v>
      </c>
      <c r="B2" s="14" t="s">
        <v>558</v>
      </c>
      <c r="C2" s="15" t="s">
        <v>1658</v>
      </c>
      <c r="D2" s="15" t="s">
        <v>1659</v>
      </c>
      <c r="E2" s="23" t="s">
        <v>19</v>
      </c>
      <c r="F2" s="16"/>
      <c r="G2" s="16"/>
      <c r="H2" s="19" t="n">
        <f aca="false">LEN(IF(F2&lt;&gt;"",F2,D2))</f>
        <v>11</v>
      </c>
      <c r="I2" s="24" t="str">
        <f aca="false">IF(OR(H2&lt;2,H2&gt;140),"분량 확인","")</f>
        <v/>
      </c>
    </row>
    <row r="3" customFormat="false" ht="61.5" hidden="false" customHeight="true" outlineLevel="0" collapsed="false">
      <c r="A3" s="13" t="s">
        <v>1660</v>
      </c>
      <c r="B3" s="14" t="s">
        <v>558</v>
      </c>
      <c r="C3" s="15" t="s">
        <v>1661</v>
      </c>
      <c r="D3" s="15" t="s">
        <v>1662</v>
      </c>
      <c r="E3" s="23" t="s">
        <v>19</v>
      </c>
      <c r="F3" s="16"/>
      <c r="G3" s="16"/>
      <c r="H3" s="19" t="n">
        <f aca="false">LEN(IF(F3&lt;&gt;"",F3,D3))</f>
        <v>14</v>
      </c>
      <c r="I3" s="24" t="str">
        <f aca="false">IF(OR(H3&lt;2,H3&gt;140),"분량 확인","")</f>
        <v/>
      </c>
    </row>
    <row r="4" customFormat="false" ht="61.5" hidden="false" customHeight="true" outlineLevel="0" collapsed="false">
      <c r="A4" s="13" t="s">
        <v>1663</v>
      </c>
      <c r="B4" s="14" t="s">
        <v>558</v>
      </c>
      <c r="C4" s="15" t="s">
        <v>1664</v>
      </c>
      <c r="D4" s="15" t="s">
        <v>1665</v>
      </c>
      <c r="E4" s="23" t="s">
        <v>19</v>
      </c>
      <c r="F4" s="16"/>
      <c r="G4" s="16"/>
      <c r="H4" s="19" t="n">
        <f aca="false">LEN(IF(F4&lt;&gt;"",F4,D4))</f>
        <v>56</v>
      </c>
      <c r="I4" s="24" t="str">
        <f aca="false">IF(OR(H4&lt;2,H4&gt;140),"분량 확인","")</f>
        <v/>
      </c>
    </row>
    <row r="5" customFormat="false" ht="61.5" hidden="false" customHeight="true" outlineLevel="0" collapsed="false">
      <c r="A5" s="13" t="s">
        <v>1666</v>
      </c>
      <c r="B5" s="14" t="s">
        <v>558</v>
      </c>
      <c r="C5" s="15" t="s">
        <v>1667</v>
      </c>
      <c r="D5" s="15" t="s">
        <v>1668</v>
      </c>
      <c r="E5" s="23" t="s">
        <v>19</v>
      </c>
      <c r="F5" s="16"/>
      <c r="G5" s="16"/>
      <c r="H5" s="19" t="n">
        <f aca="false">LEN(IF(F5&lt;&gt;"",F5,D5))</f>
        <v>50</v>
      </c>
      <c r="I5" s="24" t="str">
        <f aca="false">IF(OR(H5&lt;2,H5&gt;140),"분량 확인","")</f>
        <v/>
      </c>
    </row>
    <row r="6" customFormat="false" ht="48" hidden="false" customHeight="true" outlineLevel="0" collapsed="false">
      <c r="A6" s="13" t="s">
        <v>1669</v>
      </c>
      <c r="B6" s="14" t="s">
        <v>558</v>
      </c>
      <c r="C6" s="15" t="s">
        <v>1670</v>
      </c>
      <c r="D6" s="14" t="s">
        <v>1671</v>
      </c>
      <c r="E6" s="23" t="s">
        <v>19</v>
      </c>
      <c r="F6" s="16"/>
      <c r="G6" s="16"/>
      <c r="H6" s="19" t="n">
        <f aca="false">LEN(IF(F6&lt;&gt;"",F6,D6))</f>
        <v>10</v>
      </c>
      <c r="I6" s="24" t="str">
        <f aca="false">IF(OR(H6&lt;2,H6&gt;140),"분량 확인","")</f>
        <v/>
      </c>
    </row>
    <row r="7" customFormat="false" ht="48" hidden="false" customHeight="true" outlineLevel="0" collapsed="false">
      <c r="A7" s="13" t="s">
        <v>1672</v>
      </c>
      <c r="B7" s="14" t="s">
        <v>558</v>
      </c>
      <c r="C7" s="15" t="s">
        <v>1673</v>
      </c>
      <c r="D7" s="15" t="s">
        <v>1674</v>
      </c>
      <c r="E7" s="23" t="s">
        <v>19</v>
      </c>
      <c r="F7" s="16"/>
      <c r="G7" s="16"/>
      <c r="H7" s="19" t="n">
        <f aca="false">LEN(IF(F7&lt;&gt;"",F7,D7))</f>
        <v>53</v>
      </c>
      <c r="I7" s="24" t="str">
        <f aca="false">IF(OR(H7&lt;2,H7&gt;140),"분량 확인","")</f>
        <v/>
      </c>
    </row>
    <row r="8" customFormat="false" ht="48" hidden="false" customHeight="true" outlineLevel="0" collapsed="false">
      <c r="A8" s="13" t="s">
        <v>1675</v>
      </c>
      <c r="B8" s="14" t="s">
        <v>558</v>
      </c>
      <c r="C8" s="15" t="s">
        <v>1676</v>
      </c>
      <c r="D8" s="14" t="s">
        <v>1677</v>
      </c>
      <c r="E8" s="23" t="s">
        <v>19</v>
      </c>
      <c r="F8" s="16"/>
      <c r="G8" s="16"/>
      <c r="H8" s="19" t="n">
        <f aca="false">LEN(IF(F8&lt;&gt;"",F8,D8))</f>
        <v>2</v>
      </c>
      <c r="I8" s="24" t="str">
        <f aca="false">IF(OR(H8&lt;2,H8&gt;140),"분량 확인","")</f>
        <v/>
      </c>
    </row>
    <row r="9" customFormat="false" ht="48" hidden="false" customHeight="true" outlineLevel="0" collapsed="false">
      <c r="A9" s="13" t="s">
        <v>1678</v>
      </c>
      <c r="B9" s="14" t="s">
        <v>558</v>
      </c>
      <c r="C9" s="15" t="s">
        <v>1679</v>
      </c>
      <c r="D9" s="15" t="s">
        <v>1680</v>
      </c>
      <c r="E9" s="23" t="s">
        <v>19</v>
      </c>
      <c r="F9" s="16"/>
      <c r="G9" s="16"/>
      <c r="H9" s="19" t="n">
        <f aca="false">LEN(IF(F9&lt;&gt;"",F9,D9))</f>
        <v>46</v>
      </c>
      <c r="I9" s="24" t="str">
        <f aca="false">IF(OR(H9&lt;2,H9&gt;140),"분량 확인","")</f>
        <v/>
      </c>
    </row>
    <row r="10" customFormat="false" ht="48" hidden="false" customHeight="true" outlineLevel="0" collapsed="false">
      <c r="A10" s="13" t="s">
        <v>1681</v>
      </c>
      <c r="B10" s="14" t="s">
        <v>558</v>
      </c>
      <c r="C10" s="15" t="s">
        <v>1682</v>
      </c>
      <c r="D10" s="15" t="s">
        <v>1683</v>
      </c>
      <c r="E10" s="23" t="s">
        <v>19</v>
      </c>
      <c r="F10" s="16"/>
      <c r="G10" s="16"/>
      <c r="H10" s="19" t="n">
        <f aca="false">LEN(IF(F10&lt;&gt;"",F10,D10))</f>
        <v>15</v>
      </c>
      <c r="I10" s="24" t="str">
        <f aca="false">IF(OR(H10&lt;2,H10&gt;140),"분량 확인","")</f>
        <v/>
      </c>
    </row>
    <row r="11" customFormat="false" ht="48" hidden="false" customHeight="true" outlineLevel="0" collapsed="false">
      <c r="A11" s="13" t="s">
        <v>1684</v>
      </c>
      <c r="B11" s="14" t="s">
        <v>558</v>
      </c>
      <c r="C11" s="15" t="s">
        <v>1685</v>
      </c>
      <c r="D11" s="15" t="s">
        <v>1686</v>
      </c>
      <c r="E11" s="23" t="s">
        <v>19</v>
      </c>
      <c r="F11" s="16"/>
      <c r="G11" s="16"/>
      <c r="H11" s="19" t="n">
        <f aca="false">LEN(IF(F11&lt;&gt;"",F11,D11))</f>
        <v>59</v>
      </c>
      <c r="I11" s="24" t="str">
        <f aca="false">IF(OR(H11&lt;2,H11&gt;140),"분량 확인","")</f>
        <v/>
      </c>
    </row>
    <row r="12" customFormat="false" ht="48" hidden="false" customHeight="true" outlineLevel="0" collapsed="false">
      <c r="A12" s="13" t="s">
        <v>1687</v>
      </c>
      <c r="B12" s="14" t="s">
        <v>558</v>
      </c>
      <c r="C12" s="15" t="s">
        <v>1688</v>
      </c>
      <c r="D12" s="15" t="s">
        <v>1689</v>
      </c>
      <c r="E12" s="23" t="s">
        <v>19</v>
      </c>
      <c r="F12" s="16"/>
      <c r="G12" s="16"/>
      <c r="H12" s="19" t="n">
        <f aca="false">LEN(IF(F12&lt;&gt;"",F12,D12))</f>
        <v>4</v>
      </c>
      <c r="I12" s="24" t="str">
        <f aca="false">IF(OR(H12&lt;2,H12&gt;140),"분량 확인","")</f>
        <v/>
      </c>
    </row>
    <row r="13" customFormat="false" ht="48" hidden="false" customHeight="true" outlineLevel="0" collapsed="false">
      <c r="A13" s="13" t="s">
        <v>1690</v>
      </c>
      <c r="B13" s="14" t="s">
        <v>558</v>
      </c>
      <c r="C13" s="15" t="s">
        <v>1691</v>
      </c>
      <c r="D13" s="15" t="s">
        <v>1692</v>
      </c>
      <c r="E13" s="23" t="s">
        <v>19</v>
      </c>
      <c r="F13" s="16"/>
      <c r="G13" s="16"/>
      <c r="H13" s="19" t="n">
        <f aca="false">LEN(IF(F13&lt;&gt;"",F13,D13))</f>
        <v>48</v>
      </c>
      <c r="I13" s="24" t="str">
        <f aca="false">IF(OR(H13&lt;2,H13&gt;140),"분량 확인","")</f>
        <v/>
      </c>
    </row>
    <row r="14" customFormat="false" ht="61.5" hidden="false" customHeight="true" outlineLevel="0" collapsed="false">
      <c r="A14" s="13" t="s">
        <v>1693</v>
      </c>
      <c r="B14" s="14" t="s">
        <v>558</v>
      </c>
      <c r="C14" s="15" t="s">
        <v>1694</v>
      </c>
      <c r="D14" s="15" t="s">
        <v>1695</v>
      </c>
      <c r="E14" s="23" t="s">
        <v>19</v>
      </c>
      <c r="F14" s="16"/>
      <c r="G14" s="16"/>
      <c r="H14" s="19" t="n">
        <f aca="false">LEN(IF(F14&lt;&gt;"",F14,D14))</f>
        <v>14</v>
      </c>
      <c r="I14" s="24" t="str">
        <f aca="false">IF(OR(H14&lt;2,H14&gt;140),"분량 확인","")</f>
        <v/>
      </c>
    </row>
    <row r="15" customFormat="false" ht="61.5" hidden="false" customHeight="true" outlineLevel="0" collapsed="false">
      <c r="A15" s="13" t="s">
        <v>1696</v>
      </c>
      <c r="B15" s="14" t="s">
        <v>558</v>
      </c>
      <c r="C15" s="15" t="s">
        <v>1697</v>
      </c>
      <c r="D15" s="15" t="s">
        <v>1698</v>
      </c>
      <c r="E15" s="23" t="s">
        <v>19</v>
      </c>
      <c r="F15" s="16"/>
      <c r="G15" s="16"/>
      <c r="H15" s="19" t="n">
        <f aca="false">LEN(IF(F15&lt;&gt;"",F15,D15))</f>
        <v>54</v>
      </c>
      <c r="I15" s="24" t="str">
        <f aca="false">IF(OR(H15&lt;2,H15&gt;140),"분량 확인","")</f>
        <v/>
      </c>
    </row>
    <row r="16" customFormat="false" ht="61.5" hidden="false" customHeight="true" outlineLevel="0" collapsed="false">
      <c r="A16" s="13" t="s">
        <v>1699</v>
      </c>
      <c r="B16" s="14" t="s">
        <v>558</v>
      </c>
      <c r="C16" s="15" t="s">
        <v>1700</v>
      </c>
      <c r="D16" s="15" t="s">
        <v>1701</v>
      </c>
      <c r="E16" s="23" t="s">
        <v>19</v>
      </c>
      <c r="F16" s="16"/>
      <c r="G16" s="16"/>
      <c r="H16" s="19" t="n">
        <f aca="false">LEN(IF(F16&lt;&gt;"",F16,D16))</f>
        <v>51</v>
      </c>
      <c r="I16" s="24" t="str">
        <f aca="false">IF(OR(H16&lt;2,H16&gt;140),"분량 확인","")</f>
        <v/>
      </c>
    </row>
    <row r="17" customFormat="false" ht="48" hidden="false" customHeight="true" outlineLevel="0" collapsed="false">
      <c r="A17" s="13" t="s">
        <v>1702</v>
      </c>
      <c r="B17" s="14" t="s">
        <v>558</v>
      </c>
      <c r="C17" s="15" t="s">
        <v>1703</v>
      </c>
      <c r="D17" s="15" t="s">
        <v>1704</v>
      </c>
      <c r="E17" s="23" t="s">
        <v>19</v>
      </c>
      <c r="F17" s="16"/>
      <c r="G17" s="16"/>
      <c r="H17" s="19" t="n">
        <f aca="false">LEN(IF(F17&lt;&gt;"",F17,D17))</f>
        <v>12</v>
      </c>
      <c r="I17" s="24" t="str">
        <f aca="false">IF(OR(H17&lt;2,H17&gt;140),"분량 확인","")</f>
        <v/>
      </c>
    </row>
    <row r="18" customFormat="false" ht="48" hidden="false" customHeight="true" outlineLevel="0" collapsed="false">
      <c r="A18" s="13" t="s">
        <v>1705</v>
      </c>
      <c r="B18" s="14" t="s">
        <v>558</v>
      </c>
      <c r="C18" s="15" t="s">
        <v>1706</v>
      </c>
      <c r="D18" s="15" t="s">
        <v>1707</v>
      </c>
      <c r="E18" s="23" t="s">
        <v>19</v>
      </c>
      <c r="F18" s="16"/>
      <c r="G18" s="16"/>
      <c r="H18" s="19" t="n">
        <f aca="false">LEN(IF(F18&lt;&gt;"",F18,D18))</f>
        <v>54</v>
      </c>
      <c r="I18" s="24" t="str">
        <f aca="false">IF(OR(H18&lt;2,H18&gt;140),"분량 확인","")</f>
        <v/>
      </c>
    </row>
    <row r="19" customFormat="false" ht="48" hidden="false" customHeight="true" outlineLevel="0" collapsed="false">
      <c r="A19" s="13" t="s">
        <v>1708</v>
      </c>
      <c r="B19" s="14" t="s">
        <v>558</v>
      </c>
      <c r="C19" s="15" t="s">
        <v>1709</v>
      </c>
      <c r="D19" s="14" t="s">
        <v>1710</v>
      </c>
      <c r="E19" s="23" t="s">
        <v>19</v>
      </c>
      <c r="F19" s="16"/>
      <c r="G19" s="16"/>
      <c r="H19" s="19" t="n">
        <f aca="false">LEN(IF(F19&lt;&gt;"",F19,D19))</f>
        <v>3</v>
      </c>
      <c r="I19" s="24" t="str">
        <f aca="false">IF(OR(H19&lt;2,H19&gt;140),"분량 확인","")</f>
        <v/>
      </c>
    </row>
    <row r="20" customFormat="false" ht="48" hidden="false" customHeight="true" outlineLevel="0" collapsed="false">
      <c r="A20" s="13" t="s">
        <v>1711</v>
      </c>
      <c r="B20" s="14" t="s">
        <v>558</v>
      </c>
      <c r="C20" s="15" t="s">
        <v>1712</v>
      </c>
      <c r="D20" s="15" t="s">
        <v>1713</v>
      </c>
      <c r="E20" s="23" t="s">
        <v>19</v>
      </c>
      <c r="F20" s="16"/>
      <c r="G20" s="16"/>
      <c r="H20" s="19" t="n">
        <f aca="false">LEN(IF(F20&lt;&gt;"",F20,D20))</f>
        <v>57</v>
      </c>
      <c r="I20" s="24" t="str">
        <f aca="false">IF(OR(H20&lt;2,H20&gt;140),"분량 확인","")</f>
        <v/>
      </c>
    </row>
    <row r="21" customFormat="false" ht="61.5" hidden="false" customHeight="true" outlineLevel="0" collapsed="false">
      <c r="A21" s="13" t="s">
        <v>1714</v>
      </c>
      <c r="B21" s="14" t="s">
        <v>558</v>
      </c>
      <c r="C21" s="15" t="s">
        <v>1715</v>
      </c>
      <c r="D21" s="15" t="s">
        <v>1716</v>
      </c>
      <c r="E21" s="23" t="s">
        <v>19</v>
      </c>
      <c r="F21" s="16"/>
      <c r="G21" s="16"/>
      <c r="H21" s="19" t="n">
        <f aca="false">LEN(IF(F21&lt;&gt;"",F21,D21))</f>
        <v>12</v>
      </c>
      <c r="I21" s="24" t="str">
        <f aca="false">IF(OR(H21&lt;2,H21&gt;140),"분량 확인","")</f>
        <v/>
      </c>
    </row>
    <row r="22" customFormat="false" ht="61.5" hidden="false" customHeight="true" outlineLevel="0" collapsed="false">
      <c r="A22" s="13" t="s">
        <v>1717</v>
      </c>
      <c r="B22" s="14" t="s">
        <v>558</v>
      </c>
      <c r="C22" s="15" t="s">
        <v>1718</v>
      </c>
      <c r="D22" s="15" t="s">
        <v>1719</v>
      </c>
      <c r="E22" s="23" t="s">
        <v>19</v>
      </c>
      <c r="F22" s="16"/>
      <c r="G22" s="16"/>
      <c r="H22" s="19" t="n">
        <f aca="false">LEN(IF(F22&lt;&gt;"",F22,D22))</f>
        <v>13</v>
      </c>
      <c r="I22" s="24" t="str">
        <f aca="false">IF(OR(H22&lt;2,H22&gt;140),"분량 확인","")</f>
        <v/>
      </c>
    </row>
    <row r="23" customFormat="false" ht="61.5" hidden="false" customHeight="true" outlineLevel="0" collapsed="false">
      <c r="A23" s="13" t="s">
        <v>1720</v>
      </c>
      <c r="B23" s="14" t="s">
        <v>558</v>
      </c>
      <c r="C23" s="15" t="s">
        <v>1721</v>
      </c>
      <c r="D23" s="15" t="s">
        <v>1722</v>
      </c>
      <c r="E23" s="23" t="s">
        <v>19</v>
      </c>
      <c r="F23" s="16"/>
      <c r="G23" s="16"/>
      <c r="H23" s="19" t="n">
        <f aca="false">LEN(IF(F23&lt;&gt;"",F23,D23))</f>
        <v>59</v>
      </c>
      <c r="I23" s="24" t="str">
        <f aca="false">IF(OR(H23&lt;2,H23&gt;140),"분량 확인","")</f>
        <v/>
      </c>
    </row>
    <row r="24" customFormat="false" ht="61.5" hidden="false" customHeight="true" outlineLevel="0" collapsed="false">
      <c r="A24" s="13" t="s">
        <v>1723</v>
      </c>
      <c r="B24" s="14" t="s">
        <v>558</v>
      </c>
      <c r="C24" s="15" t="s">
        <v>1724</v>
      </c>
      <c r="D24" s="15" t="s">
        <v>1725</v>
      </c>
      <c r="E24" s="23" t="s">
        <v>19</v>
      </c>
      <c r="F24" s="16"/>
      <c r="G24" s="16"/>
      <c r="H24" s="19" t="n">
        <f aca="false">LEN(IF(F24&lt;&gt;"",F24,D24))</f>
        <v>51</v>
      </c>
      <c r="I24" s="24" t="str">
        <f aca="false">IF(OR(H24&lt;2,H24&gt;140),"분량 확인","")</f>
        <v/>
      </c>
    </row>
    <row r="25" customFormat="false" ht="48" hidden="false" customHeight="true" outlineLevel="0" collapsed="false">
      <c r="A25" s="13" t="s">
        <v>1726</v>
      </c>
      <c r="B25" s="14" t="s">
        <v>558</v>
      </c>
      <c r="C25" s="15" t="s">
        <v>1727</v>
      </c>
      <c r="D25" s="14" t="s">
        <v>1728</v>
      </c>
      <c r="E25" s="23" t="s">
        <v>19</v>
      </c>
      <c r="F25" s="16"/>
      <c r="G25" s="16"/>
      <c r="H25" s="19" t="n">
        <f aca="false">LEN(IF(F25&lt;&gt;"",F25,D25))</f>
        <v>12</v>
      </c>
      <c r="I25" s="24" t="str">
        <f aca="false">IF(OR(H25&lt;2,H25&gt;140),"분량 확인","")</f>
        <v/>
      </c>
    </row>
    <row r="26" customFormat="false" ht="48" hidden="false" customHeight="true" outlineLevel="0" collapsed="false">
      <c r="A26" s="13" t="s">
        <v>1729</v>
      </c>
      <c r="B26" s="14" t="s">
        <v>558</v>
      </c>
      <c r="C26" s="15" t="s">
        <v>1730</v>
      </c>
      <c r="D26" s="15" t="s">
        <v>1731</v>
      </c>
      <c r="E26" s="23" t="s">
        <v>19</v>
      </c>
      <c r="F26" s="16"/>
      <c r="G26" s="16"/>
      <c r="H26" s="19" t="n">
        <f aca="false">LEN(IF(F26&lt;&gt;"",F26,D26))</f>
        <v>56</v>
      </c>
      <c r="I26" s="24" t="str">
        <f aca="false">IF(OR(H26&lt;2,H26&gt;140),"분량 확인","")</f>
        <v/>
      </c>
    </row>
    <row r="27" customFormat="false" ht="48" hidden="false" customHeight="true" outlineLevel="0" collapsed="false">
      <c r="A27" s="13" t="s">
        <v>1732</v>
      </c>
      <c r="B27" s="14" t="s">
        <v>558</v>
      </c>
      <c r="C27" s="15" t="s">
        <v>1733</v>
      </c>
      <c r="D27" s="14" t="s">
        <v>1734</v>
      </c>
      <c r="E27" s="23" t="s">
        <v>19</v>
      </c>
      <c r="F27" s="16"/>
      <c r="G27" s="16"/>
      <c r="H27" s="19" t="n">
        <f aca="false">LEN(IF(F27&lt;&gt;"",F27,D27))</f>
        <v>2</v>
      </c>
      <c r="I27" s="24" t="str">
        <f aca="false">IF(OR(H27&lt;2,H27&gt;140),"분량 확인","")</f>
        <v/>
      </c>
    </row>
    <row r="28" customFormat="false" ht="48" hidden="false" customHeight="true" outlineLevel="0" collapsed="false">
      <c r="A28" s="13" t="s">
        <v>1735</v>
      </c>
      <c r="B28" s="14" t="s">
        <v>558</v>
      </c>
      <c r="C28" s="15" t="s">
        <v>1736</v>
      </c>
      <c r="D28" s="15" t="s">
        <v>1737</v>
      </c>
      <c r="E28" s="23" t="s">
        <v>19</v>
      </c>
      <c r="F28" s="16"/>
      <c r="G28" s="16"/>
      <c r="H28" s="19" t="n">
        <f aca="false">LEN(IF(F28&lt;&gt;"",F28,D28))</f>
        <v>47</v>
      </c>
      <c r="I28" s="24" t="str">
        <f aca="false">IF(OR(H28&lt;2,H28&gt;140),"분량 확인","")</f>
        <v/>
      </c>
    </row>
    <row r="29" customFormat="false" ht="48" hidden="false" customHeight="true" outlineLevel="0" collapsed="false">
      <c r="A29" s="13" t="s">
        <v>1738</v>
      </c>
      <c r="B29" s="14" t="s">
        <v>558</v>
      </c>
      <c r="C29" s="15" t="s">
        <v>1739</v>
      </c>
      <c r="D29" s="15" t="s">
        <v>1740</v>
      </c>
      <c r="E29" s="23" t="s">
        <v>19</v>
      </c>
      <c r="F29" s="16"/>
      <c r="G29" s="16"/>
      <c r="H29" s="19" t="n">
        <f aca="false">LEN(IF(F29&lt;&gt;"",F29,D29))</f>
        <v>12</v>
      </c>
      <c r="I29" s="24" t="str">
        <f aca="false">IF(OR(H29&lt;2,H29&gt;140),"분량 확인","")</f>
        <v/>
      </c>
    </row>
    <row r="30" customFormat="false" ht="48" hidden="false" customHeight="true" outlineLevel="0" collapsed="false">
      <c r="A30" s="13" t="s">
        <v>1741</v>
      </c>
      <c r="B30" s="14" t="s">
        <v>558</v>
      </c>
      <c r="C30" s="15" t="s">
        <v>1742</v>
      </c>
      <c r="D30" s="15" t="s">
        <v>1743</v>
      </c>
      <c r="E30" s="23" t="s">
        <v>19</v>
      </c>
      <c r="F30" s="16"/>
      <c r="G30" s="16"/>
      <c r="H30" s="19" t="n">
        <f aca="false">LEN(IF(F30&lt;&gt;"",F30,D30))</f>
        <v>64</v>
      </c>
      <c r="I30" s="24" t="str">
        <f aca="false">IF(OR(H30&lt;2,H30&gt;140),"분량 확인","")</f>
        <v/>
      </c>
    </row>
    <row r="31" customFormat="false" ht="48" hidden="false" customHeight="true" outlineLevel="0" collapsed="false">
      <c r="A31" s="13" t="s">
        <v>1744</v>
      </c>
      <c r="B31" s="14" t="s">
        <v>558</v>
      </c>
      <c r="C31" s="15" t="s">
        <v>1745</v>
      </c>
      <c r="D31" s="15" t="s">
        <v>1689</v>
      </c>
      <c r="E31" s="23" t="s">
        <v>19</v>
      </c>
      <c r="F31" s="16"/>
      <c r="G31" s="16"/>
      <c r="H31" s="19" t="n">
        <f aca="false">LEN(IF(F31&lt;&gt;"",F31,D31))</f>
        <v>4</v>
      </c>
      <c r="I31" s="24" t="str">
        <f aca="false">IF(OR(H31&lt;2,H31&gt;140),"분량 확인","")</f>
        <v/>
      </c>
    </row>
    <row r="32" customFormat="false" ht="48" hidden="false" customHeight="true" outlineLevel="0" collapsed="false">
      <c r="A32" s="13" t="s">
        <v>1746</v>
      </c>
      <c r="B32" s="14" t="s">
        <v>558</v>
      </c>
      <c r="C32" s="15" t="s">
        <v>1747</v>
      </c>
      <c r="D32" s="15" t="s">
        <v>1748</v>
      </c>
      <c r="E32" s="23" t="s">
        <v>19</v>
      </c>
      <c r="F32" s="16"/>
      <c r="G32" s="16"/>
      <c r="H32" s="19" t="n">
        <f aca="false">LEN(IF(F32&lt;&gt;"",F32,D32))</f>
        <v>44</v>
      </c>
      <c r="I32" s="24" t="str">
        <f aca="false">IF(OR(H32&lt;2,H32&gt;140),"분량 확인","")</f>
        <v/>
      </c>
    </row>
    <row r="33" customFormat="false" ht="61.5" hidden="false" customHeight="true" outlineLevel="0" collapsed="false">
      <c r="A33" s="13" t="s">
        <v>1749</v>
      </c>
      <c r="B33" s="14" t="s">
        <v>558</v>
      </c>
      <c r="C33" s="15" t="s">
        <v>1750</v>
      </c>
      <c r="D33" s="15" t="s">
        <v>1751</v>
      </c>
      <c r="E33" s="23" t="s">
        <v>19</v>
      </c>
      <c r="F33" s="16"/>
      <c r="G33" s="16"/>
      <c r="H33" s="19" t="n">
        <f aca="false">LEN(IF(F33&lt;&gt;"",F33,D33))</f>
        <v>14</v>
      </c>
      <c r="I33" s="24" t="str">
        <f aca="false">IF(OR(H33&lt;2,H33&gt;140),"분량 확인","")</f>
        <v/>
      </c>
    </row>
    <row r="34" customFormat="false" ht="61.5" hidden="false" customHeight="true" outlineLevel="0" collapsed="false">
      <c r="A34" s="13" t="s">
        <v>1752</v>
      </c>
      <c r="B34" s="14" t="s">
        <v>558</v>
      </c>
      <c r="C34" s="15" t="s">
        <v>1753</v>
      </c>
      <c r="D34" s="15" t="s">
        <v>1754</v>
      </c>
      <c r="E34" s="23" t="s">
        <v>19</v>
      </c>
      <c r="F34" s="16"/>
      <c r="G34" s="16"/>
      <c r="H34" s="19" t="n">
        <f aca="false">LEN(IF(F34&lt;&gt;"",F34,D34))</f>
        <v>56</v>
      </c>
      <c r="I34" s="24" t="str">
        <f aca="false">IF(OR(H34&lt;2,H34&gt;140),"분량 확인","")</f>
        <v/>
      </c>
    </row>
    <row r="35" customFormat="false" ht="61.5" hidden="false" customHeight="true" outlineLevel="0" collapsed="false">
      <c r="A35" s="13" t="s">
        <v>1755</v>
      </c>
      <c r="B35" s="14" t="s">
        <v>558</v>
      </c>
      <c r="C35" s="15" t="s">
        <v>1756</v>
      </c>
      <c r="D35" s="15" t="s">
        <v>1757</v>
      </c>
      <c r="E35" s="23" t="s">
        <v>19</v>
      </c>
      <c r="F35" s="16"/>
      <c r="G35" s="16"/>
      <c r="H35" s="19" t="n">
        <f aca="false">LEN(IF(F35&lt;&gt;"",F35,D35))</f>
        <v>52</v>
      </c>
      <c r="I35" s="24" t="str">
        <f aca="false">IF(OR(H35&lt;2,H35&gt;140),"분량 확인","")</f>
        <v/>
      </c>
    </row>
    <row r="36" customFormat="false" ht="48" hidden="false" customHeight="true" outlineLevel="0" collapsed="false">
      <c r="A36" s="13" t="s">
        <v>1758</v>
      </c>
      <c r="B36" s="14" t="s">
        <v>558</v>
      </c>
      <c r="C36" s="15" t="s">
        <v>1759</v>
      </c>
      <c r="D36" s="15" t="s">
        <v>1760</v>
      </c>
      <c r="E36" s="23" t="s">
        <v>19</v>
      </c>
      <c r="F36" s="16"/>
      <c r="G36" s="16"/>
      <c r="H36" s="19" t="n">
        <f aca="false">LEN(IF(F36&lt;&gt;"",F36,D36))</f>
        <v>11</v>
      </c>
      <c r="I36" s="24" t="str">
        <f aca="false">IF(OR(H36&lt;2,H36&gt;140),"분량 확인","")</f>
        <v/>
      </c>
    </row>
    <row r="37" customFormat="false" ht="48" hidden="false" customHeight="true" outlineLevel="0" collapsed="false">
      <c r="A37" s="13" t="s">
        <v>1761</v>
      </c>
      <c r="B37" s="14" t="s">
        <v>558</v>
      </c>
      <c r="C37" s="15" t="s">
        <v>1762</v>
      </c>
      <c r="D37" s="15" t="s">
        <v>1763</v>
      </c>
      <c r="E37" s="23" t="s">
        <v>19</v>
      </c>
      <c r="F37" s="16"/>
      <c r="G37" s="16"/>
      <c r="H37" s="19" t="n">
        <f aca="false">LEN(IF(F37&lt;&gt;"",F37,D37))</f>
        <v>52</v>
      </c>
      <c r="I37" s="24" t="str">
        <f aca="false">IF(OR(H37&lt;2,H37&gt;140),"분량 확인","")</f>
        <v/>
      </c>
    </row>
    <row r="38" customFormat="false" ht="48" hidden="false" customHeight="true" outlineLevel="0" collapsed="false">
      <c r="A38" s="13" t="s">
        <v>1764</v>
      </c>
      <c r="B38" s="14" t="s">
        <v>558</v>
      </c>
      <c r="C38" s="15" t="s">
        <v>1765</v>
      </c>
      <c r="D38" s="14" t="s">
        <v>1766</v>
      </c>
      <c r="E38" s="23" t="s">
        <v>19</v>
      </c>
      <c r="F38" s="16"/>
      <c r="G38" s="16"/>
      <c r="H38" s="19" t="n">
        <f aca="false">LEN(IF(F38&lt;&gt;"",F38,D38))</f>
        <v>3</v>
      </c>
      <c r="I38" s="24" t="str">
        <f aca="false">IF(OR(H38&lt;2,H38&gt;140),"분량 확인","")</f>
        <v/>
      </c>
    </row>
    <row r="39" customFormat="false" ht="48" hidden="false" customHeight="true" outlineLevel="0" collapsed="false">
      <c r="A39" s="13" t="s">
        <v>1767</v>
      </c>
      <c r="B39" s="14" t="s">
        <v>558</v>
      </c>
      <c r="C39" s="15" t="s">
        <v>1768</v>
      </c>
      <c r="D39" s="15" t="s">
        <v>1769</v>
      </c>
      <c r="E39" s="23" t="s">
        <v>19</v>
      </c>
      <c r="F39" s="16"/>
      <c r="G39" s="16"/>
      <c r="H39" s="19" t="n">
        <f aca="false">LEN(IF(F39&lt;&gt;"",F39,D39))</f>
        <v>53</v>
      </c>
      <c r="I39" s="24" t="str">
        <f aca="false">IF(OR(H39&lt;2,H39&gt;140),"분량 확인","")</f>
        <v/>
      </c>
    </row>
    <row r="40" customFormat="false" ht="61.5" hidden="false" customHeight="true" outlineLevel="0" collapsed="false">
      <c r="A40" s="13" t="s">
        <v>1770</v>
      </c>
      <c r="B40" s="14" t="s">
        <v>577</v>
      </c>
      <c r="C40" s="15" t="s">
        <v>1658</v>
      </c>
      <c r="D40" s="15" t="s">
        <v>1771</v>
      </c>
      <c r="E40" s="23" t="s">
        <v>19</v>
      </c>
      <c r="F40" s="16"/>
      <c r="G40" s="16"/>
      <c r="H40" s="19" t="n">
        <f aca="false">LEN(IF(F40&lt;&gt;"",F40,D40))</f>
        <v>17</v>
      </c>
      <c r="I40" s="24" t="str">
        <f aca="false">IF(OR(H40&lt;2,H40&gt;140),"분량 확인","")</f>
        <v/>
      </c>
    </row>
    <row r="41" customFormat="false" ht="61.5" hidden="false" customHeight="true" outlineLevel="0" collapsed="false">
      <c r="A41" s="13" t="s">
        <v>1772</v>
      </c>
      <c r="B41" s="14" t="s">
        <v>577</v>
      </c>
      <c r="C41" s="15" t="s">
        <v>1661</v>
      </c>
      <c r="D41" s="15" t="s">
        <v>1773</v>
      </c>
      <c r="E41" s="23" t="s">
        <v>19</v>
      </c>
      <c r="F41" s="16"/>
      <c r="G41" s="16"/>
      <c r="H41" s="19" t="n">
        <f aca="false">LEN(IF(F41&lt;&gt;"",F41,D41))</f>
        <v>13</v>
      </c>
      <c r="I41" s="24" t="str">
        <f aca="false">IF(OR(H41&lt;2,H41&gt;140),"분량 확인","")</f>
        <v/>
      </c>
    </row>
    <row r="42" customFormat="false" ht="61.5" hidden="false" customHeight="true" outlineLevel="0" collapsed="false">
      <c r="A42" s="13" t="s">
        <v>1774</v>
      </c>
      <c r="B42" s="14" t="s">
        <v>577</v>
      </c>
      <c r="C42" s="15" t="s">
        <v>1664</v>
      </c>
      <c r="D42" s="15" t="s">
        <v>1775</v>
      </c>
      <c r="E42" s="23" t="s">
        <v>19</v>
      </c>
      <c r="F42" s="16"/>
      <c r="G42" s="16"/>
      <c r="H42" s="19" t="n">
        <f aca="false">LEN(IF(F42&lt;&gt;"",F42,D42))</f>
        <v>64</v>
      </c>
      <c r="I42" s="24" t="str">
        <f aca="false">IF(OR(H42&lt;2,H42&gt;140),"분량 확인","")</f>
        <v/>
      </c>
    </row>
    <row r="43" customFormat="false" ht="61.5" hidden="false" customHeight="true" outlineLevel="0" collapsed="false">
      <c r="A43" s="13" t="s">
        <v>1776</v>
      </c>
      <c r="B43" s="14" t="s">
        <v>577</v>
      </c>
      <c r="C43" s="15" t="s">
        <v>1667</v>
      </c>
      <c r="D43" s="15" t="s">
        <v>1777</v>
      </c>
      <c r="E43" s="23" t="s">
        <v>19</v>
      </c>
      <c r="F43" s="16"/>
      <c r="G43" s="16"/>
      <c r="H43" s="19" t="n">
        <f aca="false">LEN(IF(F43&lt;&gt;"",F43,D43))</f>
        <v>58</v>
      </c>
      <c r="I43" s="24" t="str">
        <f aca="false">IF(OR(H43&lt;2,H43&gt;140),"분량 확인","")</f>
        <v/>
      </c>
    </row>
    <row r="44" customFormat="false" ht="48" hidden="false" customHeight="true" outlineLevel="0" collapsed="false">
      <c r="A44" s="13" t="s">
        <v>1778</v>
      </c>
      <c r="B44" s="14" t="s">
        <v>577</v>
      </c>
      <c r="C44" s="15" t="s">
        <v>1670</v>
      </c>
      <c r="D44" s="15" t="s">
        <v>1779</v>
      </c>
      <c r="E44" s="23" t="s">
        <v>19</v>
      </c>
      <c r="F44" s="16"/>
      <c r="G44" s="16"/>
      <c r="H44" s="19" t="n">
        <f aca="false">LEN(IF(F44&lt;&gt;"",F44,D44))</f>
        <v>12</v>
      </c>
      <c r="I44" s="24" t="str">
        <f aca="false">IF(OR(H44&lt;2,H44&gt;140),"분량 확인","")</f>
        <v/>
      </c>
    </row>
    <row r="45" customFormat="false" ht="48" hidden="false" customHeight="true" outlineLevel="0" collapsed="false">
      <c r="A45" s="13" t="s">
        <v>1780</v>
      </c>
      <c r="B45" s="14" t="s">
        <v>577</v>
      </c>
      <c r="C45" s="15" t="s">
        <v>1673</v>
      </c>
      <c r="D45" s="15" t="s">
        <v>1781</v>
      </c>
      <c r="E45" s="23" t="s">
        <v>19</v>
      </c>
      <c r="F45" s="16"/>
      <c r="G45" s="16"/>
      <c r="H45" s="19" t="n">
        <f aca="false">LEN(IF(F45&lt;&gt;"",F45,D45))</f>
        <v>44</v>
      </c>
      <c r="I45" s="24" t="str">
        <f aca="false">IF(OR(H45&lt;2,H45&gt;140),"분량 확인","")</f>
        <v/>
      </c>
    </row>
    <row r="46" customFormat="false" ht="48" hidden="false" customHeight="true" outlineLevel="0" collapsed="false">
      <c r="A46" s="13" t="s">
        <v>1782</v>
      </c>
      <c r="B46" s="14" t="s">
        <v>577</v>
      </c>
      <c r="C46" s="15" t="s">
        <v>1676</v>
      </c>
      <c r="D46" s="14" t="s">
        <v>1783</v>
      </c>
      <c r="E46" s="23" t="s">
        <v>19</v>
      </c>
      <c r="F46" s="16"/>
      <c r="G46" s="16"/>
      <c r="H46" s="19" t="n">
        <f aca="false">LEN(IF(F46&lt;&gt;"",F46,D46))</f>
        <v>2</v>
      </c>
      <c r="I46" s="24" t="str">
        <f aca="false">IF(OR(H46&lt;2,H46&gt;140),"분량 확인","")</f>
        <v/>
      </c>
    </row>
    <row r="47" customFormat="false" ht="48" hidden="false" customHeight="true" outlineLevel="0" collapsed="false">
      <c r="A47" s="13" t="s">
        <v>1784</v>
      </c>
      <c r="B47" s="14" t="s">
        <v>577</v>
      </c>
      <c r="C47" s="15" t="s">
        <v>1679</v>
      </c>
      <c r="D47" s="15" t="s">
        <v>1785</v>
      </c>
      <c r="E47" s="23" t="s">
        <v>19</v>
      </c>
      <c r="F47" s="16"/>
      <c r="G47" s="16"/>
      <c r="H47" s="19" t="n">
        <f aca="false">LEN(IF(F47&lt;&gt;"",F47,D47))</f>
        <v>48</v>
      </c>
      <c r="I47" s="24" t="str">
        <f aca="false">IF(OR(H47&lt;2,H47&gt;140),"분량 확인","")</f>
        <v/>
      </c>
    </row>
    <row r="48" customFormat="false" ht="48" hidden="false" customHeight="true" outlineLevel="0" collapsed="false">
      <c r="A48" s="13" t="s">
        <v>1786</v>
      </c>
      <c r="B48" s="14" t="s">
        <v>577</v>
      </c>
      <c r="C48" s="15" t="s">
        <v>1682</v>
      </c>
      <c r="D48" s="15" t="s">
        <v>1787</v>
      </c>
      <c r="E48" s="23" t="s">
        <v>19</v>
      </c>
      <c r="F48" s="16"/>
      <c r="G48" s="16"/>
      <c r="H48" s="19" t="n">
        <f aca="false">LEN(IF(F48&lt;&gt;"",F48,D48))</f>
        <v>15</v>
      </c>
      <c r="I48" s="24" t="str">
        <f aca="false">IF(OR(H48&lt;2,H48&gt;140),"분량 확인","")</f>
        <v/>
      </c>
    </row>
    <row r="49" customFormat="false" ht="48" hidden="false" customHeight="true" outlineLevel="0" collapsed="false">
      <c r="A49" s="13" t="s">
        <v>1788</v>
      </c>
      <c r="B49" s="14" t="s">
        <v>577</v>
      </c>
      <c r="C49" s="15" t="s">
        <v>1685</v>
      </c>
      <c r="D49" s="15" t="s">
        <v>1789</v>
      </c>
      <c r="E49" s="23" t="s">
        <v>19</v>
      </c>
      <c r="F49" s="16"/>
      <c r="G49" s="16"/>
      <c r="H49" s="19" t="n">
        <f aca="false">LEN(IF(F49&lt;&gt;"",F49,D49))</f>
        <v>54</v>
      </c>
      <c r="I49" s="24" t="str">
        <f aca="false">IF(OR(H49&lt;2,H49&gt;140),"분량 확인","")</f>
        <v/>
      </c>
    </row>
    <row r="50" customFormat="false" ht="48" hidden="false" customHeight="true" outlineLevel="0" collapsed="false">
      <c r="A50" s="13" t="s">
        <v>1790</v>
      </c>
      <c r="B50" s="14" t="s">
        <v>577</v>
      </c>
      <c r="C50" s="15" t="s">
        <v>1688</v>
      </c>
      <c r="D50" s="15" t="s">
        <v>1689</v>
      </c>
      <c r="E50" s="23" t="s">
        <v>19</v>
      </c>
      <c r="F50" s="16"/>
      <c r="G50" s="16"/>
      <c r="H50" s="19" t="n">
        <f aca="false">LEN(IF(F50&lt;&gt;"",F50,D50))</f>
        <v>4</v>
      </c>
      <c r="I50" s="24" t="str">
        <f aca="false">IF(OR(H50&lt;2,H50&gt;140),"분량 확인","")</f>
        <v/>
      </c>
    </row>
    <row r="51" customFormat="false" ht="48" hidden="false" customHeight="true" outlineLevel="0" collapsed="false">
      <c r="A51" s="13" t="s">
        <v>1791</v>
      </c>
      <c r="B51" s="14" t="s">
        <v>577</v>
      </c>
      <c r="C51" s="15" t="s">
        <v>1691</v>
      </c>
      <c r="D51" s="15" t="s">
        <v>1792</v>
      </c>
      <c r="E51" s="23" t="s">
        <v>19</v>
      </c>
      <c r="F51" s="16"/>
      <c r="G51" s="16"/>
      <c r="H51" s="19" t="n">
        <f aca="false">LEN(IF(F51&lt;&gt;"",F51,D51))</f>
        <v>45</v>
      </c>
      <c r="I51" s="24" t="str">
        <f aca="false">IF(OR(H51&lt;2,H51&gt;140),"분량 확인","")</f>
        <v/>
      </c>
    </row>
    <row r="52" customFormat="false" ht="61.5" hidden="false" customHeight="true" outlineLevel="0" collapsed="false">
      <c r="A52" s="13" t="s">
        <v>1793</v>
      </c>
      <c r="B52" s="14" t="s">
        <v>577</v>
      </c>
      <c r="C52" s="15" t="s">
        <v>1694</v>
      </c>
      <c r="D52" s="15" t="s">
        <v>1794</v>
      </c>
      <c r="E52" s="23" t="s">
        <v>19</v>
      </c>
      <c r="F52" s="16"/>
      <c r="G52" s="16"/>
      <c r="H52" s="19" t="n">
        <f aca="false">LEN(IF(F52&lt;&gt;"",F52,D52))</f>
        <v>15</v>
      </c>
      <c r="I52" s="24" t="str">
        <f aca="false">IF(OR(H52&lt;2,H52&gt;140),"분량 확인","")</f>
        <v/>
      </c>
    </row>
    <row r="53" customFormat="false" ht="61.5" hidden="false" customHeight="true" outlineLevel="0" collapsed="false">
      <c r="A53" s="13" t="s">
        <v>1795</v>
      </c>
      <c r="B53" s="14" t="s">
        <v>577</v>
      </c>
      <c r="C53" s="15" t="s">
        <v>1697</v>
      </c>
      <c r="D53" s="14" t="s">
        <v>1796</v>
      </c>
      <c r="E53" s="23" t="s">
        <v>19</v>
      </c>
      <c r="F53" s="16"/>
      <c r="G53" s="16"/>
      <c r="H53" s="19" t="n">
        <f aca="false">LEN(IF(F53&lt;&gt;"",F53,D53))</f>
        <v>61</v>
      </c>
      <c r="I53" s="24" t="str">
        <f aca="false">IF(OR(H53&lt;2,H53&gt;140),"분량 확인","")</f>
        <v/>
      </c>
    </row>
    <row r="54" customFormat="false" ht="61.5" hidden="false" customHeight="true" outlineLevel="0" collapsed="false">
      <c r="A54" s="13" t="s">
        <v>1797</v>
      </c>
      <c r="B54" s="14" t="s">
        <v>577</v>
      </c>
      <c r="C54" s="15" t="s">
        <v>1700</v>
      </c>
      <c r="D54" s="15" t="s">
        <v>1798</v>
      </c>
      <c r="E54" s="23" t="s">
        <v>19</v>
      </c>
      <c r="F54" s="16"/>
      <c r="G54" s="16"/>
      <c r="H54" s="19" t="n">
        <f aca="false">LEN(IF(F54&lt;&gt;"",F54,D54))</f>
        <v>57</v>
      </c>
      <c r="I54" s="24" t="str">
        <f aca="false">IF(OR(H54&lt;2,H54&gt;140),"분량 확인","")</f>
        <v/>
      </c>
    </row>
    <row r="55" customFormat="false" ht="48" hidden="false" customHeight="true" outlineLevel="0" collapsed="false">
      <c r="A55" s="13" t="s">
        <v>1799</v>
      </c>
      <c r="B55" s="14" t="s">
        <v>577</v>
      </c>
      <c r="C55" s="15" t="s">
        <v>1703</v>
      </c>
      <c r="D55" s="15" t="s">
        <v>1800</v>
      </c>
      <c r="E55" s="23" t="s">
        <v>19</v>
      </c>
      <c r="F55" s="16"/>
      <c r="G55" s="16"/>
      <c r="H55" s="19" t="n">
        <f aca="false">LEN(IF(F55&lt;&gt;"",F55,D55))</f>
        <v>14</v>
      </c>
      <c r="I55" s="24" t="str">
        <f aca="false">IF(OR(H55&lt;2,H55&gt;140),"분량 확인","")</f>
        <v/>
      </c>
    </row>
    <row r="56" customFormat="false" ht="48" hidden="false" customHeight="true" outlineLevel="0" collapsed="false">
      <c r="A56" s="13" t="s">
        <v>1801</v>
      </c>
      <c r="B56" s="14" t="s">
        <v>577</v>
      </c>
      <c r="C56" s="15" t="s">
        <v>1706</v>
      </c>
      <c r="D56" s="15" t="s">
        <v>1802</v>
      </c>
      <c r="E56" s="23" t="s">
        <v>19</v>
      </c>
      <c r="F56" s="16"/>
      <c r="G56" s="16"/>
      <c r="H56" s="19" t="n">
        <f aca="false">LEN(IF(F56&lt;&gt;"",F56,D56))</f>
        <v>59</v>
      </c>
      <c r="I56" s="24" t="str">
        <f aca="false">IF(OR(H56&lt;2,H56&gt;140),"분량 확인","")</f>
        <v/>
      </c>
    </row>
    <row r="57" customFormat="false" ht="48" hidden="false" customHeight="true" outlineLevel="0" collapsed="false">
      <c r="A57" s="13" t="s">
        <v>1803</v>
      </c>
      <c r="B57" s="14" t="s">
        <v>577</v>
      </c>
      <c r="C57" s="15" t="s">
        <v>1709</v>
      </c>
      <c r="D57" s="14" t="s">
        <v>1766</v>
      </c>
      <c r="E57" s="23" t="s">
        <v>19</v>
      </c>
      <c r="F57" s="16"/>
      <c r="G57" s="16"/>
      <c r="H57" s="19" t="n">
        <f aca="false">LEN(IF(F57&lt;&gt;"",F57,D57))</f>
        <v>3</v>
      </c>
      <c r="I57" s="24" t="str">
        <f aca="false">IF(OR(H57&lt;2,H57&gt;140),"분량 확인","")</f>
        <v/>
      </c>
    </row>
    <row r="58" customFormat="false" ht="48" hidden="false" customHeight="true" outlineLevel="0" collapsed="false">
      <c r="A58" s="13" t="s">
        <v>1804</v>
      </c>
      <c r="B58" s="14" t="s">
        <v>577</v>
      </c>
      <c r="C58" s="15" t="s">
        <v>1712</v>
      </c>
      <c r="D58" s="15" t="s">
        <v>1805</v>
      </c>
      <c r="E58" s="23" t="s">
        <v>19</v>
      </c>
      <c r="F58" s="16"/>
      <c r="G58" s="16"/>
      <c r="H58" s="19" t="n">
        <f aca="false">LEN(IF(F58&lt;&gt;"",F58,D58))</f>
        <v>55</v>
      </c>
      <c r="I58" s="24" t="str">
        <f aca="false">IF(OR(H58&lt;2,H58&gt;140),"분량 확인","")</f>
        <v/>
      </c>
    </row>
    <row r="59" customFormat="false" ht="61.5" hidden="false" customHeight="true" outlineLevel="0" collapsed="false">
      <c r="A59" s="13" t="s">
        <v>1806</v>
      </c>
      <c r="B59" s="14" t="s">
        <v>577</v>
      </c>
      <c r="C59" s="15" t="s">
        <v>1715</v>
      </c>
      <c r="D59" s="15" t="s">
        <v>1807</v>
      </c>
      <c r="E59" s="23" t="s">
        <v>19</v>
      </c>
      <c r="F59" s="16"/>
      <c r="G59" s="16"/>
      <c r="H59" s="19" t="n">
        <f aca="false">LEN(IF(F59&lt;&gt;"",F59,D59))</f>
        <v>16</v>
      </c>
      <c r="I59" s="24" t="str">
        <f aca="false">IF(OR(H59&lt;2,H59&gt;140),"분량 확인","")</f>
        <v/>
      </c>
    </row>
    <row r="60" customFormat="false" ht="61.5" hidden="false" customHeight="true" outlineLevel="0" collapsed="false">
      <c r="A60" s="13" t="s">
        <v>1808</v>
      </c>
      <c r="B60" s="14" t="s">
        <v>577</v>
      </c>
      <c r="C60" s="15" t="s">
        <v>1718</v>
      </c>
      <c r="D60" s="15" t="s">
        <v>1809</v>
      </c>
      <c r="E60" s="23" t="s">
        <v>19</v>
      </c>
      <c r="F60" s="16"/>
      <c r="G60" s="16"/>
      <c r="H60" s="19" t="n">
        <f aca="false">LEN(IF(F60&lt;&gt;"",F60,D60))</f>
        <v>14</v>
      </c>
      <c r="I60" s="24" t="str">
        <f aca="false">IF(OR(H60&lt;2,H60&gt;140),"분량 확인","")</f>
        <v/>
      </c>
    </row>
    <row r="61" customFormat="false" ht="61.5" hidden="false" customHeight="true" outlineLevel="0" collapsed="false">
      <c r="A61" s="13" t="s">
        <v>1810</v>
      </c>
      <c r="B61" s="14" t="s">
        <v>577</v>
      </c>
      <c r="C61" s="15" t="s">
        <v>1721</v>
      </c>
      <c r="D61" s="15" t="s">
        <v>1811</v>
      </c>
      <c r="E61" s="23" t="s">
        <v>19</v>
      </c>
      <c r="F61" s="16"/>
      <c r="G61" s="16"/>
      <c r="H61" s="19" t="n">
        <f aca="false">LEN(IF(F61&lt;&gt;"",F61,D61))</f>
        <v>61</v>
      </c>
      <c r="I61" s="24" t="str">
        <f aca="false">IF(OR(H61&lt;2,H61&gt;140),"분량 확인","")</f>
        <v/>
      </c>
    </row>
    <row r="62" customFormat="false" ht="61.5" hidden="false" customHeight="true" outlineLevel="0" collapsed="false">
      <c r="A62" s="13" t="s">
        <v>1812</v>
      </c>
      <c r="B62" s="14" t="s">
        <v>577</v>
      </c>
      <c r="C62" s="15" t="s">
        <v>1724</v>
      </c>
      <c r="D62" s="15" t="s">
        <v>1813</v>
      </c>
      <c r="E62" s="23" t="s">
        <v>19</v>
      </c>
      <c r="F62" s="16"/>
      <c r="G62" s="16"/>
      <c r="H62" s="19" t="n">
        <f aca="false">LEN(IF(F62&lt;&gt;"",F62,D62))</f>
        <v>57</v>
      </c>
      <c r="I62" s="24" t="str">
        <f aca="false">IF(OR(H62&lt;2,H62&gt;140),"분량 확인","")</f>
        <v/>
      </c>
    </row>
    <row r="63" customFormat="false" ht="48" hidden="false" customHeight="true" outlineLevel="0" collapsed="false">
      <c r="A63" s="13" t="s">
        <v>1814</v>
      </c>
      <c r="B63" s="14" t="s">
        <v>577</v>
      </c>
      <c r="C63" s="15" t="s">
        <v>1727</v>
      </c>
      <c r="D63" s="15" t="s">
        <v>1815</v>
      </c>
      <c r="E63" s="23" t="s">
        <v>19</v>
      </c>
      <c r="F63" s="16"/>
      <c r="G63" s="16"/>
      <c r="H63" s="19" t="n">
        <f aca="false">LEN(IF(F63&lt;&gt;"",F63,D63))</f>
        <v>16</v>
      </c>
      <c r="I63" s="24" t="str">
        <f aca="false">IF(OR(H63&lt;2,H63&gt;140),"분량 확인","")</f>
        <v/>
      </c>
    </row>
    <row r="64" customFormat="false" ht="48" hidden="false" customHeight="true" outlineLevel="0" collapsed="false">
      <c r="A64" s="13" t="s">
        <v>1816</v>
      </c>
      <c r="B64" s="14" t="s">
        <v>577</v>
      </c>
      <c r="C64" s="15" t="s">
        <v>1730</v>
      </c>
      <c r="D64" s="15" t="s">
        <v>1817</v>
      </c>
      <c r="E64" s="23" t="s">
        <v>19</v>
      </c>
      <c r="F64" s="16"/>
      <c r="G64" s="16"/>
      <c r="H64" s="19" t="n">
        <f aca="false">LEN(IF(F64&lt;&gt;"",F64,D64))</f>
        <v>55</v>
      </c>
      <c r="I64" s="24" t="str">
        <f aca="false">IF(OR(H64&lt;2,H64&gt;140),"분량 확인","")</f>
        <v/>
      </c>
    </row>
    <row r="65" customFormat="false" ht="48" hidden="false" customHeight="true" outlineLevel="0" collapsed="false">
      <c r="A65" s="13" t="s">
        <v>1818</v>
      </c>
      <c r="B65" s="14" t="s">
        <v>577</v>
      </c>
      <c r="C65" s="15" t="s">
        <v>1733</v>
      </c>
      <c r="D65" s="14" t="s">
        <v>1783</v>
      </c>
      <c r="E65" s="23" t="s">
        <v>19</v>
      </c>
      <c r="F65" s="16"/>
      <c r="G65" s="16"/>
      <c r="H65" s="19" t="n">
        <f aca="false">LEN(IF(F65&lt;&gt;"",F65,D65))</f>
        <v>2</v>
      </c>
      <c r="I65" s="24" t="str">
        <f aca="false">IF(OR(H65&lt;2,H65&gt;140),"분량 확인","")</f>
        <v/>
      </c>
    </row>
    <row r="66" customFormat="false" ht="48" hidden="false" customHeight="true" outlineLevel="0" collapsed="false">
      <c r="A66" s="13" t="s">
        <v>1819</v>
      </c>
      <c r="B66" s="14" t="s">
        <v>577</v>
      </c>
      <c r="C66" s="15" t="s">
        <v>1736</v>
      </c>
      <c r="D66" s="15" t="s">
        <v>1820</v>
      </c>
      <c r="E66" s="23" t="s">
        <v>19</v>
      </c>
      <c r="F66" s="16"/>
      <c r="G66" s="16"/>
      <c r="H66" s="19" t="n">
        <f aca="false">LEN(IF(F66&lt;&gt;"",F66,D66))</f>
        <v>45</v>
      </c>
      <c r="I66" s="24" t="str">
        <f aca="false">IF(OR(H66&lt;2,H66&gt;140),"분량 확인","")</f>
        <v/>
      </c>
    </row>
    <row r="67" customFormat="false" ht="48" hidden="false" customHeight="true" outlineLevel="0" collapsed="false">
      <c r="A67" s="13" t="s">
        <v>1821</v>
      </c>
      <c r="B67" s="14" t="s">
        <v>577</v>
      </c>
      <c r="C67" s="15" t="s">
        <v>1739</v>
      </c>
      <c r="D67" s="15" t="s">
        <v>1822</v>
      </c>
      <c r="E67" s="23" t="s">
        <v>19</v>
      </c>
      <c r="F67" s="16"/>
      <c r="G67" s="16"/>
      <c r="H67" s="19" t="n">
        <f aca="false">LEN(IF(F67&lt;&gt;"",F67,D67))</f>
        <v>11</v>
      </c>
      <c r="I67" s="24" t="str">
        <f aca="false">IF(OR(H67&lt;2,H67&gt;140),"분량 확인","")</f>
        <v/>
      </c>
    </row>
    <row r="68" customFormat="false" ht="48" hidden="false" customHeight="true" outlineLevel="0" collapsed="false">
      <c r="A68" s="13" t="s">
        <v>1823</v>
      </c>
      <c r="B68" s="14" t="s">
        <v>577</v>
      </c>
      <c r="C68" s="15" t="s">
        <v>1742</v>
      </c>
      <c r="D68" s="15" t="s">
        <v>1824</v>
      </c>
      <c r="E68" s="23" t="s">
        <v>19</v>
      </c>
      <c r="F68" s="16"/>
      <c r="G68" s="16"/>
      <c r="H68" s="19" t="n">
        <f aca="false">LEN(IF(F68&lt;&gt;"",F68,D68))</f>
        <v>65</v>
      </c>
      <c r="I68" s="24" t="str">
        <f aca="false">IF(OR(H68&lt;2,H68&gt;140),"분량 확인","")</f>
        <v/>
      </c>
    </row>
    <row r="69" customFormat="false" ht="48" hidden="false" customHeight="true" outlineLevel="0" collapsed="false">
      <c r="A69" s="13" t="s">
        <v>1825</v>
      </c>
      <c r="B69" s="14" t="s">
        <v>577</v>
      </c>
      <c r="C69" s="15" t="s">
        <v>1745</v>
      </c>
      <c r="D69" s="15" t="s">
        <v>1689</v>
      </c>
      <c r="E69" s="23" t="s">
        <v>19</v>
      </c>
      <c r="F69" s="16"/>
      <c r="G69" s="16"/>
      <c r="H69" s="19" t="n">
        <f aca="false">LEN(IF(F69&lt;&gt;"",F69,D69))</f>
        <v>4</v>
      </c>
      <c r="I69" s="24" t="str">
        <f aca="false">IF(OR(H69&lt;2,H69&gt;140),"분량 확인","")</f>
        <v/>
      </c>
    </row>
    <row r="70" customFormat="false" ht="48" hidden="false" customHeight="true" outlineLevel="0" collapsed="false">
      <c r="A70" s="13" t="s">
        <v>1826</v>
      </c>
      <c r="B70" s="14" t="s">
        <v>577</v>
      </c>
      <c r="C70" s="15" t="s">
        <v>1747</v>
      </c>
      <c r="D70" s="15" t="s">
        <v>1827</v>
      </c>
      <c r="E70" s="23" t="s">
        <v>19</v>
      </c>
      <c r="F70" s="16"/>
      <c r="G70" s="16"/>
      <c r="H70" s="19" t="n">
        <f aca="false">LEN(IF(F70&lt;&gt;"",F70,D70))</f>
        <v>52</v>
      </c>
      <c r="I70" s="24" t="str">
        <f aca="false">IF(OR(H70&lt;2,H70&gt;140),"분량 확인","")</f>
        <v/>
      </c>
    </row>
    <row r="71" customFormat="false" ht="61.5" hidden="false" customHeight="true" outlineLevel="0" collapsed="false">
      <c r="A71" s="13" t="s">
        <v>1828</v>
      </c>
      <c r="B71" s="14" t="s">
        <v>577</v>
      </c>
      <c r="C71" s="15" t="s">
        <v>1750</v>
      </c>
      <c r="D71" s="15" t="s">
        <v>1829</v>
      </c>
      <c r="E71" s="23" t="s">
        <v>19</v>
      </c>
      <c r="F71" s="16"/>
      <c r="G71" s="16"/>
      <c r="H71" s="19" t="n">
        <f aca="false">LEN(IF(F71&lt;&gt;"",F71,D71))</f>
        <v>10</v>
      </c>
      <c r="I71" s="24" t="str">
        <f aca="false">IF(OR(H71&lt;2,H71&gt;140),"분량 확인","")</f>
        <v/>
      </c>
    </row>
    <row r="72" customFormat="false" ht="61.5" hidden="false" customHeight="true" outlineLevel="0" collapsed="false">
      <c r="A72" s="13" t="s">
        <v>1830</v>
      </c>
      <c r="B72" s="14" t="s">
        <v>577</v>
      </c>
      <c r="C72" s="15" t="s">
        <v>1753</v>
      </c>
      <c r="D72" s="15" t="s">
        <v>1831</v>
      </c>
      <c r="E72" s="23" t="s">
        <v>19</v>
      </c>
      <c r="F72" s="16"/>
      <c r="G72" s="16"/>
      <c r="H72" s="19" t="n">
        <f aca="false">LEN(IF(F72&lt;&gt;"",F72,D72))</f>
        <v>54</v>
      </c>
      <c r="I72" s="24" t="str">
        <f aca="false">IF(OR(H72&lt;2,H72&gt;140),"분량 확인","")</f>
        <v/>
      </c>
    </row>
    <row r="73" customFormat="false" ht="61.5" hidden="false" customHeight="true" outlineLevel="0" collapsed="false">
      <c r="A73" s="13" t="s">
        <v>1832</v>
      </c>
      <c r="B73" s="14" t="s">
        <v>577</v>
      </c>
      <c r="C73" s="15" t="s">
        <v>1756</v>
      </c>
      <c r="D73" s="15" t="s">
        <v>1833</v>
      </c>
      <c r="E73" s="23" t="s">
        <v>19</v>
      </c>
      <c r="F73" s="16"/>
      <c r="G73" s="16"/>
      <c r="H73" s="19" t="n">
        <f aca="false">LEN(IF(F73&lt;&gt;"",F73,D73))</f>
        <v>56</v>
      </c>
      <c r="I73" s="24" t="str">
        <f aca="false">IF(OR(H73&lt;2,H73&gt;140),"분량 확인","")</f>
        <v/>
      </c>
    </row>
    <row r="74" customFormat="false" ht="48" hidden="false" customHeight="true" outlineLevel="0" collapsed="false">
      <c r="A74" s="13" t="s">
        <v>1834</v>
      </c>
      <c r="B74" s="14" t="s">
        <v>577</v>
      </c>
      <c r="C74" s="15" t="s">
        <v>1759</v>
      </c>
      <c r="D74" s="15" t="s">
        <v>1835</v>
      </c>
      <c r="E74" s="23" t="s">
        <v>19</v>
      </c>
      <c r="F74" s="16"/>
      <c r="G74" s="16"/>
      <c r="H74" s="19" t="n">
        <f aca="false">LEN(IF(F74&lt;&gt;"",F74,D74))</f>
        <v>12</v>
      </c>
      <c r="I74" s="24" t="str">
        <f aca="false">IF(OR(H74&lt;2,H74&gt;140),"분량 확인","")</f>
        <v/>
      </c>
    </row>
    <row r="75" customFormat="false" ht="48" hidden="false" customHeight="true" outlineLevel="0" collapsed="false">
      <c r="A75" s="13" t="s">
        <v>1836</v>
      </c>
      <c r="B75" s="14" t="s">
        <v>577</v>
      </c>
      <c r="C75" s="15" t="s">
        <v>1762</v>
      </c>
      <c r="D75" s="15" t="s">
        <v>1837</v>
      </c>
      <c r="E75" s="23" t="s">
        <v>19</v>
      </c>
      <c r="F75" s="16"/>
      <c r="G75" s="16"/>
      <c r="H75" s="19" t="n">
        <f aca="false">LEN(IF(F75&lt;&gt;"",F75,D75))</f>
        <v>58</v>
      </c>
      <c r="I75" s="24" t="str">
        <f aca="false">IF(OR(H75&lt;2,H75&gt;140),"분량 확인","")</f>
        <v/>
      </c>
    </row>
    <row r="76" customFormat="false" ht="48" hidden="false" customHeight="true" outlineLevel="0" collapsed="false">
      <c r="A76" s="13" t="s">
        <v>1838</v>
      </c>
      <c r="B76" s="14" t="s">
        <v>577</v>
      </c>
      <c r="C76" s="15" t="s">
        <v>1765</v>
      </c>
      <c r="D76" s="14" t="s">
        <v>1710</v>
      </c>
      <c r="E76" s="23" t="s">
        <v>19</v>
      </c>
      <c r="F76" s="16"/>
      <c r="G76" s="16"/>
      <c r="H76" s="19" t="n">
        <f aca="false">LEN(IF(F76&lt;&gt;"",F76,D76))</f>
        <v>3</v>
      </c>
      <c r="I76" s="24" t="str">
        <f aca="false">IF(OR(H76&lt;2,H76&gt;140),"분량 확인","")</f>
        <v/>
      </c>
    </row>
    <row r="77" customFormat="false" ht="48" hidden="false" customHeight="true" outlineLevel="0" collapsed="false">
      <c r="A77" s="13" t="s">
        <v>1839</v>
      </c>
      <c r="B77" s="14" t="s">
        <v>577</v>
      </c>
      <c r="C77" s="15" t="s">
        <v>1768</v>
      </c>
      <c r="D77" s="15" t="s">
        <v>1840</v>
      </c>
      <c r="E77" s="23" t="s">
        <v>19</v>
      </c>
      <c r="F77" s="16"/>
      <c r="G77" s="16"/>
      <c r="H77" s="19" t="n">
        <f aca="false">LEN(IF(F77&lt;&gt;"",F77,D77))</f>
        <v>56</v>
      </c>
      <c r="I77" s="24" t="str">
        <f aca="false">IF(OR(H77&lt;2,H77&gt;140),"분량 확인","")</f>
        <v/>
      </c>
    </row>
    <row r="78" customFormat="false" ht="61.5" hidden="false" customHeight="true" outlineLevel="0" collapsed="false">
      <c r="A78" s="13" t="s">
        <v>1841</v>
      </c>
      <c r="B78" s="14" t="s">
        <v>590</v>
      </c>
      <c r="C78" s="15" t="s">
        <v>1658</v>
      </c>
      <c r="D78" s="15" t="s">
        <v>1842</v>
      </c>
      <c r="E78" s="23" t="s">
        <v>19</v>
      </c>
      <c r="F78" s="16"/>
      <c r="G78" s="16"/>
      <c r="H78" s="19" t="n">
        <f aca="false">LEN(IF(F78&lt;&gt;"",F78,D78))</f>
        <v>13</v>
      </c>
      <c r="I78" s="24" t="str">
        <f aca="false">IF(OR(H78&lt;2,H78&gt;140),"분량 확인","")</f>
        <v/>
      </c>
    </row>
    <row r="79" customFormat="false" ht="61.5" hidden="false" customHeight="true" outlineLevel="0" collapsed="false">
      <c r="A79" s="13" t="s">
        <v>1843</v>
      </c>
      <c r="B79" s="14" t="s">
        <v>590</v>
      </c>
      <c r="C79" s="15" t="s">
        <v>1661</v>
      </c>
      <c r="D79" s="15" t="s">
        <v>1844</v>
      </c>
      <c r="E79" s="23" t="s">
        <v>19</v>
      </c>
      <c r="F79" s="16"/>
      <c r="G79" s="16"/>
      <c r="H79" s="19" t="n">
        <f aca="false">LEN(IF(F79&lt;&gt;"",F79,D79))</f>
        <v>11</v>
      </c>
      <c r="I79" s="24" t="str">
        <f aca="false">IF(OR(H79&lt;2,H79&gt;140),"분량 확인","")</f>
        <v/>
      </c>
    </row>
    <row r="80" customFormat="false" ht="61.5" hidden="false" customHeight="true" outlineLevel="0" collapsed="false">
      <c r="A80" s="13" t="s">
        <v>1845</v>
      </c>
      <c r="B80" s="14" t="s">
        <v>590</v>
      </c>
      <c r="C80" s="15" t="s">
        <v>1664</v>
      </c>
      <c r="D80" s="15" t="s">
        <v>1846</v>
      </c>
      <c r="E80" s="23" t="s">
        <v>19</v>
      </c>
      <c r="F80" s="16"/>
      <c r="G80" s="16"/>
      <c r="H80" s="19" t="n">
        <f aca="false">LEN(IF(F80&lt;&gt;"",F80,D80))</f>
        <v>68</v>
      </c>
      <c r="I80" s="24" t="str">
        <f aca="false">IF(OR(H80&lt;2,H80&gt;140),"분량 확인","")</f>
        <v/>
      </c>
    </row>
    <row r="81" customFormat="false" ht="61.5" hidden="false" customHeight="true" outlineLevel="0" collapsed="false">
      <c r="A81" s="13" t="s">
        <v>1847</v>
      </c>
      <c r="B81" s="14" t="s">
        <v>590</v>
      </c>
      <c r="C81" s="15" t="s">
        <v>1667</v>
      </c>
      <c r="D81" s="15" t="s">
        <v>1848</v>
      </c>
      <c r="E81" s="23" t="s">
        <v>19</v>
      </c>
      <c r="F81" s="16"/>
      <c r="G81" s="16"/>
      <c r="H81" s="19" t="n">
        <f aca="false">LEN(IF(F81&lt;&gt;"",F81,D81))</f>
        <v>55</v>
      </c>
      <c r="I81" s="24" t="str">
        <f aca="false">IF(OR(H81&lt;2,H81&gt;140),"분량 확인","")</f>
        <v/>
      </c>
    </row>
    <row r="82" customFormat="false" ht="48" hidden="false" customHeight="true" outlineLevel="0" collapsed="false">
      <c r="A82" s="13" t="s">
        <v>1849</v>
      </c>
      <c r="B82" s="14" t="s">
        <v>590</v>
      </c>
      <c r="C82" s="15" t="s">
        <v>1670</v>
      </c>
      <c r="D82" s="15" t="s">
        <v>1850</v>
      </c>
      <c r="E82" s="23" t="s">
        <v>19</v>
      </c>
      <c r="F82" s="16"/>
      <c r="G82" s="16"/>
      <c r="H82" s="19" t="n">
        <f aca="false">LEN(IF(F82&lt;&gt;"",F82,D82))</f>
        <v>10</v>
      </c>
      <c r="I82" s="24" t="str">
        <f aca="false">IF(OR(H82&lt;2,H82&gt;140),"분량 확인","")</f>
        <v/>
      </c>
    </row>
    <row r="83" customFormat="false" ht="48" hidden="false" customHeight="true" outlineLevel="0" collapsed="false">
      <c r="A83" s="13" t="s">
        <v>1851</v>
      </c>
      <c r="B83" s="14" t="s">
        <v>590</v>
      </c>
      <c r="C83" s="15" t="s">
        <v>1673</v>
      </c>
      <c r="D83" s="15" t="s">
        <v>1852</v>
      </c>
      <c r="E83" s="23" t="s">
        <v>19</v>
      </c>
      <c r="F83" s="16"/>
      <c r="G83" s="16"/>
      <c r="H83" s="19" t="n">
        <f aca="false">LEN(IF(F83&lt;&gt;"",F83,D83))</f>
        <v>48</v>
      </c>
      <c r="I83" s="24" t="str">
        <f aca="false">IF(OR(H83&lt;2,H83&gt;140),"분량 확인","")</f>
        <v/>
      </c>
    </row>
    <row r="84" customFormat="false" ht="48" hidden="false" customHeight="true" outlineLevel="0" collapsed="false">
      <c r="A84" s="13" t="s">
        <v>1853</v>
      </c>
      <c r="B84" s="14" t="s">
        <v>590</v>
      </c>
      <c r="C84" s="15" t="s">
        <v>1676</v>
      </c>
      <c r="D84" s="14" t="s">
        <v>1734</v>
      </c>
      <c r="E84" s="23" t="s">
        <v>19</v>
      </c>
      <c r="F84" s="16"/>
      <c r="G84" s="16"/>
      <c r="H84" s="19" t="n">
        <f aca="false">LEN(IF(F84&lt;&gt;"",F84,D84))</f>
        <v>2</v>
      </c>
      <c r="I84" s="24" t="str">
        <f aca="false">IF(OR(H84&lt;2,H84&gt;140),"분량 확인","")</f>
        <v/>
      </c>
    </row>
    <row r="85" customFormat="false" ht="48" hidden="false" customHeight="true" outlineLevel="0" collapsed="false">
      <c r="A85" s="13" t="s">
        <v>1854</v>
      </c>
      <c r="B85" s="14" t="s">
        <v>590</v>
      </c>
      <c r="C85" s="15" t="s">
        <v>1679</v>
      </c>
      <c r="D85" s="15" t="s">
        <v>1855</v>
      </c>
      <c r="E85" s="23" t="s">
        <v>19</v>
      </c>
      <c r="F85" s="16"/>
      <c r="G85" s="16"/>
      <c r="H85" s="19" t="n">
        <f aca="false">LEN(IF(F85&lt;&gt;"",F85,D85))</f>
        <v>52</v>
      </c>
      <c r="I85" s="24" t="str">
        <f aca="false">IF(OR(H85&lt;2,H85&gt;140),"분량 확인","")</f>
        <v/>
      </c>
    </row>
    <row r="86" customFormat="false" ht="48" hidden="false" customHeight="true" outlineLevel="0" collapsed="false">
      <c r="A86" s="13" t="s">
        <v>1856</v>
      </c>
      <c r="B86" s="14" t="s">
        <v>590</v>
      </c>
      <c r="C86" s="15" t="s">
        <v>1682</v>
      </c>
      <c r="D86" s="15" t="s">
        <v>1857</v>
      </c>
      <c r="E86" s="23" t="s">
        <v>19</v>
      </c>
      <c r="F86" s="16"/>
      <c r="G86" s="16"/>
      <c r="H86" s="19" t="n">
        <f aca="false">LEN(IF(F86&lt;&gt;"",F86,D86))</f>
        <v>11</v>
      </c>
      <c r="I86" s="24" t="str">
        <f aca="false">IF(OR(H86&lt;2,H86&gt;140),"분량 확인","")</f>
        <v/>
      </c>
    </row>
    <row r="87" customFormat="false" ht="48" hidden="false" customHeight="true" outlineLevel="0" collapsed="false">
      <c r="A87" s="13" t="s">
        <v>1858</v>
      </c>
      <c r="B87" s="14" t="s">
        <v>590</v>
      </c>
      <c r="C87" s="15" t="s">
        <v>1685</v>
      </c>
      <c r="D87" s="15" t="s">
        <v>1859</v>
      </c>
      <c r="E87" s="23" t="s">
        <v>19</v>
      </c>
      <c r="F87" s="16"/>
      <c r="G87" s="16"/>
      <c r="H87" s="19" t="n">
        <f aca="false">LEN(IF(F87&lt;&gt;"",F87,D87))</f>
        <v>61</v>
      </c>
      <c r="I87" s="24" t="str">
        <f aca="false">IF(OR(H87&lt;2,H87&gt;140),"분량 확인","")</f>
        <v/>
      </c>
    </row>
    <row r="88" customFormat="false" ht="48" hidden="false" customHeight="true" outlineLevel="0" collapsed="false">
      <c r="A88" s="13" t="s">
        <v>1860</v>
      </c>
      <c r="B88" s="14" t="s">
        <v>590</v>
      </c>
      <c r="C88" s="15" t="s">
        <v>1688</v>
      </c>
      <c r="D88" s="15" t="s">
        <v>1689</v>
      </c>
      <c r="E88" s="23" t="s">
        <v>19</v>
      </c>
      <c r="F88" s="16"/>
      <c r="G88" s="16"/>
      <c r="H88" s="19" t="n">
        <f aca="false">LEN(IF(F88&lt;&gt;"",F88,D88))</f>
        <v>4</v>
      </c>
      <c r="I88" s="24" t="str">
        <f aca="false">IF(OR(H88&lt;2,H88&gt;140),"분량 확인","")</f>
        <v/>
      </c>
    </row>
    <row r="89" customFormat="false" ht="48" hidden="false" customHeight="true" outlineLevel="0" collapsed="false">
      <c r="A89" s="13" t="s">
        <v>1861</v>
      </c>
      <c r="B89" s="14" t="s">
        <v>590</v>
      </c>
      <c r="C89" s="15" t="s">
        <v>1691</v>
      </c>
      <c r="D89" s="15" t="s">
        <v>1862</v>
      </c>
      <c r="E89" s="23" t="s">
        <v>19</v>
      </c>
      <c r="F89" s="16"/>
      <c r="G89" s="16"/>
      <c r="H89" s="19" t="n">
        <f aca="false">LEN(IF(F89&lt;&gt;"",F89,D89))</f>
        <v>47</v>
      </c>
      <c r="I89" s="24" t="str">
        <f aca="false">IF(OR(H89&lt;2,H89&gt;140),"분량 확인","")</f>
        <v/>
      </c>
    </row>
    <row r="90" customFormat="false" ht="61.5" hidden="false" customHeight="true" outlineLevel="0" collapsed="false">
      <c r="A90" s="13" t="s">
        <v>1863</v>
      </c>
      <c r="B90" s="14" t="s">
        <v>590</v>
      </c>
      <c r="C90" s="15" t="s">
        <v>1694</v>
      </c>
      <c r="D90" s="15" t="s">
        <v>1864</v>
      </c>
      <c r="E90" s="23" t="s">
        <v>19</v>
      </c>
      <c r="F90" s="16"/>
      <c r="G90" s="16"/>
      <c r="H90" s="19" t="n">
        <f aca="false">LEN(IF(F90&lt;&gt;"",F90,D90))</f>
        <v>17</v>
      </c>
      <c r="I90" s="24" t="str">
        <f aca="false">IF(OR(H90&lt;2,H90&gt;140),"분량 확인","")</f>
        <v/>
      </c>
    </row>
    <row r="91" customFormat="false" ht="61.5" hidden="false" customHeight="true" outlineLevel="0" collapsed="false">
      <c r="A91" s="13" t="s">
        <v>1865</v>
      </c>
      <c r="B91" s="14" t="s">
        <v>590</v>
      </c>
      <c r="C91" s="15" t="s">
        <v>1697</v>
      </c>
      <c r="D91" s="15" t="s">
        <v>1866</v>
      </c>
      <c r="E91" s="23" t="s">
        <v>19</v>
      </c>
      <c r="F91" s="16"/>
      <c r="G91" s="16"/>
      <c r="H91" s="19" t="n">
        <f aca="false">LEN(IF(F91&lt;&gt;"",F91,D91))</f>
        <v>52</v>
      </c>
      <c r="I91" s="24" t="str">
        <f aca="false">IF(OR(H91&lt;2,H91&gt;140),"분량 확인","")</f>
        <v/>
      </c>
    </row>
    <row r="92" customFormat="false" ht="61.5" hidden="false" customHeight="true" outlineLevel="0" collapsed="false">
      <c r="A92" s="13" t="s">
        <v>1867</v>
      </c>
      <c r="B92" s="14" t="s">
        <v>590</v>
      </c>
      <c r="C92" s="15" t="s">
        <v>1700</v>
      </c>
      <c r="D92" s="15" t="s">
        <v>1868</v>
      </c>
      <c r="E92" s="23" t="s">
        <v>19</v>
      </c>
      <c r="F92" s="16"/>
      <c r="G92" s="16"/>
      <c r="H92" s="19" t="n">
        <f aca="false">LEN(IF(F92&lt;&gt;"",F92,D92))</f>
        <v>55</v>
      </c>
      <c r="I92" s="24" t="str">
        <f aca="false">IF(OR(H92&lt;2,H92&gt;140),"분량 확인","")</f>
        <v/>
      </c>
    </row>
    <row r="93" customFormat="false" ht="48" hidden="false" customHeight="true" outlineLevel="0" collapsed="false">
      <c r="A93" s="13" t="s">
        <v>1869</v>
      </c>
      <c r="B93" s="14" t="s">
        <v>590</v>
      </c>
      <c r="C93" s="15" t="s">
        <v>1703</v>
      </c>
      <c r="D93" s="15" t="s">
        <v>1870</v>
      </c>
      <c r="E93" s="23" t="s">
        <v>19</v>
      </c>
      <c r="F93" s="16"/>
      <c r="G93" s="16"/>
      <c r="H93" s="19" t="n">
        <f aca="false">LEN(IF(F93&lt;&gt;"",F93,D93))</f>
        <v>11</v>
      </c>
      <c r="I93" s="24" t="str">
        <f aca="false">IF(OR(H93&lt;2,H93&gt;140),"분량 확인","")</f>
        <v/>
      </c>
    </row>
    <row r="94" customFormat="false" ht="48" hidden="false" customHeight="true" outlineLevel="0" collapsed="false">
      <c r="A94" s="13" t="s">
        <v>1871</v>
      </c>
      <c r="B94" s="14" t="s">
        <v>590</v>
      </c>
      <c r="C94" s="15" t="s">
        <v>1706</v>
      </c>
      <c r="D94" s="15" t="s">
        <v>1872</v>
      </c>
      <c r="E94" s="23" t="s">
        <v>19</v>
      </c>
      <c r="F94" s="16"/>
      <c r="G94" s="16"/>
      <c r="H94" s="19" t="n">
        <f aca="false">LEN(IF(F94&lt;&gt;"",F94,D94))</f>
        <v>53</v>
      </c>
      <c r="I94" s="24" t="str">
        <f aca="false">IF(OR(H94&lt;2,H94&gt;140),"분량 확인","")</f>
        <v/>
      </c>
    </row>
    <row r="95" customFormat="false" ht="48" hidden="false" customHeight="true" outlineLevel="0" collapsed="false">
      <c r="A95" s="13" t="s">
        <v>1873</v>
      </c>
      <c r="B95" s="14" t="s">
        <v>590</v>
      </c>
      <c r="C95" s="15" t="s">
        <v>1709</v>
      </c>
      <c r="D95" s="14" t="s">
        <v>1766</v>
      </c>
      <c r="E95" s="23" t="s">
        <v>19</v>
      </c>
      <c r="F95" s="16"/>
      <c r="G95" s="16"/>
      <c r="H95" s="19" t="n">
        <f aca="false">LEN(IF(F95&lt;&gt;"",F95,D95))</f>
        <v>3</v>
      </c>
      <c r="I95" s="24" t="str">
        <f aca="false">IF(OR(H95&lt;2,H95&gt;140),"분량 확인","")</f>
        <v/>
      </c>
    </row>
    <row r="96" customFormat="false" ht="48" hidden="false" customHeight="true" outlineLevel="0" collapsed="false">
      <c r="A96" s="13" t="s">
        <v>1874</v>
      </c>
      <c r="B96" s="14" t="s">
        <v>590</v>
      </c>
      <c r="C96" s="15" t="s">
        <v>1712</v>
      </c>
      <c r="D96" s="15" t="s">
        <v>1875</v>
      </c>
      <c r="E96" s="23" t="s">
        <v>19</v>
      </c>
      <c r="F96" s="16"/>
      <c r="G96" s="16"/>
      <c r="H96" s="19" t="n">
        <f aca="false">LEN(IF(F96&lt;&gt;"",F96,D96))</f>
        <v>59</v>
      </c>
      <c r="I96" s="24" t="str">
        <f aca="false">IF(OR(H96&lt;2,H96&gt;140),"분량 확인","")</f>
        <v/>
      </c>
    </row>
    <row r="97" customFormat="false" ht="61.5" hidden="false" customHeight="true" outlineLevel="0" collapsed="false">
      <c r="A97" s="13" t="s">
        <v>1876</v>
      </c>
      <c r="B97" s="14" t="s">
        <v>590</v>
      </c>
      <c r="C97" s="15" t="s">
        <v>1715</v>
      </c>
      <c r="D97" s="15" t="s">
        <v>1877</v>
      </c>
      <c r="E97" s="23" t="s">
        <v>19</v>
      </c>
      <c r="F97" s="16"/>
      <c r="G97" s="16"/>
      <c r="H97" s="19" t="n">
        <f aca="false">LEN(IF(F97&lt;&gt;"",F97,D97))</f>
        <v>17</v>
      </c>
      <c r="I97" s="24" t="str">
        <f aca="false">IF(OR(H97&lt;2,H97&gt;140),"분량 확인","")</f>
        <v/>
      </c>
    </row>
    <row r="98" customFormat="false" ht="61.5" hidden="false" customHeight="true" outlineLevel="0" collapsed="false">
      <c r="A98" s="13" t="s">
        <v>1878</v>
      </c>
      <c r="B98" s="14" t="s">
        <v>590</v>
      </c>
      <c r="C98" s="15" t="s">
        <v>1718</v>
      </c>
      <c r="D98" s="15" t="s">
        <v>1879</v>
      </c>
      <c r="E98" s="23" t="s">
        <v>19</v>
      </c>
      <c r="F98" s="16"/>
      <c r="G98" s="16"/>
      <c r="H98" s="19" t="n">
        <f aca="false">LEN(IF(F98&lt;&gt;"",F98,D98))</f>
        <v>12</v>
      </c>
      <c r="I98" s="24" t="str">
        <f aca="false">IF(OR(H98&lt;2,H98&gt;140),"분량 확인","")</f>
        <v/>
      </c>
    </row>
    <row r="99" customFormat="false" ht="61.5" hidden="false" customHeight="true" outlineLevel="0" collapsed="false">
      <c r="A99" s="13" t="s">
        <v>1880</v>
      </c>
      <c r="B99" s="14" t="s">
        <v>590</v>
      </c>
      <c r="C99" s="15" t="s">
        <v>1721</v>
      </c>
      <c r="D99" s="15" t="s">
        <v>1881</v>
      </c>
      <c r="E99" s="23" t="s">
        <v>19</v>
      </c>
      <c r="F99" s="16"/>
      <c r="G99" s="16"/>
      <c r="H99" s="19" t="n">
        <f aca="false">LEN(IF(F99&lt;&gt;"",F99,D99))</f>
        <v>59</v>
      </c>
      <c r="I99" s="24" t="str">
        <f aca="false">IF(OR(H99&lt;2,H99&gt;140),"분량 확인","")</f>
        <v/>
      </c>
    </row>
    <row r="100" customFormat="false" ht="61.5" hidden="false" customHeight="true" outlineLevel="0" collapsed="false">
      <c r="A100" s="13" t="s">
        <v>1882</v>
      </c>
      <c r="B100" s="14" t="s">
        <v>590</v>
      </c>
      <c r="C100" s="15" t="s">
        <v>1724</v>
      </c>
      <c r="D100" s="15" t="s">
        <v>1883</v>
      </c>
      <c r="E100" s="23" t="s">
        <v>19</v>
      </c>
      <c r="F100" s="16"/>
      <c r="G100" s="16"/>
      <c r="H100" s="19" t="n">
        <f aca="false">LEN(IF(F100&lt;&gt;"",F100,D100))</f>
        <v>54</v>
      </c>
      <c r="I100" s="24" t="str">
        <f aca="false">IF(OR(H100&lt;2,H100&gt;140),"분량 확인","")</f>
        <v/>
      </c>
    </row>
    <row r="101" customFormat="false" ht="48" hidden="false" customHeight="true" outlineLevel="0" collapsed="false">
      <c r="A101" s="13" t="s">
        <v>1884</v>
      </c>
      <c r="B101" s="14" t="s">
        <v>590</v>
      </c>
      <c r="C101" s="15" t="s">
        <v>1727</v>
      </c>
      <c r="D101" s="15" t="s">
        <v>1885</v>
      </c>
      <c r="E101" s="23" t="s">
        <v>19</v>
      </c>
      <c r="F101" s="16"/>
      <c r="G101" s="16"/>
      <c r="H101" s="19" t="n">
        <f aca="false">LEN(IF(F101&lt;&gt;"",F101,D101))</f>
        <v>11</v>
      </c>
      <c r="I101" s="24" t="str">
        <f aca="false">IF(OR(H101&lt;2,H101&gt;140),"분량 확인","")</f>
        <v/>
      </c>
    </row>
    <row r="102" customFormat="false" ht="48" hidden="false" customHeight="true" outlineLevel="0" collapsed="false">
      <c r="A102" s="13" t="s">
        <v>1886</v>
      </c>
      <c r="B102" s="14" t="s">
        <v>590</v>
      </c>
      <c r="C102" s="15" t="s">
        <v>1730</v>
      </c>
      <c r="D102" s="15" t="s">
        <v>1887</v>
      </c>
      <c r="E102" s="23" t="s">
        <v>19</v>
      </c>
      <c r="F102" s="16"/>
      <c r="G102" s="16"/>
      <c r="H102" s="19" t="n">
        <f aca="false">LEN(IF(F102&lt;&gt;"",F102,D102))</f>
        <v>42</v>
      </c>
      <c r="I102" s="24" t="str">
        <f aca="false">IF(OR(H102&lt;2,H102&gt;140),"분량 확인","")</f>
        <v/>
      </c>
    </row>
    <row r="103" customFormat="false" ht="48" hidden="false" customHeight="true" outlineLevel="0" collapsed="false">
      <c r="A103" s="13" t="s">
        <v>1888</v>
      </c>
      <c r="B103" s="14" t="s">
        <v>590</v>
      </c>
      <c r="C103" s="15" t="s">
        <v>1733</v>
      </c>
      <c r="D103" s="14" t="s">
        <v>1677</v>
      </c>
      <c r="E103" s="23" t="s">
        <v>19</v>
      </c>
      <c r="F103" s="16"/>
      <c r="G103" s="16"/>
      <c r="H103" s="19" t="n">
        <f aca="false">LEN(IF(F103&lt;&gt;"",F103,D103))</f>
        <v>2</v>
      </c>
      <c r="I103" s="24" t="str">
        <f aca="false">IF(OR(H103&lt;2,H103&gt;140),"분량 확인","")</f>
        <v/>
      </c>
    </row>
    <row r="104" customFormat="false" ht="48" hidden="false" customHeight="true" outlineLevel="0" collapsed="false">
      <c r="A104" s="13" t="s">
        <v>1889</v>
      </c>
      <c r="B104" s="14" t="s">
        <v>590</v>
      </c>
      <c r="C104" s="15" t="s">
        <v>1736</v>
      </c>
      <c r="D104" s="15" t="s">
        <v>1890</v>
      </c>
      <c r="E104" s="23" t="s">
        <v>19</v>
      </c>
      <c r="F104" s="16"/>
      <c r="G104" s="16"/>
      <c r="H104" s="19" t="n">
        <f aca="false">LEN(IF(F104&lt;&gt;"",F104,D104))</f>
        <v>48</v>
      </c>
      <c r="I104" s="24" t="str">
        <f aca="false">IF(OR(H104&lt;2,H104&gt;140),"분량 확인","")</f>
        <v/>
      </c>
    </row>
    <row r="105" customFormat="false" ht="48" hidden="false" customHeight="true" outlineLevel="0" collapsed="false">
      <c r="A105" s="13" t="s">
        <v>1891</v>
      </c>
      <c r="B105" s="14" t="s">
        <v>590</v>
      </c>
      <c r="C105" s="15" t="s">
        <v>1739</v>
      </c>
      <c r="D105" s="15" t="s">
        <v>1892</v>
      </c>
      <c r="E105" s="23" t="s">
        <v>19</v>
      </c>
      <c r="F105" s="16"/>
      <c r="G105" s="16"/>
      <c r="H105" s="19" t="n">
        <f aca="false">LEN(IF(F105&lt;&gt;"",F105,D105))</f>
        <v>10</v>
      </c>
      <c r="I105" s="24" t="str">
        <f aca="false">IF(OR(H105&lt;2,H105&gt;140),"분량 확인","")</f>
        <v/>
      </c>
    </row>
    <row r="106" customFormat="false" ht="48" hidden="false" customHeight="true" outlineLevel="0" collapsed="false">
      <c r="A106" s="13" t="s">
        <v>1893</v>
      </c>
      <c r="B106" s="14" t="s">
        <v>590</v>
      </c>
      <c r="C106" s="15" t="s">
        <v>1742</v>
      </c>
      <c r="D106" s="15" t="s">
        <v>1894</v>
      </c>
      <c r="E106" s="23" t="s">
        <v>19</v>
      </c>
      <c r="F106" s="16"/>
      <c r="G106" s="16"/>
      <c r="H106" s="19" t="n">
        <f aca="false">LEN(IF(F106&lt;&gt;"",F106,D106))</f>
        <v>65</v>
      </c>
      <c r="I106" s="24" t="str">
        <f aca="false">IF(OR(H106&lt;2,H106&gt;140),"분량 확인","")</f>
        <v/>
      </c>
    </row>
    <row r="107" customFormat="false" ht="48" hidden="false" customHeight="true" outlineLevel="0" collapsed="false">
      <c r="A107" s="13" t="s">
        <v>1895</v>
      </c>
      <c r="B107" s="14" t="s">
        <v>590</v>
      </c>
      <c r="C107" s="15" t="s">
        <v>1745</v>
      </c>
      <c r="D107" s="15" t="s">
        <v>1689</v>
      </c>
      <c r="E107" s="23" t="s">
        <v>19</v>
      </c>
      <c r="F107" s="16"/>
      <c r="G107" s="16"/>
      <c r="H107" s="19" t="n">
        <f aca="false">LEN(IF(F107&lt;&gt;"",F107,D107))</f>
        <v>4</v>
      </c>
      <c r="I107" s="24" t="str">
        <f aca="false">IF(OR(H107&lt;2,H107&gt;140),"분량 확인","")</f>
        <v/>
      </c>
    </row>
    <row r="108" customFormat="false" ht="48" hidden="false" customHeight="true" outlineLevel="0" collapsed="false">
      <c r="A108" s="13" t="s">
        <v>1896</v>
      </c>
      <c r="B108" s="14" t="s">
        <v>590</v>
      </c>
      <c r="C108" s="15" t="s">
        <v>1747</v>
      </c>
      <c r="D108" s="15" t="s">
        <v>1897</v>
      </c>
      <c r="E108" s="23" t="s">
        <v>19</v>
      </c>
      <c r="F108" s="16"/>
      <c r="G108" s="16"/>
      <c r="H108" s="19" t="n">
        <f aca="false">LEN(IF(F108&lt;&gt;"",F108,D108))</f>
        <v>46</v>
      </c>
      <c r="I108" s="24" t="str">
        <f aca="false">IF(OR(H108&lt;2,H108&gt;140),"분량 확인","")</f>
        <v/>
      </c>
    </row>
    <row r="109" customFormat="false" ht="61.5" hidden="false" customHeight="true" outlineLevel="0" collapsed="false">
      <c r="A109" s="13" t="s">
        <v>1898</v>
      </c>
      <c r="B109" s="14" t="s">
        <v>590</v>
      </c>
      <c r="C109" s="15" t="s">
        <v>1750</v>
      </c>
      <c r="D109" s="15" t="s">
        <v>1899</v>
      </c>
      <c r="E109" s="23" t="s">
        <v>19</v>
      </c>
      <c r="F109" s="16"/>
      <c r="G109" s="16"/>
      <c r="H109" s="19" t="n">
        <f aca="false">LEN(IF(F109&lt;&gt;"",F109,D109))</f>
        <v>13</v>
      </c>
      <c r="I109" s="24" t="str">
        <f aca="false">IF(OR(H109&lt;2,H109&gt;140),"분량 확인","")</f>
        <v/>
      </c>
    </row>
    <row r="110" customFormat="false" ht="61.5" hidden="false" customHeight="true" outlineLevel="0" collapsed="false">
      <c r="A110" s="13" t="s">
        <v>1900</v>
      </c>
      <c r="B110" s="14" t="s">
        <v>590</v>
      </c>
      <c r="C110" s="15" t="s">
        <v>1753</v>
      </c>
      <c r="D110" s="15" t="s">
        <v>1901</v>
      </c>
      <c r="E110" s="23" t="s">
        <v>19</v>
      </c>
      <c r="F110" s="16"/>
      <c r="G110" s="16"/>
      <c r="H110" s="19" t="n">
        <f aca="false">LEN(IF(F110&lt;&gt;"",F110,D110))</f>
        <v>62</v>
      </c>
      <c r="I110" s="24" t="str">
        <f aca="false">IF(OR(H110&lt;2,H110&gt;140),"분량 확인","")</f>
        <v/>
      </c>
    </row>
    <row r="111" customFormat="false" ht="61.5" hidden="false" customHeight="true" outlineLevel="0" collapsed="false">
      <c r="A111" s="13" t="s">
        <v>1902</v>
      </c>
      <c r="B111" s="14" t="s">
        <v>590</v>
      </c>
      <c r="C111" s="15" t="s">
        <v>1756</v>
      </c>
      <c r="D111" s="15" t="s">
        <v>1903</v>
      </c>
      <c r="E111" s="23" t="s">
        <v>19</v>
      </c>
      <c r="F111" s="16"/>
      <c r="G111" s="16"/>
      <c r="H111" s="19" t="n">
        <f aca="false">LEN(IF(F111&lt;&gt;"",F111,D111))</f>
        <v>55</v>
      </c>
      <c r="I111" s="24" t="str">
        <f aca="false">IF(OR(H111&lt;2,H111&gt;140),"분량 확인","")</f>
        <v/>
      </c>
    </row>
    <row r="112" customFormat="false" ht="48" hidden="false" customHeight="true" outlineLevel="0" collapsed="false">
      <c r="A112" s="13" t="s">
        <v>1904</v>
      </c>
      <c r="B112" s="14" t="s">
        <v>590</v>
      </c>
      <c r="C112" s="15" t="s">
        <v>1759</v>
      </c>
      <c r="D112" s="15" t="s">
        <v>1905</v>
      </c>
      <c r="E112" s="23" t="s">
        <v>19</v>
      </c>
      <c r="F112" s="16"/>
      <c r="G112" s="16"/>
      <c r="H112" s="19" t="n">
        <f aca="false">LEN(IF(F112&lt;&gt;"",F112,D112))</f>
        <v>11</v>
      </c>
      <c r="I112" s="24" t="str">
        <f aca="false">IF(OR(H112&lt;2,H112&gt;140),"분량 확인","")</f>
        <v/>
      </c>
    </row>
    <row r="113" customFormat="false" ht="48" hidden="false" customHeight="true" outlineLevel="0" collapsed="false">
      <c r="A113" s="13" t="s">
        <v>1906</v>
      </c>
      <c r="B113" s="14" t="s">
        <v>590</v>
      </c>
      <c r="C113" s="15" t="s">
        <v>1762</v>
      </c>
      <c r="D113" s="15" t="s">
        <v>1907</v>
      </c>
      <c r="E113" s="23" t="s">
        <v>19</v>
      </c>
      <c r="F113" s="16"/>
      <c r="G113" s="16"/>
      <c r="H113" s="19" t="n">
        <f aca="false">LEN(IF(F113&lt;&gt;"",F113,D113))</f>
        <v>58</v>
      </c>
      <c r="I113" s="24" t="str">
        <f aca="false">IF(OR(H113&lt;2,H113&gt;140),"분량 확인","")</f>
        <v/>
      </c>
    </row>
    <row r="114" customFormat="false" ht="48" hidden="false" customHeight="true" outlineLevel="0" collapsed="false">
      <c r="A114" s="13" t="s">
        <v>1908</v>
      </c>
      <c r="B114" s="14" t="s">
        <v>590</v>
      </c>
      <c r="C114" s="15" t="s">
        <v>1765</v>
      </c>
      <c r="D114" s="14" t="s">
        <v>1710</v>
      </c>
      <c r="E114" s="23" t="s">
        <v>19</v>
      </c>
      <c r="F114" s="16"/>
      <c r="G114" s="16"/>
      <c r="H114" s="19" t="n">
        <f aca="false">LEN(IF(F114&lt;&gt;"",F114,D114))</f>
        <v>3</v>
      </c>
      <c r="I114" s="24" t="str">
        <f aca="false">IF(OR(H114&lt;2,H114&gt;140),"분량 확인","")</f>
        <v/>
      </c>
    </row>
    <row r="115" customFormat="false" ht="48" hidden="false" customHeight="true" outlineLevel="0" collapsed="false">
      <c r="A115" s="13" t="s">
        <v>1909</v>
      </c>
      <c r="B115" s="14" t="s">
        <v>590</v>
      </c>
      <c r="C115" s="15" t="s">
        <v>1768</v>
      </c>
      <c r="D115" s="15" t="s">
        <v>1910</v>
      </c>
      <c r="E115" s="23" t="s">
        <v>19</v>
      </c>
      <c r="F115" s="16"/>
      <c r="G115" s="16"/>
      <c r="H115" s="19" t="n">
        <f aca="false">LEN(IF(F115&lt;&gt;"",F115,D115))</f>
        <v>54</v>
      </c>
      <c r="I115" s="24" t="str">
        <f aca="false">IF(OR(H115&lt;2,H115&gt;140),"분량 확인","")</f>
        <v/>
      </c>
    </row>
    <row r="116" customFormat="false" ht="61.5" hidden="false" customHeight="true" outlineLevel="0" collapsed="false">
      <c r="A116" s="13" t="s">
        <v>1911</v>
      </c>
      <c r="B116" s="14" t="s">
        <v>603</v>
      </c>
      <c r="C116" s="15" t="s">
        <v>1658</v>
      </c>
      <c r="D116" s="15" t="s">
        <v>1912</v>
      </c>
      <c r="E116" s="23" t="s">
        <v>19</v>
      </c>
      <c r="F116" s="16"/>
      <c r="G116" s="16"/>
      <c r="H116" s="19" t="n">
        <f aca="false">LEN(IF(F116&lt;&gt;"",F116,D116))</f>
        <v>18</v>
      </c>
      <c r="I116" s="24" t="str">
        <f aca="false">IF(OR(H116&lt;2,H116&gt;140),"분량 확인","")</f>
        <v/>
      </c>
    </row>
    <row r="117" customFormat="false" ht="61.5" hidden="false" customHeight="true" outlineLevel="0" collapsed="false">
      <c r="A117" s="13" t="s">
        <v>1913</v>
      </c>
      <c r="B117" s="14" t="s">
        <v>603</v>
      </c>
      <c r="C117" s="15" t="s">
        <v>1661</v>
      </c>
      <c r="D117" s="15" t="s">
        <v>1914</v>
      </c>
      <c r="E117" s="23" t="s">
        <v>19</v>
      </c>
      <c r="F117" s="16"/>
      <c r="G117" s="16"/>
      <c r="H117" s="19" t="n">
        <f aca="false">LEN(IF(F117&lt;&gt;"",F117,D117))</f>
        <v>13</v>
      </c>
      <c r="I117" s="24" t="str">
        <f aca="false">IF(OR(H117&lt;2,H117&gt;140),"분량 확인","")</f>
        <v/>
      </c>
    </row>
    <row r="118" customFormat="false" ht="61.5" hidden="false" customHeight="true" outlineLevel="0" collapsed="false">
      <c r="A118" s="13" t="s">
        <v>1915</v>
      </c>
      <c r="B118" s="14" t="s">
        <v>603</v>
      </c>
      <c r="C118" s="15" t="s">
        <v>1664</v>
      </c>
      <c r="D118" s="15" t="s">
        <v>1916</v>
      </c>
      <c r="E118" s="23" t="s">
        <v>19</v>
      </c>
      <c r="F118" s="16"/>
      <c r="G118" s="16"/>
      <c r="H118" s="19" t="n">
        <f aca="false">LEN(IF(F118&lt;&gt;"",F118,D118))</f>
        <v>56</v>
      </c>
      <c r="I118" s="24" t="str">
        <f aca="false">IF(OR(H118&lt;2,H118&gt;140),"분량 확인","")</f>
        <v/>
      </c>
    </row>
    <row r="119" customFormat="false" ht="61.5" hidden="false" customHeight="true" outlineLevel="0" collapsed="false">
      <c r="A119" s="13" t="s">
        <v>1917</v>
      </c>
      <c r="B119" s="14" t="s">
        <v>603</v>
      </c>
      <c r="C119" s="15" t="s">
        <v>1667</v>
      </c>
      <c r="D119" s="15" t="s">
        <v>1918</v>
      </c>
      <c r="E119" s="23" t="s">
        <v>19</v>
      </c>
      <c r="F119" s="16"/>
      <c r="G119" s="16"/>
      <c r="H119" s="19" t="n">
        <f aca="false">LEN(IF(F119&lt;&gt;"",F119,D119))</f>
        <v>57</v>
      </c>
      <c r="I119" s="24" t="str">
        <f aca="false">IF(OR(H119&lt;2,H119&gt;140),"분량 확인","")</f>
        <v/>
      </c>
    </row>
    <row r="120" customFormat="false" ht="48" hidden="false" customHeight="true" outlineLevel="0" collapsed="false">
      <c r="A120" s="13" t="s">
        <v>1919</v>
      </c>
      <c r="B120" s="14" t="s">
        <v>603</v>
      </c>
      <c r="C120" s="15" t="s">
        <v>1670</v>
      </c>
      <c r="D120" s="15" t="s">
        <v>1920</v>
      </c>
      <c r="E120" s="23" t="s">
        <v>19</v>
      </c>
      <c r="F120" s="16"/>
      <c r="G120" s="16"/>
      <c r="H120" s="19" t="n">
        <f aca="false">LEN(IF(F120&lt;&gt;"",F120,D120))</f>
        <v>12</v>
      </c>
      <c r="I120" s="24" t="str">
        <f aca="false">IF(OR(H120&lt;2,H120&gt;140),"분량 확인","")</f>
        <v/>
      </c>
    </row>
    <row r="121" customFormat="false" ht="48" hidden="false" customHeight="true" outlineLevel="0" collapsed="false">
      <c r="A121" s="13" t="s">
        <v>1921</v>
      </c>
      <c r="B121" s="14" t="s">
        <v>603</v>
      </c>
      <c r="C121" s="15" t="s">
        <v>1673</v>
      </c>
      <c r="D121" s="15" t="s">
        <v>1922</v>
      </c>
      <c r="E121" s="23" t="s">
        <v>19</v>
      </c>
      <c r="F121" s="16"/>
      <c r="G121" s="16"/>
      <c r="H121" s="19" t="n">
        <f aca="false">LEN(IF(F121&lt;&gt;"",F121,D121))</f>
        <v>42</v>
      </c>
      <c r="I121" s="24" t="str">
        <f aca="false">IF(OR(H121&lt;2,H121&gt;140),"분량 확인","")</f>
        <v/>
      </c>
    </row>
    <row r="122" customFormat="false" ht="48" hidden="false" customHeight="true" outlineLevel="0" collapsed="false">
      <c r="A122" s="13" t="s">
        <v>1923</v>
      </c>
      <c r="B122" s="14" t="s">
        <v>603</v>
      </c>
      <c r="C122" s="15" t="s">
        <v>1676</v>
      </c>
      <c r="D122" s="14" t="s">
        <v>1924</v>
      </c>
      <c r="E122" s="23" t="s">
        <v>19</v>
      </c>
      <c r="F122" s="16"/>
      <c r="G122" s="16"/>
      <c r="H122" s="19" t="n">
        <f aca="false">LEN(IF(F122&lt;&gt;"",F122,D122))</f>
        <v>2</v>
      </c>
      <c r="I122" s="24" t="str">
        <f aca="false">IF(OR(H122&lt;2,H122&gt;140),"분량 확인","")</f>
        <v/>
      </c>
    </row>
    <row r="123" customFormat="false" ht="48" hidden="false" customHeight="true" outlineLevel="0" collapsed="false">
      <c r="A123" s="13" t="s">
        <v>1925</v>
      </c>
      <c r="B123" s="14" t="s">
        <v>603</v>
      </c>
      <c r="C123" s="15" t="s">
        <v>1679</v>
      </c>
      <c r="D123" s="15" t="s">
        <v>1926</v>
      </c>
      <c r="E123" s="23" t="s">
        <v>19</v>
      </c>
      <c r="F123" s="16"/>
      <c r="G123" s="16"/>
      <c r="H123" s="19" t="n">
        <f aca="false">LEN(IF(F123&lt;&gt;"",F123,D123))</f>
        <v>49</v>
      </c>
      <c r="I123" s="24" t="str">
        <f aca="false">IF(OR(H123&lt;2,H123&gt;140),"분량 확인","")</f>
        <v/>
      </c>
    </row>
    <row r="124" customFormat="false" ht="48" hidden="false" customHeight="true" outlineLevel="0" collapsed="false">
      <c r="A124" s="13" t="s">
        <v>1927</v>
      </c>
      <c r="B124" s="14" t="s">
        <v>603</v>
      </c>
      <c r="C124" s="15" t="s">
        <v>1682</v>
      </c>
      <c r="D124" s="15" t="s">
        <v>1928</v>
      </c>
      <c r="E124" s="23" t="s">
        <v>19</v>
      </c>
      <c r="F124" s="16"/>
      <c r="G124" s="16"/>
      <c r="H124" s="19" t="n">
        <f aca="false">LEN(IF(F124&lt;&gt;"",F124,D124))</f>
        <v>14</v>
      </c>
      <c r="I124" s="24" t="str">
        <f aca="false">IF(OR(H124&lt;2,H124&gt;140),"분량 확인","")</f>
        <v/>
      </c>
    </row>
    <row r="125" customFormat="false" ht="48" hidden="false" customHeight="true" outlineLevel="0" collapsed="false">
      <c r="A125" s="13" t="s">
        <v>1929</v>
      </c>
      <c r="B125" s="14" t="s">
        <v>603</v>
      </c>
      <c r="C125" s="15" t="s">
        <v>1685</v>
      </c>
      <c r="D125" s="15" t="s">
        <v>1930</v>
      </c>
      <c r="E125" s="23" t="s">
        <v>19</v>
      </c>
      <c r="F125" s="16"/>
      <c r="G125" s="16"/>
      <c r="H125" s="19" t="n">
        <f aca="false">LEN(IF(F125&lt;&gt;"",F125,D125))</f>
        <v>58</v>
      </c>
      <c r="I125" s="24" t="str">
        <f aca="false">IF(OR(H125&lt;2,H125&gt;140),"분량 확인","")</f>
        <v/>
      </c>
    </row>
    <row r="126" customFormat="false" ht="48" hidden="false" customHeight="true" outlineLevel="0" collapsed="false">
      <c r="A126" s="13" t="s">
        <v>1931</v>
      </c>
      <c r="B126" s="14" t="s">
        <v>603</v>
      </c>
      <c r="C126" s="15" t="s">
        <v>1688</v>
      </c>
      <c r="D126" s="15" t="s">
        <v>1689</v>
      </c>
      <c r="E126" s="23" t="s">
        <v>19</v>
      </c>
      <c r="F126" s="16"/>
      <c r="G126" s="16"/>
      <c r="H126" s="19" t="n">
        <f aca="false">LEN(IF(F126&lt;&gt;"",F126,D126))</f>
        <v>4</v>
      </c>
      <c r="I126" s="24" t="str">
        <f aca="false">IF(OR(H126&lt;2,H126&gt;140),"분량 확인","")</f>
        <v/>
      </c>
    </row>
    <row r="127" customFormat="false" ht="48" hidden="false" customHeight="true" outlineLevel="0" collapsed="false">
      <c r="A127" s="13" t="s">
        <v>1932</v>
      </c>
      <c r="B127" s="14" t="s">
        <v>603</v>
      </c>
      <c r="C127" s="15" t="s">
        <v>1691</v>
      </c>
      <c r="D127" s="15" t="s">
        <v>1933</v>
      </c>
      <c r="E127" s="23" t="s">
        <v>19</v>
      </c>
      <c r="F127" s="16"/>
      <c r="G127" s="16"/>
      <c r="H127" s="19" t="n">
        <f aca="false">LEN(IF(F127&lt;&gt;"",F127,D127))</f>
        <v>49</v>
      </c>
      <c r="I127" s="24" t="str">
        <f aca="false">IF(OR(H127&lt;2,H127&gt;140),"분량 확인","")</f>
        <v/>
      </c>
    </row>
    <row r="128" customFormat="false" ht="61.5" hidden="false" customHeight="true" outlineLevel="0" collapsed="false">
      <c r="A128" s="13" t="s">
        <v>1934</v>
      </c>
      <c r="B128" s="14" t="s">
        <v>603</v>
      </c>
      <c r="C128" s="15" t="s">
        <v>1694</v>
      </c>
      <c r="D128" s="15" t="s">
        <v>1935</v>
      </c>
      <c r="E128" s="23" t="s">
        <v>19</v>
      </c>
      <c r="F128" s="16"/>
      <c r="G128" s="16"/>
      <c r="H128" s="19" t="n">
        <f aca="false">LEN(IF(F128&lt;&gt;"",F128,D128))</f>
        <v>12</v>
      </c>
      <c r="I128" s="24" t="str">
        <f aca="false">IF(OR(H128&lt;2,H128&gt;140),"분량 확인","")</f>
        <v/>
      </c>
    </row>
    <row r="129" customFormat="false" ht="61.5" hidden="false" customHeight="true" outlineLevel="0" collapsed="false">
      <c r="A129" s="13" t="s">
        <v>1936</v>
      </c>
      <c r="B129" s="14" t="s">
        <v>603</v>
      </c>
      <c r="C129" s="15" t="s">
        <v>1697</v>
      </c>
      <c r="D129" s="15" t="s">
        <v>1937</v>
      </c>
      <c r="E129" s="23" t="s">
        <v>19</v>
      </c>
      <c r="F129" s="16"/>
      <c r="G129" s="16"/>
      <c r="H129" s="19" t="n">
        <f aca="false">LEN(IF(F129&lt;&gt;"",F129,D129))</f>
        <v>65</v>
      </c>
      <c r="I129" s="24" t="str">
        <f aca="false">IF(OR(H129&lt;2,H129&gt;140),"분량 확인","")</f>
        <v/>
      </c>
    </row>
    <row r="130" customFormat="false" ht="61.5" hidden="false" customHeight="true" outlineLevel="0" collapsed="false">
      <c r="A130" s="13" t="s">
        <v>1938</v>
      </c>
      <c r="B130" s="14" t="s">
        <v>603</v>
      </c>
      <c r="C130" s="15" t="s">
        <v>1700</v>
      </c>
      <c r="D130" s="15" t="s">
        <v>1939</v>
      </c>
      <c r="E130" s="23" t="s">
        <v>19</v>
      </c>
      <c r="F130" s="16"/>
      <c r="G130" s="16"/>
      <c r="H130" s="19" t="n">
        <f aca="false">LEN(IF(F130&lt;&gt;"",F130,D130))</f>
        <v>57</v>
      </c>
      <c r="I130" s="24" t="str">
        <f aca="false">IF(OR(H130&lt;2,H130&gt;140),"분량 확인","")</f>
        <v/>
      </c>
    </row>
    <row r="131" customFormat="false" ht="48" hidden="false" customHeight="true" outlineLevel="0" collapsed="false">
      <c r="A131" s="13" t="s">
        <v>1940</v>
      </c>
      <c r="B131" s="14" t="s">
        <v>603</v>
      </c>
      <c r="C131" s="15" t="s">
        <v>1703</v>
      </c>
      <c r="D131" s="15" t="s">
        <v>1941</v>
      </c>
      <c r="E131" s="23" t="s">
        <v>19</v>
      </c>
      <c r="F131" s="16"/>
      <c r="G131" s="16"/>
      <c r="H131" s="19" t="n">
        <f aca="false">LEN(IF(F131&lt;&gt;"",F131,D131))</f>
        <v>14</v>
      </c>
      <c r="I131" s="24" t="str">
        <f aca="false">IF(OR(H131&lt;2,H131&gt;140),"분량 확인","")</f>
        <v/>
      </c>
    </row>
    <row r="132" customFormat="false" ht="48" hidden="false" customHeight="true" outlineLevel="0" collapsed="false">
      <c r="A132" s="13" t="s">
        <v>1942</v>
      </c>
      <c r="B132" s="14" t="s">
        <v>603</v>
      </c>
      <c r="C132" s="15" t="s">
        <v>1706</v>
      </c>
      <c r="D132" s="15" t="s">
        <v>1943</v>
      </c>
      <c r="E132" s="23" t="s">
        <v>19</v>
      </c>
      <c r="F132" s="16"/>
      <c r="G132" s="16"/>
      <c r="H132" s="19" t="n">
        <f aca="false">LEN(IF(F132&lt;&gt;"",F132,D132))</f>
        <v>60</v>
      </c>
      <c r="I132" s="24" t="str">
        <f aca="false">IF(OR(H132&lt;2,H132&gt;140),"분량 확인","")</f>
        <v/>
      </c>
    </row>
    <row r="133" customFormat="false" ht="48" hidden="false" customHeight="true" outlineLevel="0" collapsed="false">
      <c r="A133" s="13" t="s">
        <v>1944</v>
      </c>
      <c r="B133" s="14" t="s">
        <v>603</v>
      </c>
      <c r="C133" s="15" t="s">
        <v>1709</v>
      </c>
      <c r="D133" s="14" t="s">
        <v>1710</v>
      </c>
      <c r="E133" s="23" t="s">
        <v>19</v>
      </c>
      <c r="F133" s="16"/>
      <c r="G133" s="16"/>
      <c r="H133" s="19" t="n">
        <f aca="false">LEN(IF(F133&lt;&gt;"",F133,D133))</f>
        <v>3</v>
      </c>
      <c r="I133" s="24" t="str">
        <f aca="false">IF(OR(H133&lt;2,H133&gt;140),"분량 확인","")</f>
        <v/>
      </c>
    </row>
    <row r="134" customFormat="false" ht="48" hidden="false" customHeight="true" outlineLevel="0" collapsed="false">
      <c r="A134" s="13" t="s">
        <v>1945</v>
      </c>
      <c r="B134" s="14" t="s">
        <v>603</v>
      </c>
      <c r="C134" s="15" t="s">
        <v>1712</v>
      </c>
      <c r="D134" s="15" t="s">
        <v>1946</v>
      </c>
      <c r="E134" s="23" t="s">
        <v>19</v>
      </c>
      <c r="F134" s="16"/>
      <c r="G134" s="16"/>
      <c r="H134" s="19" t="n">
        <f aca="false">LEN(IF(F134&lt;&gt;"",F134,D134))</f>
        <v>57</v>
      </c>
      <c r="I134" s="24" t="str">
        <f aca="false">IF(OR(H134&lt;2,H134&gt;140),"분량 확인","")</f>
        <v/>
      </c>
    </row>
    <row r="135" customFormat="false" ht="61.5" hidden="false" customHeight="true" outlineLevel="0" collapsed="false">
      <c r="A135" s="13" t="s">
        <v>1947</v>
      </c>
      <c r="B135" s="14" t="s">
        <v>603</v>
      </c>
      <c r="C135" s="15" t="s">
        <v>1715</v>
      </c>
      <c r="D135" s="15" t="s">
        <v>1948</v>
      </c>
      <c r="E135" s="23" t="s">
        <v>19</v>
      </c>
      <c r="F135" s="16"/>
      <c r="G135" s="16"/>
      <c r="H135" s="19" t="n">
        <f aca="false">LEN(IF(F135&lt;&gt;"",F135,D135))</f>
        <v>16</v>
      </c>
      <c r="I135" s="24" t="str">
        <f aca="false">IF(OR(H135&lt;2,H135&gt;140),"분량 확인","")</f>
        <v/>
      </c>
    </row>
    <row r="136" customFormat="false" ht="61.5" hidden="false" customHeight="true" outlineLevel="0" collapsed="false">
      <c r="A136" s="13" t="s">
        <v>1949</v>
      </c>
      <c r="B136" s="14" t="s">
        <v>603</v>
      </c>
      <c r="C136" s="15" t="s">
        <v>1718</v>
      </c>
      <c r="D136" s="15" t="s">
        <v>1950</v>
      </c>
      <c r="E136" s="23" t="s">
        <v>19</v>
      </c>
      <c r="F136" s="16"/>
      <c r="G136" s="16"/>
      <c r="H136" s="19" t="n">
        <f aca="false">LEN(IF(F136&lt;&gt;"",F136,D136))</f>
        <v>10</v>
      </c>
      <c r="I136" s="24" t="str">
        <f aca="false">IF(OR(H136&lt;2,H136&gt;140),"분량 확인","")</f>
        <v/>
      </c>
    </row>
    <row r="137" customFormat="false" ht="61.5" hidden="false" customHeight="true" outlineLevel="0" collapsed="false">
      <c r="A137" s="13" t="s">
        <v>1951</v>
      </c>
      <c r="B137" s="14" t="s">
        <v>603</v>
      </c>
      <c r="C137" s="15" t="s">
        <v>1721</v>
      </c>
      <c r="D137" s="15" t="s">
        <v>1952</v>
      </c>
      <c r="E137" s="23" t="s">
        <v>19</v>
      </c>
      <c r="F137" s="16"/>
      <c r="G137" s="16"/>
      <c r="H137" s="19" t="n">
        <f aca="false">LEN(IF(F137&lt;&gt;"",F137,D137))</f>
        <v>59</v>
      </c>
      <c r="I137" s="24" t="str">
        <f aca="false">IF(OR(H137&lt;2,H137&gt;140),"분량 확인","")</f>
        <v/>
      </c>
    </row>
    <row r="138" customFormat="false" ht="61.5" hidden="false" customHeight="true" outlineLevel="0" collapsed="false">
      <c r="A138" s="13" t="s">
        <v>1953</v>
      </c>
      <c r="B138" s="14" t="s">
        <v>603</v>
      </c>
      <c r="C138" s="15" t="s">
        <v>1724</v>
      </c>
      <c r="D138" s="15" t="s">
        <v>1954</v>
      </c>
      <c r="E138" s="23" t="s">
        <v>19</v>
      </c>
      <c r="F138" s="16"/>
      <c r="G138" s="16"/>
      <c r="H138" s="19" t="n">
        <f aca="false">LEN(IF(F138&lt;&gt;"",F138,D138))</f>
        <v>55</v>
      </c>
      <c r="I138" s="24" t="str">
        <f aca="false">IF(OR(H138&lt;2,H138&gt;140),"분량 확인","")</f>
        <v/>
      </c>
    </row>
    <row r="139" customFormat="false" ht="48" hidden="false" customHeight="true" outlineLevel="0" collapsed="false">
      <c r="A139" s="13" t="s">
        <v>1955</v>
      </c>
      <c r="B139" s="14" t="s">
        <v>603</v>
      </c>
      <c r="C139" s="15" t="s">
        <v>1727</v>
      </c>
      <c r="D139" s="15" t="s">
        <v>1956</v>
      </c>
      <c r="E139" s="23" t="s">
        <v>19</v>
      </c>
      <c r="F139" s="16"/>
      <c r="G139" s="16"/>
      <c r="H139" s="19" t="n">
        <f aca="false">LEN(IF(F139&lt;&gt;"",F139,D139))</f>
        <v>11</v>
      </c>
      <c r="I139" s="24" t="str">
        <f aca="false">IF(OR(H139&lt;2,H139&gt;140),"분량 확인","")</f>
        <v/>
      </c>
    </row>
    <row r="140" customFormat="false" ht="48" hidden="false" customHeight="true" outlineLevel="0" collapsed="false">
      <c r="A140" s="13" t="s">
        <v>1957</v>
      </c>
      <c r="B140" s="14" t="s">
        <v>603</v>
      </c>
      <c r="C140" s="15" t="s">
        <v>1730</v>
      </c>
      <c r="D140" s="15" t="s">
        <v>1958</v>
      </c>
      <c r="E140" s="23" t="s">
        <v>19</v>
      </c>
      <c r="F140" s="16"/>
      <c r="G140" s="16"/>
      <c r="H140" s="19" t="n">
        <f aca="false">LEN(IF(F140&lt;&gt;"",F140,D140))</f>
        <v>50</v>
      </c>
      <c r="I140" s="24" t="str">
        <f aca="false">IF(OR(H140&lt;2,H140&gt;140),"분량 확인","")</f>
        <v/>
      </c>
    </row>
    <row r="141" customFormat="false" ht="48" hidden="false" customHeight="true" outlineLevel="0" collapsed="false">
      <c r="A141" s="13" t="s">
        <v>1959</v>
      </c>
      <c r="B141" s="14" t="s">
        <v>603</v>
      </c>
      <c r="C141" s="15" t="s">
        <v>1733</v>
      </c>
      <c r="D141" s="14" t="s">
        <v>1734</v>
      </c>
      <c r="E141" s="23" t="s">
        <v>19</v>
      </c>
      <c r="F141" s="16"/>
      <c r="G141" s="16"/>
      <c r="H141" s="19" t="n">
        <f aca="false">LEN(IF(F141&lt;&gt;"",F141,D141))</f>
        <v>2</v>
      </c>
      <c r="I141" s="24" t="str">
        <f aca="false">IF(OR(H141&lt;2,H141&gt;140),"분량 확인","")</f>
        <v/>
      </c>
    </row>
    <row r="142" customFormat="false" ht="48" hidden="false" customHeight="true" outlineLevel="0" collapsed="false">
      <c r="A142" s="13" t="s">
        <v>1960</v>
      </c>
      <c r="B142" s="14" t="s">
        <v>603</v>
      </c>
      <c r="C142" s="15" t="s">
        <v>1736</v>
      </c>
      <c r="D142" s="15" t="s">
        <v>1961</v>
      </c>
      <c r="E142" s="23" t="s">
        <v>19</v>
      </c>
      <c r="F142" s="16"/>
      <c r="G142" s="16"/>
      <c r="H142" s="19" t="n">
        <f aca="false">LEN(IF(F142&lt;&gt;"",F142,D142))</f>
        <v>50</v>
      </c>
      <c r="I142" s="24" t="str">
        <f aca="false">IF(OR(H142&lt;2,H142&gt;140),"분량 확인","")</f>
        <v/>
      </c>
    </row>
    <row r="143" customFormat="false" ht="48" hidden="false" customHeight="true" outlineLevel="0" collapsed="false">
      <c r="A143" s="13" t="s">
        <v>1962</v>
      </c>
      <c r="B143" s="14" t="s">
        <v>603</v>
      </c>
      <c r="C143" s="15" t="s">
        <v>1739</v>
      </c>
      <c r="D143" s="15" t="s">
        <v>1963</v>
      </c>
      <c r="E143" s="23" t="s">
        <v>19</v>
      </c>
      <c r="F143" s="16"/>
      <c r="G143" s="16"/>
      <c r="H143" s="19" t="n">
        <f aca="false">LEN(IF(F143&lt;&gt;"",F143,D143))</f>
        <v>12</v>
      </c>
      <c r="I143" s="24" t="str">
        <f aca="false">IF(OR(H143&lt;2,H143&gt;140),"분량 확인","")</f>
        <v/>
      </c>
    </row>
    <row r="144" customFormat="false" ht="48" hidden="false" customHeight="true" outlineLevel="0" collapsed="false">
      <c r="A144" s="13" t="s">
        <v>1964</v>
      </c>
      <c r="B144" s="14" t="s">
        <v>603</v>
      </c>
      <c r="C144" s="15" t="s">
        <v>1742</v>
      </c>
      <c r="D144" s="15" t="s">
        <v>1965</v>
      </c>
      <c r="E144" s="23" t="s">
        <v>19</v>
      </c>
      <c r="F144" s="16"/>
      <c r="G144" s="16"/>
      <c r="H144" s="19" t="n">
        <f aca="false">LEN(IF(F144&lt;&gt;"",F144,D144))</f>
        <v>57</v>
      </c>
      <c r="I144" s="24" t="str">
        <f aca="false">IF(OR(H144&lt;2,H144&gt;140),"분량 확인","")</f>
        <v/>
      </c>
    </row>
    <row r="145" customFormat="false" ht="48" hidden="false" customHeight="true" outlineLevel="0" collapsed="false">
      <c r="A145" s="13" t="s">
        <v>1966</v>
      </c>
      <c r="B145" s="14" t="s">
        <v>603</v>
      </c>
      <c r="C145" s="15" t="s">
        <v>1745</v>
      </c>
      <c r="D145" s="15" t="s">
        <v>1689</v>
      </c>
      <c r="E145" s="23" t="s">
        <v>19</v>
      </c>
      <c r="F145" s="16"/>
      <c r="G145" s="16"/>
      <c r="H145" s="19" t="n">
        <f aca="false">LEN(IF(F145&lt;&gt;"",F145,D145))</f>
        <v>4</v>
      </c>
      <c r="I145" s="24" t="str">
        <f aca="false">IF(OR(H145&lt;2,H145&gt;140),"분량 확인","")</f>
        <v/>
      </c>
    </row>
    <row r="146" customFormat="false" ht="48" hidden="false" customHeight="true" outlineLevel="0" collapsed="false">
      <c r="A146" s="13" t="s">
        <v>1967</v>
      </c>
      <c r="B146" s="14" t="s">
        <v>603</v>
      </c>
      <c r="C146" s="15" t="s">
        <v>1747</v>
      </c>
      <c r="D146" s="15" t="s">
        <v>1968</v>
      </c>
      <c r="E146" s="23" t="s">
        <v>19</v>
      </c>
      <c r="F146" s="16"/>
      <c r="G146" s="16"/>
      <c r="H146" s="19" t="n">
        <f aca="false">LEN(IF(F146&lt;&gt;"",F146,D146))</f>
        <v>52</v>
      </c>
      <c r="I146" s="24" t="str">
        <f aca="false">IF(OR(H146&lt;2,H146&gt;140),"분량 확인","")</f>
        <v/>
      </c>
    </row>
    <row r="147" customFormat="false" ht="61.5" hidden="false" customHeight="true" outlineLevel="0" collapsed="false">
      <c r="A147" s="13" t="s">
        <v>1969</v>
      </c>
      <c r="B147" s="14" t="s">
        <v>603</v>
      </c>
      <c r="C147" s="15" t="s">
        <v>1750</v>
      </c>
      <c r="D147" s="15" t="s">
        <v>1970</v>
      </c>
      <c r="E147" s="23" t="s">
        <v>19</v>
      </c>
      <c r="F147" s="16"/>
      <c r="G147" s="16"/>
      <c r="H147" s="19" t="n">
        <f aca="false">LEN(IF(F147&lt;&gt;"",F147,D147))</f>
        <v>11</v>
      </c>
      <c r="I147" s="24" t="str">
        <f aca="false">IF(OR(H147&lt;2,H147&gt;140),"분량 확인","")</f>
        <v/>
      </c>
    </row>
    <row r="148" customFormat="false" ht="61.5" hidden="false" customHeight="true" outlineLevel="0" collapsed="false">
      <c r="A148" s="13" t="s">
        <v>1971</v>
      </c>
      <c r="B148" s="14" t="s">
        <v>603</v>
      </c>
      <c r="C148" s="15" t="s">
        <v>1753</v>
      </c>
      <c r="D148" s="15" t="s">
        <v>1972</v>
      </c>
      <c r="E148" s="23" t="s">
        <v>19</v>
      </c>
      <c r="F148" s="16"/>
      <c r="G148" s="16"/>
      <c r="H148" s="19" t="n">
        <f aca="false">LEN(IF(F148&lt;&gt;"",F148,D148))</f>
        <v>61</v>
      </c>
      <c r="I148" s="24" t="str">
        <f aca="false">IF(OR(H148&lt;2,H148&gt;140),"분량 확인","")</f>
        <v/>
      </c>
    </row>
    <row r="149" customFormat="false" ht="61.5" hidden="false" customHeight="true" outlineLevel="0" collapsed="false">
      <c r="A149" s="13" t="s">
        <v>1973</v>
      </c>
      <c r="B149" s="14" t="s">
        <v>603</v>
      </c>
      <c r="C149" s="15" t="s">
        <v>1756</v>
      </c>
      <c r="D149" s="15" t="s">
        <v>1974</v>
      </c>
      <c r="E149" s="23" t="s">
        <v>19</v>
      </c>
      <c r="F149" s="16"/>
      <c r="G149" s="16"/>
      <c r="H149" s="19" t="n">
        <f aca="false">LEN(IF(F149&lt;&gt;"",F149,D149))</f>
        <v>54</v>
      </c>
      <c r="I149" s="24" t="str">
        <f aca="false">IF(OR(H149&lt;2,H149&gt;140),"분량 확인","")</f>
        <v/>
      </c>
    </row>
    <row r="150" customFormat="false" ht="48" hidden="false" customHeight="true" outlineLevel="0" collapsed="false">
      <c r="A150" s="13" t="s">
        <v>1975</v>
      </c>
      <c r="B150" s="14" t="s">
        <v>603</v>
      </c>
      <c r="C150" s="15" t="s">
        <v>1759</v>
      </c>
      <c r="D150" s="15" t="s">
        <v>1976</v>
      </c>
      <c r="E150" s="23" t="s">
        <v>19</v>
      </c>
      <c r="F150" s="16"/>
      <c r="G150" s="16"/>
      <c r="H150" s="19" t="n">
        <f aca="false">LEN(IF(F150&lt;&gt;"",F150,D150))</f>
        <v>11</v>
      </c>
      <c r="I150" s="24" t="str">
        <f aca="false">IF(OR(H150&lt;2,H150&gt;140),"분량 확인","")</f>
        <v/>
      </c>
    </row>
    <row r="151" customFormat="false" ht="48" hidden="false" customHeight="true" outlineLevel="0" collapsed="false">
      <c r="A151" s="13" t="s">
        <v>1977</v>
      </c>
      <c r="B151" s="14" t="s">
        <v>603</v>
      </c>
      <c r="C151" s="15" t="s">
        <v>1762</v>
      </c>
      <c r="D151" s="15" t="s">
        <v>1978</v>
      </c>
      <c r="E151" s="23" t="s">
        <v>19</v>
      </c>
      <c r="F151" s="16"/>
      <c r="G151" s="16"/>
      <c r="H151" s="19" t="n">
        <f aca="false">LEN(IF(F151&lt;&gt;"",F151,D151))</f>
        <v>57</v>
      </c>
      <c r="I151" s="24" t="str">
        <f aca="false">IF(OR(H151&lt;2,H151&gt;140),"분량 확인","")</f>
        <v/>
      </c>
    </row>
    <row r="152" customFormat="false" ht="48" hidden="false" customHeight="true" outlineLevel="0" collapsed="false">
      <c r="A152" s="13" t="s">
        <v>1979</v>
      </c>
      <c r="B152" s="14" t="s">
        <v>603</v>
      </c>
      <c r="C152" s="15" t="s">
        <v>1765</v>
      </c>
      <c r="D152" s="14" t="s">
        <v>1710</v>
      </c>
      <c r="E152" s="23" t="s">
        <v>19</v>
      </c>
      <c r="F152" s="16"/>
      <c r="G152" s="16"/>
      <c r="H152" s="19" t="n">
        <f aca="false">LEN(IF(F152&lt;&gt;"",F152,D152))</f>
        <v>3</v>
      </c>
      <c r="I152" s="24" t="str">
        <f aca="false">IF(OR(H152&lt;2,H152&gt;140),"분량 확인","")</f>
        <v/>
      </c>
    </row>
    <row r="153" customFormat="false" ht="48" hidden="false" customHeight="true" outlineLevel="0" collapsed="false">
      <c r="A153" s="13" t="s">
        <v>1980</v>
      </c>
      <c r="B153" s="14" t="s">
        <v>603</v>
      </c>
      <c r="C153" s="15" t="s">
        <v>1768</v>
      </c>
      <c r="D153" s="15" t="s">
        <v>1981</v>
      </c>
      <c r="E153" s="23" t="s">
        <v>19</v>
      </c>
      <c r="F153" s="16"/>
      <c r="G153" s="16"/>
      <c r="H153" s="19" t="n">
        <f aca="false">LEN(IF(F153&lt;&gt;"",F153,D153))</f>
        <v>47</v>
      </c>
      <c r="I153" s="24" t="str">
        <f aca="false">IF(OR(H153&lt;2,H153&gt;140),"분량 확인","")</f>
        <v/>
      </c>
    </row>
    <row r="154" customFormat="false" ht="61.5" hidden="false" customHeight="true" outlineLevel="0" collapsed="false">
      <c r="A154" s="13" t="s">
        <v>1982</v>
      </c>
      <c r="B154" s="14" t="s">
        <v>616</v>
      </c>
      <c r="C154" s="15" t="s">
        <v>1658</v>
      </c>
      <c r="D154" s="15" t="s">
        <v>1983</v>
      </c>
      <c r="E154" s="23" t="s">
        <v>19</v>
      </c>
      <c r="F154" s="16"/>
      <c r="G154" s="16"/>
      <c r="H154" s="19" t="n">
        <f aca="false">LEN(IF(F154&lt;&gt;"",F154,D154))</f>
        <v>18</v>
      </c>
      <c r="I154" s="24" t="str">
        <f aca="false">IF(OR(H154&lt;2,H154&gt;140),"분량 확인","")</f>
        <v/>
      </c>
    </row>
    <row r="155" customFormat="false" ht="61.5" hidden="false" customHeight="true" outlineLevel="0" collapsed="false">
      <c r="A155" s="13" t="s">
        <v>1984</v>
      </c>
      <c r="B155" s="14" t="s">
        <v>616</v>
      </c>
      <c r="C155" s="15" t="s">
        <v>1661</v>
      </c>
      <c r="D155" s="15" t="s">
        <v>1985</v>
      </c>
      <c r="E155" s="23" t="s">
        <v>19</v>
      </c>
      <c r="F155" s="16"/>
      <c r="G155" s="16"/>
      <c r="H155" s="19" t="n">
        <f aca="false">LEN(IF(F155&lt;&gt;"",F155,D155))</f>
        <v>13</v>
      </c>
      <c r="I155" s="24" t="str">
        <f aca="false">IF(OR(H155&lt;2,H155&gt;140),"분량 확인","")</f>
        <v/>
      </c>
    </row>
    <row r="156" customFormat="false" ht="61.5" hidden="false" customHeight="true" outlineLevel="0" collapsed="false">
      <c r="A156" s="13" t="s">
        <v>1986</v>
      </c>
      <c r="B156" s="14" t="s">
        <v>616</v>
      </c>
      <c r="C156" s="15" t="s">
        <v>1664</v>
      </c>
      <c r="D156" s="15" t="s">
        <v>1987</v>
      </c>
      <c r="E156" s="23" t="s">
        <v>19</v>
      </c>
      <c r="F156" s="16"/>
      <c r="G156" s="16"/>
      <c r="H156" s="19" t="n">
        <f aca="false">LEN(IF(F156&lt;&gt;"",F156,D156))</f>
        <v>53</v>
      </c>
      <c r="I156" s="24" t="str">
        <f aca="false">IF(OR(H156&lt;2,H156&gt;140),"분량 확인","")</f>
        <v/>
      </c>
    </row>
    <row r="157" customFormat="false" ht="61.5" hidden="false" customHeight="true" outlineLevel="0" collapsed="false">
      <c r="A157" s="13" t="s">
        <v>1988</v>
      </c>
      <c r="B157" s="14" t="s">
        <v>616</v>
      </c>
      <c r="C157" s="15" t="s">
        <v>1667</v>
      </c>
      <c r="D157" s="15" t="s">
        <v>1989</v>
      </c>
      <c r="E157" s="23" t="s">
        <v>19</v>
      </c>
      <c r="F157" s="16"/>
      <c r="G157" s="16"/>
      <c r="H157" s="19" t="n">
        <f aca="false">LEN(IF(F157&lt;&gt;"",F157,D157))</f>
        <v>61</v>
      </c>
      <c r="I157" s="24" t="str">
        <f aca="false">IF(OR(H157&lt;2,H157&gt;140),"분량 확인","")</f>
        <v/>
      </c>
    </row>
    <row r="158" customFormat="false" ht="48" hidden="false" customHeight="true" outlineLevel="0" collapsed="false">
      <c r="A158" s="13" t="s">
        <v>1990</v>
      </c>
      <c r="B158" s="14" t="s">
        <v>616</v>
      </c>
      <c r="C158" s="15" t="s">
        <v>1670</v>
      </c>
      <c r="D158" s="15" t="s">
        <v>1991</v>
      </c>
      <c r="E158" s="23" t="s">
        <v>19</v>
      </c>
      <c r="F158" s="16"/>
      <c r="G158" s="16"/>
      <c r="H158" s="19" t="n">
        <f aca="false">LEN(IF(F158&lt;&gt;"",F158,D158))</f>
        <v>9</v>
      </c>
      <c r="I158" s="24" t="str">
        <f aca="false">IF(OR(H158&lt;2,H158&gt;140),"분량 확인","")</f>
        <v/>
      </c>
    </row>
    <row r="159" customFormat="false" ht="48" hidden="false" customHeight="true" outlineLevel="0" collapsed="false">
      <c r="A159" s="13" t="s">
        <v>1992</v>
      </c>
      <c r="B159" s="14" t="s">
        <v>616</v>
      </c>
      <c r="C159" s="15" t="s">
        <v>1673</v>
      </c>
      <c r="D159" s="15" t="s">
        <v>1993</v>
      </c>
      <c r="E159" s="23" t="s">
        <v>19</v>
      </c>
      <c r="F159" s="16"/>
      <c r="G159" s="16"/>
      <c r="H159" s="19" t="n">
        <f aca="false">LEN(IF(F159&lt;&gt;"",F159,D159))</f>
        <v>54</v>
      </c>
      <c r="I159" s="24" t="str">
        <f aca="false">IF(OR(H159&lt;2,H159&gt;140),"분량 확인","")</f>
        <v/>
      </c>
    </row>
    <row r="160" customFormat="false" ht="48" hidden="false" customHeight="true" outlineLevel="0" collapsed="false">
      <c r="A160" s="13" t="s">
        <v>1994</v>
      </c>
      <c r="B160" s="14" t="s">
        <v>616</v>
      </c>
      <c r="C160" s="15" t="s">
        <v>1676</v>
      </c>
      <c r="D160" s="14" t="s">
        <v>1783</v>
      </c>
      <c r="E160" s="23" t="s">
        <v>19</v>
      </c>
      <c r="F160" s="16"/>
      <c r="G160" s="16"/>
      <c r="H160" s="19" t="n">
        <f aca="false">LEN(IF(F160&lt;&gt;"",F160,D160))</f>
        <v>2</v>
      </c>
      <c r="I160" s="24" t="str">
        <f aca="false">IF(OR(H160&lt;2,H160&gt;140),"분량 확인","")</f>
        <v/>
      </c>
    </row>
    <row r="161" customFormat="false" ht="48" hidden="false" customHeight="true" outlineLevel="0" collapsed="false">
      <c r="A161" s="13" t="s">
        <v>1995</v>
      </c>
      <c r="B161" s="14" t="s">
        <v>616</v>
      </c>
      <c r="C161" s="15" t="s">
        <v>1679</v>
      </c>
      <c r="D161" s="15" t="s">
        <v>1996</v>
      </c>
      <c r="E161" s="23" t="s">
        <v>19</v>
      </c>
      <c r="F161" s="16"/>
      <c r="G161" s="16"/>
      <c r="H161" s="19" t="n">
        <f aca="false">LEN(IF(F161&lt;&gt;"",F161,D161))</f>
        <v>44</v>
      </c>
      <c r="I161" s="24" t="str">
        <f aca="false">IF(OR(H161&lt;2,H161&gt;140),"분량 확인","")</f>
        <v/>
      </c>
    </row>
    <row r="162" customFormat="false" ht="48" hidden="false" customHeight="true" outlineLevel="0" collapsed="false">
      <c r="A162" s="13" t="s">
        <v>1997</v>
      </c>
      <c r="B162" s="14" t="s">
        <v>616</v>
      </c>
      <c r="C162" s="15" t="s">
        <v>1682</v>
      </c>
      <c r="D162" s="15" t="s">
        <v>1998</v>
      </c>
      <c r="E162" s="23" t="s">
        <v>19</v>
      </c>
      <c r="F162" s="16"/>
      <c r="G162" s="16"/>
      <c r="H162" s="19" t="n">
        <f aca="false">LEN(IF(F162&lt;&gt;"",F162,D162))</f>
        <v>12</v>
      </c>
      <c r="I162" s="24" t="str">
        <f aca="false">IF(OR(H162&lt;2,H162&gt;140),"분량 확인","")</f>
        <v/>
      </c>
    </row>
    <row r="163" customFormat="false" ht="48" hidden="false" customHeight="true" outlineLevel="0" collapsed="false">
      <c r="A163" s="13" t="s">
        <v>1999</v>
      </c>
      <c r="B163" s="14" t="s">
        <v>616</v>
      </c>
      <c r="C163" s="15" t="s">
        <v>1685</v>
      </c>
      <c r="D163" s="15" t="s">
        <v>2000</v>
      </c>
      <c r="E163" s="23" t="s">
        <v>19</v>
      </c>
      <c r="F163" s="16"/>
      <c r="G163" s="16"/>
      <c r="H163" s="19" t="n">
        <f aca="false">LEN(IF(F163&lt;&gt;"",F163,D163))</f>
        <v>61</v>
      </c>
      <c r="I163" s="24" t="str">
        <f aca="false">IF(OR(H163&lt;2,H163&gt;140),"분량 확인","")</f>
        <v/>
      </c>
    </row>
    <row r="164" customFormat="false" ht="48" hidden="false" customHeight="true" outlineLevel="0" collapsed="false">
      <c r="A164" s="13" t="s">
        <v>2001</v>
      </c>
      <c r="B164" s="14" t="s">
        <v>616</v>
      </c>
      <c r="C164" s="15" t="s">
        <v>1688</v>
      </c>
      <c r="D164" s="15" t="s">
        <v>1689</v>
      </c>
      <c r="E164" s="23" t="s">
        <v>19</v>
      </c>
      <c r="F164" s="16"/>
      <c r="G164" s="16"/>
      <c r="H164" s="19" t="n">
        <f aca="false">LEN(IF(F164&lt;&gt;"",F164,D164))</f>
        <v>4</v>
      </c>
      <c r="I164" s="24" t="str">
        <f aca="false">IF(OR(H164&lt;2,H164&gt;140),"분량 확인","")</f>
        <v/>
      </c>
    </row>
    <row r="165" customFormat="false" ht="48" hidden="false" customHeight="true" outlineLevel="0" collapsed="false">
      <c r="A165" s="13" t="s">
        <v>2002</v>
      </c>
      <c r="B165" s="14" t="s">
        <v>616</v>
      </c>
      <c r="C165" s="15" t="s">
        <v>1691</v>
      </c>
      <c r="D165" s="15" t="s">
        <v>2003</v>
      </c>
      <c r="E165" s="23" t="s">
        <v>19</v>
      </c>
      <c r="F165" s="16"/>
      <c r="G165" s="16"/>
      <c r="H165" s="19" t="n">
        <f aca="false">LEN(IF(F165&lt;&gt;"",F165,D165))</f>
        <v>48</v>
      </c>
      <c r="I165" s="24" t="str">
        <f aca="false">IF(OR(H165&lt;2,H165&gt;140),"분량 확인","")</f>
        <v/>
      </c>
    </row>
    <row r="166" customFormat="false" ht="61.5" hidden="false" customHeight="true" outlineLevel="0" collapsed="false">
      <c r="A166" s="13" t="s">
        <v>2004</v>
      </c>
      <c r="B166" s="14" t="s">
        <v>616</v>
      </c>
      <c r="C166" s="15" t="s">
        <v>1694</v>
      </c>
      <c r="D166" s="15" t="s">
        <v>2005</v>
      </c>
      <c r="E166" s="23" t="s">
        <v>19</v>
      </c>
      <c r="F166" s="16"/>
      <c r="G166" s="16"/>
      <c r="H166" s="19" t="n">
        <f aca="false">LEN(IF(F166&lt;&gt;"",F166,D166))</f>
        <v>14</v>
      </c>
      <c r="I166" s="24" t="str">
        <f aca="false">IF(OR(H166&lt;2,H166&gt;140),"분량 확인","")</f>
        <v/>
      </c>
    </row>
    <row r="167" customFormat="false" ht="61.5" hidden="false" customHeight="true" outlineLevel="0" collapsed="false">
      <c r="A167" s="13" t="s">
        <v>2006</v>
      </c>
      <c r="B167" s="14" t="s">
        <v>616</v>
      </c>
      <c r="C167" s="15" t="s">
        <v>1697</v>
      </c>
      <c r="D167" s="14" t="s">
        <v>2007</v>
      </c>
      <c r="E167" s="23" t="s">
        <v>19</v>
      </c>
      <c r="F167" s="16"/>
      <c r="G167" s="16"/>
      <c r="H167" s="19" t="n">
        <f aca="false">LEN(IF(F167&lt;&gt;"",F167,D167))</f>
        <v>69</v>
      </c>
      <c r="I167" s="24" t="str">
        <f aca="false">IF(OR(H167&lt;2,H167&gt;140),"분량 확인","")</f>
        <v/>
      </c>
    </row>
    <row r="168" customFormat="false" ht="61.5" hidden="false" customHeight="true" outlineLevel="0" collapsed="false">
      <c r="A168" s="13" t="s">
        <v>2008</v>
      </c>
      <c r="B168" s="14" t="s">
        <v>616</v>
      </c>
      <c r="C168" s="15" t="s">
        <v>1700</v>
      </c>
      <c r="D168" s="15" t="s">
        <v>2009</v>
      </c>
      <c r="E168" s="23" t="s">
        <v>19</v>
      </c>
      <c r="F168" s="16"/>
      <c r="G168" s="16"/>
      <c r="H168" s="19" t="n">
        <f aca="false">LEN(IF(F168&lt;&gt;"",F168,D168))</f>
        <v>62</v>
      </c>
      <c r="I168" s="24" t="str">
        <f aca="false">IF(OR(H168&lt;2,H168&gt;140),"분량 확인","")</f>
        <v/>
      </c>
    </row>
    <row r="169" customFormat="false" ht="48" hidden="false" customHeight="true" outlineLevel="0" collapsed="false">
      <c r="A169" s="13" t="s">
        <v>2010</v>
      </c>
      <c r="B169" s="14" t="s">
        <v>616</v>
      </c>
      <c r="C169" s="15" t="s">
        <v>1703</v>
      </c>
      <c r="D169" s="15" t="s">
        <v>2011</v>
      </c>
      <c r="E169" s="23" t="s">
        <v>19</v>
      </c>
      <c r="F169" s="16"/>
      <c r="G169" s="16"/>
      <c r="H169" s="19" t="n">
        <f aca="false">LEN(IF(F169&lt;&gt;"",F169,D169))</f>
        <v>13</v>
      </c>
      <c r="I169" s="24" t="str">
        <f aca="false">IF(OR(H169&lt;2,H169&gt;140),"분량 확인","")</f>
        <v/>
      </c>
    </row>
    <row r="170" customFormat="false" ht="48" hidden="false" customHeight="true" outlineLevel="0" collapsed="false">
      <c r="A170" s="13" t="s">
        <v>2012</v>
      </c>
      <c r="B170" s="14" t="s">
        <v>616</v>
      </c>
      <c r="C170" s="15" t="s">
        <v>1706</v>
      </c>
      <c r="D170" s="15" t="s">
        <v>2013</v>
      </c>
      <c r="E170" s="23" t="s">
        <v>19</v>
      </c>
      <c r="F170" s="16"/>
      <c r="G170" s="16"/>
      <c r="H170" s="19" t="n">
        <f aca="false">LEN(IF(F170&lt;&gt;"",F170,D170))</f>
        <v>67</v>
      </c>
      <c r="I170" s="24" t="str">
        <f aca="false">IF(OR(H170&lt;2,H170&gt;140),"분량 확인","")</f>
        <v/>
      </c>
    </row>
    <row r="171" customFormat="false" ht="48" hidden="false" customHeight="true" outlineLevel="0" collapsed="false">
      <c r="A171" s="13" t="s">
        <v>2014</v>
      </c>
      <c r="B171" s="14" t="s">
        <v>616</v>
      </c>
      <c r="C171" s="15" t="s">
        <v>1709</v>
      </c>
      <c r="D171" s="14" t="s">
        <v>1766</v>
      </c>
      <c r="E171" s="23" t="s">
        <v>19</v>
      </c>
      <c r="F171" s="16"/>
      <c r="G171" s="16"/>
      <c r="H171" s="19" t="n">
        <f aca="false">LEN(IF(F171&lt;&gt;"",F171,D171))</f>
        <v>3</v>
      </c>
      <c r="I171" s="24" t="str">
        <f aca="false">IF(OR(H171&lt;2,H171&gt;140),"분량 확인","")</f>
        <v/>
      </c>
    </row>
    <row r="172" customFormat="false" ht="48" hidden="false" customHeight="true" outlineLevel="0" collapsed="false">
      <c r="A172" s="13" t="s">
        <v>2015</v>
      </c>
      <c r="B172" s="14" t="s">
        <v>616</v>
      </c>
      <c r="C172" s="15" t="s">
        <v>1712</v>
      </c>
      <c r="D172" s="15" t="s">
        <v>2016</v>
      </c>
      <c r="E172" s="23" t="s">
        <v>19</v>
      </c>
      <c r="F172" s="16"/>
      <c r="G172" s="16"/>
      <c r="H172" s="19" t="n">
        <f aca="false">LEN(IF(F172&lt;&gt;"",F172,D172))</f>
        <v>58</v>
      </c>
      <c r="I172" s="24" t="str">
        <f aca="false">IF(OR(H172&lt;2,H172&gt;140),"분량 확인","")</f>
        <v/>
      </c>
    </row>
    <row r="173" customFormat="false" ht="61.5" hidden="false" customHeight="true" outlineLevel="0" collapsed="false">
      <c r="A173" s="13" t="s">
        <v>2017</v>
      </c>
      <c r="B173" s="14" t="s">
        <v>616</v>
      </c>
      <c r="C173" s="15" t="s">
        <v>1715</v>
      </c>
      <c r="D173" s="15" t="s">
        <v>2018</v>
      </c>
      <c r="E173" s="23" t="s">
        <v>19</v>
      </c>
      <c r="F173" s="16"/>
      <c r="G173" s="16"/>
      <c r="H173" s="19" t="n">
        <f aca="false">LEN(IF(F173&lt;&gt;"",F173,D173))</f>
        <v>20</v>
      </c>
      <c r="I173" s="24" t="str">
        <f aca="false">IF(OR(H173&lt;2,H173&gt;140),"분량 확인","")</f>
        <v/>
      </c>
    </row>
    <row r="174" customFormat="false" ht="61.5" hidden="false" customHeight="true" outlineLevel="0" collapsed="false">
      <c r="A174" s="13" t="s">
        <v>2019</v>
      </c>
      <c r="B174" s="14" t="s">
        <v>616</v>
      </c>
      <c r="C174" s="15" t="s">
        <v>1718</v>
      </c>
      <c r="D174" s="15" t="s">
        <v>2020</v>
      </c>
      <c r="E174" s="23" t="s">
        <v>19</v>
      </c>
      <c r="F174" s="16"/>
      <c r="G174" s="16"/>
      <c r="H174" s="19" t="n">
        <f aca="false">LEN(IF(F174&lt;&gt;"",F174,D174))</f>
        <v>13</v>
      </c>
      <c r="I174" s="24" t="str">
        <f aca="false">IF(OR(H174&lt;2,H174&gt;140),"분량 확인","")</f>
        <v/>
      </c>
    </row>
    <row r="175" customFormat="false" ht="61.5" hidden="false" customHeight="true" outlineLevel="0" collapsed="false">
      <c r="A175" s="13" t="s">
        <v>2021</v>
      </c>
      <c r="B175" s="14" t="s">
        <v>616</v>
      </c>
      <c r="C175" s="15" t="s">
        <v>1721</v>
      </c>
      <c r="D175" s="15" t="s">
        <v>2022</v>
      </c>
      <c r="E175" s="23" t="s">
        <v>19</v>
      </c>
      <c r="F175" s="16"/>
      <c r="G175" s="16"/>
      <c r="H175" s="19" t="n">
        <f aca="false">LEN(IF(F175&lt;&gt;"",F175,D175))</f>
        <v>58</v>
      </c>
      <c r="I175" s="24" t="str">
        <f aca="false">IF(OR(H175&lt;2,H175&gt;140),"분량 확인","")</f>
        <v/>
      </c>
    </row>
    <row r="176" customFormat="false" ht="61.5" hidden="false" customHeight="true" outlineLevel="0" collapsed="false">
      <c r="A176" s="13" t="s">
        <v>2023</v>
      </c>
      <c r="B176" s="14" t="s">
        <v>616</v>
      </c>
      <c r="C176" s="15" t="s">
        <v>1724</v>
      </c>
      <c r="D176" s="15" t="s">
        <v>2024</v>
      </c>
      <c r="E176" s="23" t="s">
        <v>19</v>
      </c>
      <c r="F176" s="16"/>
      <c r="G176" s="16"/>
      <c r="H176" s="19" t="n">
        <f aca="false">LEN(IF(F176&lt;&gt;"",F176,D176))</f>
        <v>57</v>
      </c>
      <c r="I176" s="24" t="str">
        <f aca="false">IF(OR(H176&lt;2,H176&gt;140),"분량 확인","")</f>
        <v/>
      </c>
    </row>
    <row r="177" customFormat="false" ht="48" hidden="false" customHeight="true" outlineLevel="0" collapsed="false">
      <c r="A177" s="13" t="s">
        <v>2025</v>
      </c>
      <c r="B177" s="14" t="s">
        <v>616</v>
      </c>
      <c r="C177" s="15" t="s">
        <v>1727</v>
      </c>
      <c r="D177" s="15" t="s">
        <v>2026</v>
      </c>
      <c r="E177" s="23" t="s">
        <v>19</v>
      </c>
      <c r="F177" s="16"/>
      <c r="G177" s="16"/>
      <c r="H177" s="19" t="n">
        <f aca="false">LEN(IF(F177&lt;&gt;"",F177,D177))</f>
        <v>13</v>
      </c>
      <c r="I177" s="24" t="str">
        <f aca="false">IF(OR(H177&lt;2,H177&gt;140),"분량 확인","")</f>
        <v/>
      </c>
    </row>
    <row r="178" customFormat="false" ht="48" hidden="false" customHeight="true" outlineLevel="0" collapsed="false">
      <c r="A178" s="13" t="s">
        <v>2027</v>
      </c>
      <c r="B178" s="14" t="s">
        <v>616</v>
      </c>
      <c r="C178" s="15" t="s">
        <v>1730</v>
      </c>
      <c r="D178" s="15" t="s">
        <v>2028</v>
      </c>
      <c r="E178" s="23" t="s">
        <v>19</v>
      </c>
      <c r="F178" s="16"/>
      <c r="G178" s="16"/>
      <c r="H178" s="19" t="n">
        <f aca="false">LEN(IF(F178&lt;&gt;"",F178,D178))</f>
        <v>50</v>
      </c>
      <c r="I178" s="24" t="str">
        <f aca="false">IF(OR(H178&lt;2,H178&gt;140),"분량 확인","")</f>
        <v/>
      </c>
    </row>
    <row r="179" customFormat="false" ht="48" hidden="false" customHeight="true" outlineLevel="0" collapsed="false">
      <c r="A179" s="13" t="s">
        <v>2029</v>
      </c>
      <c r="B179" s="14" t="s">
        <v>616</v>
      </c>
      <c r="C179" s="15" t="s">
        <v>1733</v>
      </c>
      <c r="D179" s="14" t="s">
        <v>1734</v>
      </c>
      <c r="E179" s="23" t="s">
        <v>19</v>
      </c>
      <c r="F179" s="16"/>
      <c r="G179" s="16"/>
      <c r="H179" s="19" t="n">
        <f aca="false">LEN(IF(F179&lt;&gt;"",F179,D179))</f>
        <v>2</v>
      </c>
      <c r="I179" s="24" t="str">
        <f aca="false">IF(OR(H179&lt;2,H179&gt;140),"분량 확인","")</f>
        <v/>
      </c>
    </row>
    <row r="180" customFormat="false" ht="48" hidden="false" customHeight="true" outlineLevel="0" collapsed="false">
      <c r="A180" s="13" t="s">
        <v>2030</v>
      </c>
      <c r="B180" s="14" t="s">
        <v>616</v>
      </c>
      <c r="C180" s="15" t="s">
        <v>1736</v>
      </c>
      <c r="D180" s="15" t="s">
        <v>2031</v>
      </c>
      <c r="E180" s="23" t="s">
        <v>19</v>
      </c>
      <c r="F180" s="16"/>
      <c r="G180" s="16"/>
      <c r="H180" s="19" t="n">
        <f aca="false">LEN(IF(F180&lt;&gt;"",F180,D180))</f>
        <v>46</v>
      </c>
      <c r="I180" s="24" t="str">
        <f aca="false">IF(OR(H180&lt;2,H180&gt;140),"분량 확인","")</f>
        <v/>
      </c>
    </row>
    <row r="181" customFormat="false" ht="48" hidden="false" customHeight="true" outlineLevel="0" collapsed="false">
      <c r="A181" s="13" t="s">
        <v>2032</v>
      </c>
      <c r="B181" s="14" t="s">
        <v>616</v>
      </c>
      <c r="C181" s="15" t="s">
        <v>1739</v>
      </c>
      <c r="D181" s="15" t="s">
        <v>2033</v>
      </c>
      <c r="E181" s="23" t="s">
        <v>19</v>
      </c>
      <c r="F181" s="16"/>
      <c r="G181" s="16"/>
      <c r="H181" s="19" t="n">
        <f aca="false">LEN(IF(F181&lt;&gt;"",F181,D181))</f>
        <v>10</v>
      </c>
      <c r="I181" s="24" t="str">
        <f aca="false">IF(OR(H181&lt;2,H181&gt;140),"분량 확인","")</f>
        <v/>
      </c>
    </row>
    <row r="182" customFormat="false" ht="48" hidden="false" customHeight="true" outlineLevel="0" collapsed="false">
      <c r="A182" s="13" t="s">
        <v>2034</v>
      </c>
      <c r="B182" s="14" t="s">
        <v>616</v>
      </c>
      <c r="C182" s="15" t="s">
        <v>1742</v>
      </c>
      <c r="D182" s="15" t="s">
        <v>2035</v>
      </c>
      <c r="E182" s="23" t="s">
        <v>19</v>
      </c>
      <c r="F182" s="16"/>
      <c r="G182" s="16"/>
      <c r="H182" s="19" t="n">
        <f aca="false">LEN(IF(F182&lt;&gt;"",F182,D182))</f>
        <v>62</v>
      </c>
      <c r="I182" s="24" t="str">
        <f aca="false">IF(OR(H182&lt;2,H182&gt;140),"분량 확인","")</f>
        <v/>
      </c>
    </row>
    <row r="183" customFormat="false" ht="48" hidden="false" customHeight="true" outlineLevel="0" collapsed="false">
      <c r="A183" s="13" t="s">
        <v>2036</v>
      </c>
      <c r="B183" s="14" t="s">
        <v>616</v>
      </c>
      <c r="C183" s="15" t="s">
        <v>1745</v>
      </c>
      <c r="D183" s="15" t="s">
        <v>1689</v>
      </c>
      <c r="E183" s="23" t="s">
        <v>19</v>
      </c>
      <c r="F183" s="16"/>
      <c r="G183" s="16"/>
      <c r="H183" s="19" t="n">
        <f aca="false">LEN(IF(F183&lt;&gt;"",F183,D183))</f>
        <v>4</v>
      </c>
      <c r="I183" s="24" t="str">
        <f aca="false">IF(OR(H183&lt;2,H183&gt;140),"분량 확인","")</f>
        <v/>
      </c>
    </row>
    <row r="184" customFormat="false" ht="48" hidden="false" customHeight="true" outlineLevel="0" collapsed="false">
      <c r="A184" s="13" t="s">
        <v>2037</v>
      </c>
      <c r="B184" s="14" t="s">
        <v>616</v>
      </c>
      <c r="C184" s="15" t="s">
        <v>1747</v>
      </c>
      <c r="D184" s="15" t="s">
        <v>2038</v>
      </c>
      <c r="E184" s="23" t="s">
        <v>19</v>
      </c>
      <c r="F184" s="16"/>
      <c r="G184" s="16"/>
      <c r="H184" s="19" t="n">
        <f aca="false">LEN(IF(F184&lt;&gt;"",F184,D184))</f>
        <v>48</v>
      </c>
      <c r="I184" s="24" t="str">
        <f aca="false">IF(OR(H184&lt;2,H184&gt;140),"분량 확인","")</f>
        <v/>
      </c>
    </row>
    <row r="185" customFormat="false" ht="61.5" hidden="false" customHeight="true" outlineLevel="0" collapsed="false">
      <c r="A185" s="13" t="s">
        <v>2039</v>
      </c>
      <c r="B185" s="14" t="s">
        <v>616</v>
      </c>
      <c r="C185" s="15" t="s">
        <v>1750</v>
      </c>
      <c r="D185" s="15" t="s">
        <v>2040</v>
      </c>
      <c r="E185" s="23" t="s">
        <v>19</v>
      </c>
      <c r="F185" s="16"/>
      <c r="G185" s="16"/>
      <c r="H185" s="19" t="n">
        <f aca="false">LEN(IF(F185&lt;&gt;"",F185,D185))</f>
        <v>12</v>
      </c>
      <c r="I185" s="24" t="str">
        <f aca="false">IF(OR(H185&lt;2,H185&gt;140),"분량 확인","")</f>
        <v/>
      </c>
    </row>
    <row r="186" customFormat="false" ht="61.5" hidden="false" customHeight="true" outlineLevel="0" collapsed="false">
      <c r="A186" s="13" t="s">
        <v>2041</v>
      </c>
      <c r="B186" s="14" t="s">
        <v>616</v>
      </c>
      <c r="C186" s="15" t="s">
        <v>1753</v>
      </c>
      <c r="D186" s="15" t="s">
        <v>2042</v>
      </c>
      <c r="E186" s="23" t="s">
        <v>19</v>
      </c>
      <c r="F186" s="16"/>
      <c r="G186" s="16"/>
      <c r="H186" s="19" t="n">
        <f aca="false">LEN(IF(F186&lt;&gt;"",F186,D186))</f>
        <v>52</v>
      </c>
      <c r="I186" s="24" t="str">
        <f aca="false">IF(OR(H186&lt;2,H186&gt;140),"분량 확인","")</f>
        <v/>
      </c>
    </row>
    <row r="187" customFormat="false" ht="61.5" hidden="false" customHeight="true" outlineLevel="0" collapsed="false">
      <c r="A187" s="13" t="s">
        <v>2043</v>
      </c>
      <c r="B187" s="14" t="s">
        <v>616</v>
      </c>
      <c r="C187" s="15" t="s">
        <v>1756</v>
      </c>
      <c r="D187" s="15" t="s">
        <v>2044</v>
      </c>
      <c r="E187" s="23" t="s">
        <v>19</v>
      </c>
      <c r="F187" s="16"/>
      <c r="G187" s="16"/>
      <c r="H187" s="19" t="n">
        <f aca="false">LEN(IF(F187&lt;&gt;"",F187,D187))</f>
        <v>59</v>
      </c>
      <c r="I187" s="24" t="str">
        <f aca="false">IF(OR(H187&lt;2,H187&gt;140),"분량 확인","")</f>
        <v/>
      </c>
    </row>
    <row r="188" customFormat="false" ht="48" hidden="false" customHeight="true" outlineLevel="0" collapsed="false">
      <c r="A188" s="13" t="s">
        <v>2045</v>
      </c>
      <c r="B188" s="14" t="s">
        <v>616</v>
      </c>
      <c r="C188" s="15" t="s">
        <v>1759</v>
      </c>
      <c r="D188" s="15" t="s">
        <v>2046</v>
      </c>
      <c r="E188" s="23" t="s">
        <v>19</v>
      </c>
      <c r="F188" s="16"/>
      <c r="G188" s="16"/>
      <c r="H188" s="19" t="n">
        <f aca="false">LEN(IF(F188&lt;&gt;"",F188,D188))</f>
        <v>12</v>
      </c>
      <c r="I188" s="24" t="str">
        <f aca="false">IF(OR(H188&lt;2,H188&gt;140),"분량 확인","")</f>
        <v/>
      </c>
    </row>
    <row r="189" customFormat="false" ht="48" hidden="false" customHeight="true" outlineLevel="0" collapsed="false">
      <c r="A189" s="13" t="s">
        <v>2047</v>
      </c>
      <c r="B189" s="14" t="s">
        <v>616</v>
      </c>
      <c r="C189" s="15" t="s">
        <v>1762</v>
      </c>
      <c r="D189" s="15" t="s">
        <v>2048</v>
      </c>
      <c r="E189" s="23" t="s">
        <v>19</v>
      </c>
      <c r="F189" s="16"/>
      <c r="G189" s="16"/>
      <c r="H189" s="19" t="n">
        <f aca="false">LEN(IF(F189&lt;&gt;"",F189,D189))</f>
        <v>62</v>
      </c>
      <c r="I189" s="24" t="str">
        <f aca="false">IF(OR(H189&lt;2,H189&gt;140),"분량 확인","")</f>
        <v/>
      </c>
    </row>
    <row r="190" customFormat="false" ht="48" hidden="false" customHeight="true" outlineLevel="0" collapsed="false">
      <c r="A190" s="13" t="s">
        <v>2049</v>
      </c>
      <c r="B190" s="14" t="s">
        <v>616</v>
      </c>
      <c r="C190" s="15" t="s">
        <v>1765</v>
      </c>
      <c r="D190" s="14" t="s">
        <v>1766</v>
      </c>
      <c r="E190" s="23" t="s">
        <v>19</v>
      </c>
      <c r="F190" s="16"/>
      <c r="G190" s="16"/>
      <c r="H190" s="19" t="n">
        <f aca="false">LEN(IF(F190&lt;&gt;"",F190,D190))</f>
        <v>3</v>
      </c>
      <c r="I190" s="24" t="str">
        <f aca="false">IF(OR(H190&lt;2,H190&gt;140),"분량 확인","")</f>
        <v/>
      </c>
    </row>
    <row r="191" customFormat="false" ht="48" hidden="false" customHeight="true" outlineLevel="0" collapsed="false">
      <c r="A191" s="13" t="s">
        <v>2050</v>
      </c>
      <c r="B191" s="14" t="s">
        <v>616</v>
      </c>
      <c r="C191" s="15" t="s">
        <v>1768</v>
      </c>
      <c r="D191" s="15" t="s">
        <v>2051</v>
      </c>
      <c r="E191" s="23" t="s">
        <v>19</v>
      </c>
      <c r="F191" s="16"/>
      <c r="G191" s="16"/>
      <c r="H191" s="19" t="n">
        <f aca="false">LEN(IF(F191&lt;&gt;"",F191,D191))</f>
        <v>55</v>
      </c>
      <c r="I191" s="24" t="str">
        <f aca="false">IF(OR(H191&lt;2,H191&gt;140),"분량 확인","")</f>
        <v/>
      </c>
    </row>
    <row r="192" customFormat="false" ht="61.5" hidden="false" customHeight="true" outlineLevel="0" collapsed="false">
      <c r="A192" s="13" t="s">
        <v>2052</v>
      </c>
      <c r="B192" s="14" t="s">
        <v>629</v>
      </c>
      <c r="C192" s="15" t="s">
        <v>1658</v>
      </c>
      <c r="D192" s="15" t="s">
        <v>2053</v>
      </c>
      <c r="E192" s="23" t="s">
        <v>19</v>
      </c>
      <c r="F192" s="16"/>
      <c r="G192" s="16"/>
      <c r="H192" s="19" t="n">
        <f aca="false">LEN(IF(F192&lt;&gt;"",F192,D192))</f>
        <v>18</v>
      </c>
      <c r="I192" s="24" t="str">
        <f aca="false">IF(OR(H192&lt;2,H192&gt;140),"분량 확인","")</f>
        <v/>
      </c>
    </row>
    <row r="193" customFormat="false" ht="61.5" hidden="false" customHeight="true" outlineLevel="0" collapsed="false">
      <c r="A193" s="13" t="s">
        <v>2054</v>
      </c>
      <c r="B193" s="14" t="s">
        <v>629</v>
      </c>
      <c r="C193" s="15" t="s">
        <v>1661</v>
      </c>
      <c r="D193" s="15" t="s">
        <v>2055</v>
      </c>
      <c r="E193" s="23" t="s">
        <v>19</v>
      </c>
      <c r="F193" s="16"/>
      <c r="G193" s="16"/>
      <c r="H193" s="19" t="n">
        <f aca="false">LEN(IF(F193&lt;&gt;"",F193,D193))</f>
        <v>12</v>
      </c>
      <c r="I193" s="24" t="str">
        <f aca="false">IF(OR(H193&lt;2,H193&gt;140),"분량 확인","")</f>
        <v/>
      </c>
    </row>
    <row r="194" customFormat="false" ht="61.5" hidden="false" customHeight="true" outlineLevel="0" collapsed="false">
      <c r="A194" s="13" t="s">
        <v>2056</v>
      </c>
      <c r="B194" s="14" t="s">
        <v>629</v>
      </c>
      <c r="C194" s="15" t="s">
        <v>1664</v>
      </c>
      <c r="D194" s="15" t="s">
        <v>2057</v>
      </c>
      <c r="E194" s="23" t="s">
        <v>19</v>
      </c>
      <c r="F194" s="16"/>
      <c r="G194" s="16"/>
      <c r="H194" s="19" t="n">
        <f aca="false">LEN(IF(F194&lt;&gt;"",F194,D194))</f>
        <v>58</v>
      </c>
      <c r="I194" s="24" t="str">
        <f aca="false">IF(OR(H194&lt;2,H194&gt;140),"분량 확인","")</f>
        <v/>
      </c>
    </row>
    <row r="195" customFormat="false" ht="61.5" hidden="false" customHeight="true" outlineLevel="0" collapsed="false">
      <c r="A195" s="13" t="s">
        <v>2058</v>
      </c>
      <c r="B195" s="14" t="s">
        <v>629</v>
      </c>
      <c r="C195" s="15" t="s">
        <v>1667</v>
      </c>
      <c r="D195" s="15" t="s">
        <v>2059</v>
      </c>
      <c r="E195" s="23" t="s">
        <v>19</v>
      </c>
      <c r="F195" s="16"/>
      <c r="G195" s="16"/>
      <c r="H195" s="19" t="n">
        <f aca="false">LEN(IF(F195&lt;&gt;"",F195,D195))</f>
        <v>60</v>
      </c>
      <c r="I195" s="24" t="str">
        <f aca="false">IF(OR(H195&lt;2,H195&gt;140),"분량 확인","")</f>
        <v/>
      </c>
    </row>
    <row r="196" customFormat="false" ht="48" hidden="false" customHeight="true" outlineLevel="0" collapsed="false">
      <c r="A196" s="13" t="s">
        <v>2060</v>
      </c>
      <c r="B196" s="14" t="s">
        <v>629</v>
      </c>
      <c r="C196" s="15" t="s">
        <v>1670</v>
      </c>
      <c r="D196" s="15" t="s">
        <v>2061</v>
      </c>
      <c r="E196" s="23" t="s">
        <v>19</v>
      </c>
      <c r="F196" s="16"/>
      <c r="G196" s="16"/>
      <c r="H196" s="19" t="n">
        <f aca="false">LEN(IF(F196&lt;&gt;"",F196,D196))</f>
        <v>15</v>
      </c>
      <c r="I196" s="24" t="str">
        <f aca="false">IF(OR(H196&lt;2,H196&gt;140),"분량 확인","")</f>
        <v/>
      </c>
    </row>
    <row r="197" customFormat="false" ht="48" hidden="false" customHeight="true" outlineLevel="0" collapsed="false">
      <c r="A197" s="13" t="s">
        <v>2062</v>
      </c>
      <c r="B197" s="14" t="s">
        <v>629</v>
      </c>
      <c r="C197" s="15" t="s">
        <v>1673</v>
      </c>
      <c r="D197" s="15" t="s">
        <v>2063</v>
      </c>
      <c r="E197" s="23" t="s">
        <v>19</v>
      </c>
      <c r="F197" s="16"/>
      <c r="G197" s="16"/>
      <c r="H197" s="19" t="n">
        <f aca="false">LEN(IF(F197&lt;&gt;"",F197,D197))</f>
        <v>51</v>
      </c>
      <c r="I197" s="24" t="str">
        <f aca="false">IF(OR(H197&lt;2,H197&gt;140),"분량 확인","")</f>
        <v/>
      </c>
    </row>
    <row r="198" customFormat="false" ht="48" hidden="false" customHeight="true" outlineLevel="0" collapsed="false">
      <c r="A198" s="13" t="s">
        <v>2064</v>
      </c>
      <c r="B198" s="14" t="s">
        <v>629</v>
      </c>
      <c r="C198" s="15" t="s">
        <v>1676</v>
      </c>
      <c r="D198" s="14" t="s">
        <v>1677</v>
      </c>
      <c r="E198" s="23" t="s">
        <v>19</v>
      </c>
      <c r="F198" s="16"/>
      <c r="G198" s="16"/>
      <c r="H198" s="19" t="n">
        <f aca="false">LEN(IF(F198&lt;&gt;"",F198,D198))</f>
        <v>2</v>
      </c>
      <c r="I198" s="24" t="str">
        <f aca="false">IF(OR(H198&lt;2,H198&gt;140),"분량 확인","")</f>
        <v/>
      </c>
    </row>
    <row r="199" customFormat="false" ht="48" hidden="false" customHeight="true" outlineLevel="0" collapsed="false">
      <c r="A199" s="13" t="s">
        <v>2065</v>
      </c>
      <c r="B199" s="14" t="s">
        <v>629</v>
      </c>
      <c r="C199" s="15" t="s">
        <v>1679</v>
      </c>
      <c r="D199" s="15" t="s">
        <v>2066</v>
      </c>
      <c r="E199" s="23" t="s">
        <v>19</v>
      </c>
      <c r="F199" s="16"/>
      <c r="G199" s="16"/>
      <c r="H199" s="19" t="n">
        <f aca="false">LEN(IF(F199&lt;&gt;"",F199,D199))</f>
        <v>54</v>
      </c>
      <c r="I199" s="24" t="str">
        <f aca="false">IF(OR(H199&lt;2,H199&gt;140),"분량 확인","")</f>
        <v/>
      </c>
    </row>
    <row r="200" customFormat="false" ht="48" hidden="false" customHeight="true" outlineLevel="0" collapsed="false">
      <c r="A200" s="13" t="s">
        <v>2067</v>
      </c>
      <c r="B200" s="14" t="s">
        <v>629</v>
      </c>
      <c r="C200" s="15" t="s">
        <v>1682</v>
      </c>
      <c r="D200" s="15" t="s">
        <v>2068</v>
      </c>
      <c r="E200" s="23" t="s">
        <v>19</v>
      </c>
      <c r="F200" s="16"/>
      <c r="G200" s="16"/>
      <c r="H200" s="19" t="n">
        <f aca="false">LEN(IF(F200&lt;&gt;"",F200,D200))</f>
        <v>17</v>
      </c>
      <c r="I200" s="24" t="str">
        <f aca="false">IF(OR(H200&lt;2,H200&gt;140),"분량 확인","")</f>
        <v/>
      </c>
    </row>
    <row r="201" customFormat="false" ht="48" hidden="false" customHeight="true" outlineLevel="0" collapsed="false">
      <c r="A201" s="13" t="s">
        <v>2069</v>
      </c>
      <c r="B201" s="14" t="s">
        <v>629</v>
      </c>
      <c r="C201" s="15" t="s">
        <v>1685</v>
      </c>
      <c r="D201" s="15" t="s">
        <v>2070</v>
      </c>
      <c r="E201" s="23" t="s">
        <v>19</v>
      </c>
      <c r="F201" s="16"/>
      <c r="G201" s="16"/>
      <c r="H201" s="19" t="n">
        <f aca="false">LEN(IF(F201&lt;&gt;"",F201,D201))</f>
        <v>57</v>
      </c>
      <c r="I201" s="24" t="str">
        <f aca="false">IF(OR(H201&lt;2,H201&gt;140),"분량 확인","")</f>
        <v/>
      </c>
    </row>
    <row r="202" customFormat="false" ht="48" hidden="false" customHeight="true" outlineLevel="0" collapsed="false">
      <c r="A202" s="13" t="s">
        <v>2071</v>
      </c>
      <c r="B202" s="14" t="s">
        <v>629</v>
      </c>
      <c r="C202" s="15" t="s">
        <v>1688</v>
      </c>
      <c r="D202" s="15" t="s">
        <v>1689</v>
      </c>
      <c r="E202" s="23" t="s">
        <v>19</v>
      </c>
      <c r="F202" s="16"/>
      <c r="G202" s="16"/>
      <c r="H202" s="19" t="n">
        <f aca="false">LEN(IF(F202&lt;&gt;"",F202,D202))</f>
        <v>4</v>
      </c>
      <c r="I202" s="24" t="str">
        <f aca="false">IF(OR(H202&lt;2,H202&gt;140),"분량 확인","")</f>
        <v/>
      </c>
    </row>
    <row r="203" customFormat="false" ht="48" hidden="false" customHeight="true" outlineLevel="0" collapsed="false">
      <c r="A203" s="13" t="s">
        <v>2072</v>
      </c>
      <c r="B203" s="14" t="s">
        <v>629</v>
      </c>
      <c r="C203" s="15" t="s">
        <v>1691</v>
      </c>
      <c r="D203" s="15" t="s">
        <v>2073</v>
      </c>
      <c r="E203" s="23" t="s">
        <v>19</v>
      </c>
      <c r="F203" s="16"/>
      <c r="G203" s="16"/>
      <c r="H203" s="19" t="n">
        <f aca="false">LEN(IF(F203&lt;&gt;"",F203,D203))</f>
        <v>51</v>
      </c>
      <c r="I203" s="24" t="str">
        <f aca="false">IF(OR(H203&lt;2,H203&gt;140),"분량 확인","")</f>
        <v/>
      </c>
    </row>
    <row r="204" customFormat="false" ht="61.5" hidden="false" customHeight="true" outlineLevel="0" collapsed="false">
      <c r="A204" s="13" t="s">
        <v>2074</v>
      </c>
      <c r="B204" s="14" t="s">
        <v>629</v>
      </c>
      <c r="C204" s="15" t="s">
        <v>1694</v>
      </c>
      <c r="D204" s="15" t="s">
        <v>2075</v>
      </c>
      <c r="E204" s="23" t="s">
        <v>19</v>
      </c>
      <c r="F204" s="16"/>
      <c r="G204" s="16"/>
      <c r="H204" s="19" t="n">
        <f aca="false">LEN(IF(F204&lt;&gt;"",F204,D204))</f>
        <v>12</v>
      </c>
      <c r="I204" s="24" t="str">
        <f aca="false">IF(OR(H204&lt;2,H204&gt;140),"분량 확인","")</f>
        <v/>
      </c>
    </row>
    <row r="205" customFormat="false" ht="61.5" hidden="false" customHeight="true" outlineLevel="0" collapsed="false">
      <c r="A205" s="13" t="s">
        <v>2076</v>
      </c>
      <c r="B205" s="14" t="s">
        <v>629</v>
      </c>
      <c r="C205" s="15" t="s">
        <v>1697</v>
      </c>
      <c r="D205" s="15" t="s">
        <v>2077</v>
      </c>
      <c r="E205" s="23" t="s">
        <v>19</v>
      </c>
      <c r="F205" s="16"/>
      <c r="G205" s="16"/>
      <c r="H205" s="19" t="n">
        <f aca="false">LEN(IF(F205&lt;&gt;"",F205,D205))</f>
        <v>53</v>
      </c>
      <c r="I205" s="24" t="str">
        <f aca="false">IF(OR(H205&lt;2,H205&gt;140),"분량 확인","")</f>
        <v/>
      </c>
    </row>
    <row r="206" customFormat="false" ht="61.5" hidden="false" customHeight="true" outlineLevel="0" collapsed="false">
      <c r="A206" s="13" t="s">
        <v>2078</v>
      </c>
      <c r="B206" s="14" t="s">
        <v>629</v>
      </c>
      <c r="C206" s="15" t="s">
        <v>1700</v>
      </c>
      <c r="D206" s="15" t="s">
        <v>2079</v>
      </c>
      <c r="E206" s="23" t="s">
        <v>19</v>
      </c>
      <c r="F206" s="16"/>
      <c r="G206" s="16"/>
      <c r="H206" s="19" t="n">
        <f aca="false">LEN(IF(F206&lt;&gt;"",F206,D206))</f>
        <v>57</v>
      </c>
      <c r="I206" s="24" t="str">
        <f aca="false">IF(OR(H206&lt;2,H206&gt;140),"분량 확인","")</f>
        <v/>
      </c>
    </row>
    <row r="207" customFormat="false" ht="48" hidden="false" customHeight="true" outlineLevel="0" collapsed="false">
      <c r="A207" s="13" t="s">
        <v>2080</v>
      </c>
      <c r="B207" s="14" t="s">
        <v>629</v>
      </c>
      <c r="C207" s="15" t="s">
        <v>1703</v>
      </c>
      <c r="D207" s="15" t="s">
        <v>2081</v>
      </c>
      <c r="E207" s="23" t="s">
        <v>19</v>
      </c>
      <c r="F207" s="16"/>
      <c r="G207" s="16"/>
      <c r="H207" s="19" t="n">
        <f aca="false">LEN(IF(F207&lt;&gt;"",F207,D207))</f>
        <v>11</v>
      </c>
      <c r="I207" s="24" t="str">
        <f aca="false">IF(OR(H207&lt;2,H207&gt;140),"분량 확인","")</f>
        <v/>
      </c>
    </row>
    <row r="208" customFormat="false" ht="48" hidden="false" customHeight="true" outlineLevel="0" collapsed="false">
      <c r="A208" s="13" t="s">
        <v>2082</v>
      </c>
      <c r="B208" s="14" t="s">
        <v>629</v>
      </c>
      <c r="C208" s="15" t="s">
        <v>1706</v>
      </c>
      <c r="D208" s="15" t="s">
        <v>2083</v>
      </c>
      <c r="E208" s="23" t="s">
        <v>19</v>
      </c>
      <c r="F208" s="16"/>
      <c r="G208" s="16"/>
      <c r="H208" s="19" t="n">
        <f aca="false">LEN(IF(F208&lt;&gt;"",F208,D208))</f>
        <v>57</v>
      </c>
      <c r="I208" s="24" t="str">
        <f aca="false">IF(OR(H208&lt;2,H208&gt;140),"분량 확인","")</f>
        <v/>
      </c>
    </row>
    <row r="209" customFormat="false" ht="48" hidden="false" customHeight="true" outlineLevel="0" collapsed="false">
      <c r="A209" s="13" t="s">
        <v>2084</v>
      </c>
      <c r="B209" s="14" t="s">
        <v>629</v>
      </c>
      <c r="C209" s="15" t="s">
        <v>1709</v>
      </c>
      <c r="D209" s="14" t="s">
        <v>1766</v>
      </c>
      <c r="E209" s="23" t="s">
        <v>19</v>
      </c>
      <c r="F209" s="16"/>
      <c r="G209" s="16"/>
      <c r="H209" s="19" t="n">
        <f aca="false">LEN(IF(F209&lt;&gt;"",F209,D209))</f>
        <v>3</v>
      </c>
      <c r="I209" s="24" t="str">
        <f aca="false">IF(OR(H209&lt;2,H209&gt;140),"분량 확인","")</f>
        <v/>
      </c>
    </row>
    <row r="210" customFormat="false" ht="48" hidden="false" customHeight="true" outlineLevel="0" collapsed="false">
      <c r="A210" s="13" t="s">
        <v>2085</v>
      </c>
      <c r="B210" s="14" t="s">
        <v>629</v>
      </c>
      <c r="C210" s="15" t="s">
        <v>1712</v>
      </c>
      <c r="D210" s="15" t="s">
        <v>2086</v>
      </c>
      <c r="E210" s="23" t="s">
        <v>19</v>
      </c>
      <c r="F210" s="16"/>
      <c r="G210" s="16"/>
      <c r="H210" s="19" t="n">
        <f aca="false">LEN(IF(F210&lt;&gt;"",F210,D210))</f>
        <v>57</v>
      </c>
      <c r="I210" s="24" t="str">
        <f aca="false">IF(OR(H210&lt;2,H210&gt;140),"분량 확인","")</f>
        <v/>
      </c>
    </row>
    <row r="211" customFormat="false" ht="61.5" hidden="false" customHeight="true" outlineLevel="0" collapsed="false">
      <c r="A211" s="13" t="s">
        <v>2087</v>
      </c>
      <c r="B211" s="14" t="s">
        <v>629</v>
      </c>
      <c r="C211" s="15" t="s">
        <v>1715</v>
      </c>
      <c r="D211" s="15" t="s">
        <v>2088</v>
      </c>
      <c r="E211" s="23" t="s">
        <v>19</v>
      </c>
      <c r="F211" s="16"/>
      <c r="G211" s="16"/>
      <c r="H211" s="19" t="n">
        <f aca="false">LEN(IF(F211&lt;&gt;"",F211,D211))</f>
        <v>13</v>
      </c>
      <c r="I211" s="24" t="str">
        <f aca="false">IF(OR(H211&lt;2,H211&gt;140),"분량 확인","")</f>
        <v/>
      </c>
    </row>
    <row r="212" customFormat="false" ht="61.5" hidden="false" customHeight="true" outlineLevel="0" collapsed="false">
      <c r="A212" s="13" t="s">
        <v>2089</v>
      </c>
      <c r="B212" s="14" t="s">
        <v>629</v>
      </c>
      <c r="C212" s="15" t="s">
        <v>1718</v>
      </c>
      <c r="D212" s="15" t="s">
        <v>2090</v>
      </c>
      <c r="E212" s="23" t="s">
        <v>19</v>
      </c>
      <c r="F212" s="16"/>
      <c r="G212" s="16"/>
      <c r="H212" s="19" t="n">
        <f aca="false">LEN(IF(F212&lt;&gt;"",F212,D212))</f>
        <v>14</v>
      </c>
      <c r="I212" s="24" t="str">
        <f aca="false">IF(OR(H212&lt;2,H212&gt;140),"분량 확인","")</f>
        <v/>
      </c>
    </row>
    <row r="213" customFormat="false" ht="61.5" hidden="false" customHeight="true" outlineLevel="0" collapsed="false">
      <c r="A213" s="13" t="s">
        <v>2091</v>
      </c>
      <c r="B213" s="14" t="s">
        <v>629</v>
      </c>
      <c r="C213" s="15" t="s">
        <v>1721</v>
      </c>
      <c r="D213" s="15" t="s">
        <v>2092</v>
      </c>
      <c r="E213" s="23" t="s">
        <v>19</v>
      </c>
      <c r="F213" s="16"/>
      <c r="G213" s="16"/>
      <c r="H213" s="19" t="n">
        <f aca="false">LEN(IF(F213&lt;&gt;"",F213,D213))</f>
        <v>64</v>
      </c>
      <c r="I213" s="24" t="str">
        <f aca="false">IF(OR(H213&lt;2,H213&gt;140),"분량 확인","")</f>
        <v/>
      </c>
    </row>
    <row r="214" customFormat="false" ht="61.5" hidden="false" customHeight="true" outlineLevel="0" collapsed="false">
      <c r="A214" s="13" t="s">
        <v>2093</v>
      </c>
      <c r="B214" s="14" t="s">
        <v>629</v>
      </c>
      <c r="C214" s="15" t="s">
        <v>1724</v>
      </c>
      <c r="D214" s="15" t="s">
        <v>2094</v>
      </c>
      <c r="E214" s="23" t="s">
        <v>19</v>
      </c>
      <c r="F214" s="16"/>
      <c r="G214" s="16"/>
      <c r="H214" s="19" t="n">
        <f aca="false">LEN(IF(F214&lt;&gt;"",F214,D214))</f>
        <v>61</v>
      </c>
      <c r="I214" s="24" t="str">
        <f aca="false">IF(OR(H214&lt;2,H214&gt;140),"분량 확인","")</f>
        <v/>
      </c>
    </row>
    <row r="215" customFormat="false" ht="48" hidden="false" customHeight="true" outlineLevel="0" collapsed="false">
      <c r="A215" s="13" t="s">
        <v>2095</v>
      </c>
      <c r="B215" s="14" t="s">
        <v>629</v>
      </c>
      <c r="C215" s="15" t="s">
        <v>1727</v>
      </c>
      <c r="D215" s="15" t="s">
        <v>2096</v>
      </c>
      <c r="E215" s="23" t="s">
        <v>19</v>
      </c>
      <c r="F215" s="16"/>
      <c r="G215" s="16"/>
      <c r="H215" s="19" t="n">
        <f aca="false">LEN(IF(F215&lt;&gt;"",F215,D215))</f>
        <v>11</v>
      </c>
      <c r="I215" s="24" t="str">
        <f aca="false">IF(OR(H215&lt;2,H215&gt;140),"분량 확인","")</f>
        <v/>
      </c>
    </row>
    <row r="216" customFormat="false" ht="48" hidden="false" customHeight="true" outlineLevel="0" collapsed="false">
      <c r="A216" s="13" t="s">
        <v>2097</v>
      </c>
      <c r="B216" s="14" t="s">
        <v>629</v>
      </c>
      <c r="C216" s="15" t="s">
        <v>1730</v>
      </c>
      <c r="D216" s="15" t="s">
        <v>2098</v>
      </c>
      <c r="E216" s="23" t="s">
        <v>19</v>
      </c>
      <c r="F216" s="16"/>
      <c r="G216" s="16"/>
      <c r="H216" s="19" t="n">
        <f aca="false">LEN(IF(F216&lt;&gt;"",F216,D216))</f>
        <v>56</v>
      </c>
      <c r="I216" s="24" t="str">
        <f aca="false">IF(OR(H216&lt;2,H216&gt;140),"분량 확인","")</f>
        <v/>
      </c>
    </row>
    <row r="217" customFormat="false" ht="48" hidden="false" customHeight="true" outlineLevel="0" collapsed="false">
      <c r="A217" s="13" t="s">
        <v>2099</v>
      </c>
      <c r="B217" s="14" t="s">
        <v>629</v>
      </c>
      <c r="C217" s="15" t="s">
        <v>1733</v>
      </c>
      <c r="D217" s="14" t="s">
        <v>1677</v>
      </c>
      <c r="E217" s="23" t="s">
        <v>19</v>
      </c>
      <c r="F217" s="16"/>
      <c r="G217" s="16"/>
      <c r="H217" s="19" t="n">
        <f aca="false">LEN(IF(F217&lt;&gt;"",F217,D217))</f>
        <v>2</v>
      </c>
      <c r="I217" s="24" t="str">
        <f aca="false">IF(OR(H217&lt;2,H217&gt;140),"분량 확인","")</f>
        <v/>
      </c>
    </row>
    <row r="218" customFormat="false" ht="48" hidden="false" customHeight="true" outlineLevel="0" collapsed="false">
      <c r="A218" s="13" t="s">
        <v>2100</v>
      </c>
      <c r="B218" s="14" t="s">
        <v>629</v>
      </c>
      <c r="C218" s="15" t="s">
        <v>1736</v>
      </c>
      <c r="D218" s="15" t="s">
        <v>2101</v>
      </c>
      <c r="E218" s="23" t="s">
        <v>19</v>
      </c>
      <c r="F218" s="16"/>
      <c r="G218" s="16"/>
      <c r="H218" s="19" t="n">
        <f aca="false">LEN(IF(F218&lt;&gt;"",F218,D218))</f>
        <v>50</v>
      </c>
      <c r="I218" s="24" t="str">
        <f aca="false">IF(OR(H218&lt;2,H218&gt;140),"분량 확인","")</f>
        <v/>
      </c>
    </row>
    <row r="219" customFormat="false" ht="48" hidden="false" customHeight="true" outlineLevel="0" collapsed="false">
      <c r="A219" s="13" t="s">
        <v>2102</v>
      </c>
      <c r="B219" s="14" t="s">
        <v>629</v>
      </c>
      <c r="C219" s="15" t="s">
        <v>1739</v>
      </c>
      <c r="D219" s="15" t="s">
        <v>2103</v>
      </c>
      <c r="E219" s="23" t="s">
        <v>19</v>
      </c>
      <c r="F219" s="16"/>
      <c r="G219" s="16"/>
      <c r="H219" s="19" t="n">
        <f aca="false">LEN(IF(F219&lt;&gt;"",F219,D219))</f>
        <v>13</v>
      </c>
      <c r="I219" s="24" t="str">
        <f aca="false">IF(OR(H219&lt;2,H219&gt;140),"분량 확인","")</f>
        <v/>
      </c>
    </row>
    <row r="220" customFormat="false" ht="48" hidden="false" customHeight="true" outlineLevel="0" collapsed="false">
      <c r="A220" s="13" t="s">
        <v>2104</v>
      </c>
      <c r="B220" s="14" t="s">
        <v>629</v>
      </c>
      <c r="C220" s="15" t="s">
        <v>1742</v>
      </c>
      <c r="D220" s="15" t="s">
        <v>2105</v>
      </c>
      <c r="E220" s="23" t="s">
        <v>19</v>
      </c>
      <c r="F220" s="16"/>
      <c r="G220" s="16"/>
      <c r="H220" s="19" t="n">
        <f aca="false">LEN(IF(F220&lt;&gt;"",F220,D220))</f>
        <v>58</v>
      </c>
      <c r="I220" s="24" t="str">
        <f aca="false">IF(OR(H220&lt;2,H220&gt;140),"분량 확인","")</f>
        <v/>
      </c>
    </row>
    <row r="221" customFormat="false" ht="48" hidden="false" customHeight="true" outlineLevel="0" collapsed="false">
      <c r="A221" s="13" t="s">
        <v>2106</v>
      </c>
      <c r="B221" s="14" t="s">
        <v>629</v>
      </c>
      <c r="C221" s="15" t="s">
        <v>1745</v>
      </c>
      <c r="D221" s="15" t="s">
        <v>1689</v>
      </c>
      <c r="E221" s="23" t="s">
        <v>19</v>
      </c>
      <c r="F221" s="16"/>
      <c r="G221" s="16"/>
      <c r="H221" s="19" t="n">
        <f aca="false">LEN(IF(F221&lt;&gt;"",F221,D221))</f>
        <v>4</v>
      </c>
      <c r="I221" s="24" t="str">
        <f aca="false">IF(OR(H221&lt;2,H221&gt;140),"분량 확인","")</f>
        <v/>
      </c>
    </row>
    <row r="222" customFormat="false" ht="48" hidden="false" customHeight="true" outlineLevel="0" collapsed="false">
      <c r="A222" s="13" t="s">
        <v>2107</v>
      </c>
      <c r="B222" s="14" t="s">
        <v>629</v>
      </c>
      <c r="C222" s="15" t="s">
        <v>1747</v>
      </c>
      <c r="D222" s="15" t="s">
        <v>2108</v>
      </c>
      <c r="E222" s="23" t="s">
        <v>19</v>
      </c>
      <c r="F222" s="16"/>
      <c r="G222" s="16"/>
      <c r="H222" s="19" t="n">
        <f aca="false">LEN(IF(F222&lt;&gt;"",F222,D222))</f>
        <v>47</v>
      </c>
      <c r="I222" s="24" t="str">
        <f aca="false">IF(OR(H222&lt;2,H222&gt;140),"분량 확인","")</f>
        <v/>
      </c>
    </row>
    <row r="223" customFormat="false" ht="61.5" hidden="false" customHeight="true" outlineLevel="0" collapsed="false">
      <c r="A223" s="13" t="s">
        <v>2109</v>
      </c>
      <c r="B223" s="14" t="s">
        <v>629</v>
      </c>
      <c r="C223" s="15" t="s">
        <v>1750</v>
      </c>
      <c r="D223" s="15" t="s">
        <v>2110</v>
      </c>
      <c r="E223" s="23" t="s">
        <v>19</v>
      </c>
      <c r="F223" s="16"/>
      <c r="G223" s="16"/>
      <c r="H223" s="19" t="n">
        <f aca="false">LEN(IF(F223&lt;&gt;"",F223,D223))</f>
        <v>11</v>
      </c>
      <c r="I223" s="24" t="str">
        <f aca="false">IF(OR(H223&lt;2,H223&gt;140),"분량 확인","")</f>
        <v/>
      </c>
    </row>
    <row r="224" customFormat="false" ht="61.5" hidden="false" customHeight="true" outlineLevel="0" collapsed="false">
      <c r="A224" s="13" t="s">
        <v>2111</v>
      </c>
      <c r="B224" s="14" t="s">
        <v>629</v>
      </c>
      <c r="C224" s="15" t="s">
        <v>1753</v>
      </c>
      <c r="D224" s="15" t="s">
        <v>2112</v>
      </c>
      <c r="E224" s="23" t="s">
        <v>19</v>
      </c>
      <c r="F224" s="16"/>
      <c r="G224" s="16"/>
      <c r="H224" s="19" t="n">
        <f aca="false">LEN(IF(F224&lt;&gt;"",F224,D224))</f>
        <v>56</v>
      </c>
      <c r="I224" s="24" t="str">
        <f aca="false">IF(OR(H224&lt;2,H224&gt;140),"분량 확인","")</f>
        <v/>
      </c>
    </row>
    <row r="225" customFormat="false" ht="61.5" hidden="false" customHeight="true" outlineLevel="0" collapsed="false">
      <c r="A225" s="13" t="s">
        <v>2113</v>
      </c>
      <c r="B225" s="14" t="s">
        <v>629</v>
      </c>
      <c r="C225" s="15" t="s">
        <v>1756</v>
      </c>
      <c r="D225" s="15" t="s">
        <v>2114</v>
      </c>
      <c r="E225" s="23" t="s">
        <v>19</v>
      </c>
      <c r="F225" s="16"/>
      <c r="G225" s="16"/>
      <c r="H225" s="19" t="n">
        <f aca="false">LEN(IF(F225&lt;&gt;"",F225,D225))</f>
        <v>60</v>
      </c>
      <c r="I225" s="24" t="str">
        <f aca="false">IF(OR(H225&lt;2,H225&gt;140),"분량 확인","")</f>
        <v/>
      </c>
    </row>
    <row r="226" customFormat="false" ht="48" hidden="false" customHeight="true" outlineLevel="0" collapsed="false">
      <c r="A226" s="13" t="s">
        <v>2115</v>
      </c>
      <c r="B226" s="14" t="s">
        <v>629</v>
      </c>
      <c r="C226" s="15" t="s">
        <v>1759</v>
      </c>
      <c r="D226" s="15" t="s">
        <v>2116</v>
      </c>
      <c r="E226" s="23" t="s">
        <v>19</v>
      </c>
      <c r="F226" s="16"/>
      <c r="G226" s="16"/>
      <c r="H226" s="19" t="n">
        <f aca="false">LEN(IF(F226&lt;&gt;"",F226,D226))</f>
        <v>10</v>
      </c>
      <c r="I226" s="24" t="str">
        <f aca="false">IF(OR(H226&lt;2,H226&gt;140),"분량 확인","")</f>
        <v/>
      </c>
    </row>
    <row r="227" customFormat="false" ht="48" hidden="false" customHeight="true" outlineLevel="0" collapsed="false">
      <c r="A227" s="13" t="s">
        <v>2117</v>
      </c>
      <c r="B227" s="14" t="s">
        <v>629</v>
      </c>
      <c r="C227" s="15" t="s">
        <v>1762</v>
      </c>
      <c r="D227" s="15" t="s">
        <v>2118</v>
      </c>
      <c r="E227" s="23" t="s">
        <v>19</v>
      </c>
      <c r="F227" s="16"/>
      <c r="G227" s="16"/>
      <c r="H227" s="19" t="n">
        <f aca="false">LEN(IF(F227&lt;&gt;"",F227,D227))</f>
        <v>53</v>
      </c>
      <c r="I227" s="24" t="str">
        <f aca="false">IF(OR(H227&lt;2,H227&gt;140),"분량 확인","")</f>
        <v/>
      </c>
    </row>
    <row r="228" customFormat="false" ht="48" hidden="false" customHeight="true" outlineLevel="0" collapsed="false">
      <c r="A228" s="13" t="s">
        <v>2119</v>
      </c>
      <c r="B228" s="14" t="s">
        <v>629</v>
      </c>
      <c r="C228" s="15" t="s">
        <v>1765</v>
      </c>
      <c r="D228" s="14" t="s">
        <v>1710</v>
      </c>
      <c r="E228" s="23" t="s">
        <v>19</v>
      </c>
      <c r="F228" s="16"/>
      <c r="G228" s="16"/>
      <c r="H228" s="19" t="n">
        <f aca="false">LEN(IF(F228&lt;&gt;"",F228,D228))</f>
        <v>3</v>
      </c>
      <c r="I228" s="24" t="str">
        <f aca="false">IF(OR(H228&lt;2,H228&gt;140),"분량 확인","")</f>
        <v/>
      </c>
    </row>
    <row r="229" customFormat="false" ht="48" hidden="false" customHeight="true" outlineLevel="0" collapsed="false">
      <c r="A229" s="13" t="s">
        <v>2120</v>
      </c>
      <c r="B229" s="14" t="s">
        <v>629</v>
      </c>
      <c r="C229" s="15" t="s">
        <v>1768</v>
      </c>
      <c r="D229" s="15" t="s">
        <v>2121</v>
      </c>
      <c r="E229" s="23" t="s">
        <v>19</v>
      </c>
      <c r="F229" s="16"/>
      <c r="G229" s="16"/>
      <c r="H229" s="19" t="n">
        <f aca="false">LEN(IF(F229&lt;&gt;"",F229,D229))</f>
        <v>52</v>
      </c>
      <c r="I229" s="24" t="str">
        <f aca="false">IF(OR(H229&lt;2,H229&gt;140),"분량 확인","")</f>
        <v/>
      </c>
    </row>
    <row r="230" customFormat="false" ht="61.5" hidden="false" customHeight="true" outlineLevel="0" collapsed="false">
      <c r="A230" s="13" t="s">
        <v>2122</v>
      </c>
      <c r="B230" s="14" t="s">
        <v>642</v>
      </c>
      <c r="C230" s="15" t="s">
        <v>1658</v>
      </c>
      <c r="D230" s="15" t="s">
        <v>2123</v>
      </c>
      <c r="E230" s="23" t="s">
        <v>19</v>
      </c>
      <c r="F230" s="16"/>
      <c r="G230" s="16"/>
      <c r="H230" s="19" t="n">
        <f aca="false">LEN(IF(F230&lt;&gt;"",F230,D230))</f>
        <v>19</v>
      </c>
      <c r="I230" s="24" t="str">
        <f aca="false">IF(OR(H230&lt;2,H230&gt;140),"분량 확인","")</f>
        <v/>
      </c>
    </row>
    <row r="231" customFormat="false" ht="61.5" hidden="false" customHeight="true" outlineLevel="0" collapsed="false">
      <c r="A231" s="13" t="s">
        <v>2124</v>
      </c>
      <c r="B231" s="14" t="s">
        <v>642</v>
      </c>
      <c r="C231" s="15" t="s">
        <v>1661</v>
      </c>
      <c r="D231" s="15" t="s">
        <v>2125</v>
      </c>
      <c r="E231" s="23" t="s">
        <v>19</v>
      </c>
      <c r="F231" s="16"/>
      <c r="G231" s="16"/>
      <c r="H231" s="19" t="n">
        <f aca="false">LEN(IF(F231&lt;&gt;"",F231,D231))</f>
        <v>15</v>
      </c>
      <c r="I231" s="24" t="str">
        <f aca="false">IF(OR(H231&lt;2,H231&gt;140),"분량 확인","")</f>
        <v/>
      </c>
    </row>
    <row r="232" customFormat="false" ht="61.5" hidden="false" customHeight="true" outlineLevel="0" collapsed="false">
      <c r="A232" s="13" t="s">
        <v>2126</v>
      </c>
      <c r="B232" s="14" t="s">
        <v>642</v>
      </c>
      <c r="C232" s="15" t="s">
        <v>1664</v>
      </c>
      <c r="D232" s="15" t="s">
        <v>2127</v>
      </c>
      <c r="E232" s="23" t="s">
        <v>19</v>
      </c>
      <c r="F232" s="16"/>
      <c r="G232" s="16"/>
      <c r="H232" s="19" t="n">
        <f aca="false">LEN(IF(F232&lt;&gt;"",F232,D232))</f>
        <v>52</v>
      </c>
      <c r="I232" s="24" t="str">
        <f aca="false">IF(OR(H232&lt;2,H232&gt;140),"분량 확인","")</f>
        <v/>
      </c>
    </row>
    <row r="233" customFormat="false" ht="61.5" hidden="false" customHeight="true" outlineLevel="0" collapsed="false">
      <c r="A233" s="13" t="s">
        <v>2128</v>
      </c>
      <c r="B233" s="14" t="s">
        <v>642</v>
      </c>
      <c r="C233" s="15" t="s">
        <v>1667</v>
      </c>
      <c r="D233" s="15" t="s">
        <v>2129</v>
      </c>
      <c r="E233" s="23" t="s">
        <v>19</v>
      </c>
      <c r="F233" s="16"/>
      <c r="G233" s="16"/>
      <c r="H233" s="19" t="n">
        <f aca="false">LEN(IF(F233&lt;&gt;"",F233,D233))</f>
        <v>65</v>
      </c>
      <c r="I233" s="24" t="str">
        <f aca="false">IF(OR(H233&lt;2,H233&gt;140),"분량 확인","")</f>
        <v/>
      </c>
    </row>
    <row r="234" customFormat="false" ht="48" hidden="false" customHeight="true" outlineLevel="0" collapsed="false">
      <c r="A234" s="13" t="s">
        <v>2130</v>
      </c>
      <c r="B234" s="14" t="s">
        <v>642</v>
      </c>
      <c r="C234" s="15" t="s">
        <v>1670</v>
      </c>
      <c r="D234" s="15" t="s">
        <v>2131</v>
      </c>
      <c r="E234" s="23" t="s">
        <v>19</v>
      </c>
      <c r="F234" s="16"/>
      <c r="G234" s="16"/>
      <c r="H234" s="19" t="n">
        <f aca="false">LEN(IF(F234&lt;&gt;"",F234,D234))</f>
        <v>13</v>
      </c>
      <c r="I234" s="24" t="str">
        <f aca="false">IF(OR(H234&lt;2,H234&gt;140),"분량 확인","")</f>
        <v/>
      </c>
    </row>
    <row r="235" customFormat="false" ht="48" hidden="false" customHeight="true" outlineLevel="0" collapsed="false">
      <c r="A235" s="13" t="s">
        <v>2132</v>
      </c>
      <c r="B235" s="14" t="s">
        <v>642</v>
      </c>
      <c r="C235" s="15" t="s">
        <v>1673</v>
      </c>
      <c r="D235" s="15" t="s">
        <v>2133</v>
      </c>
      <c r="E235" s="23" t="s">
        <v>19</v>
      </c>
      <c r="F235" s="16"/>
      <c r="G235" s="16"/>
      <c r="H235" s="19" t="n">
        <f aca="false">LEN(IF(F235&lt;&gt;"",F235,D235))</f>
        <v>45</v>
      </c>
      <c r="I235" s="24" t="str">
        <f aca="false">IF(OR(H235&lt;2,H235&gt;140),"분량 확인","")</f>
        <v/>
      </c>
    </row>
    <row r="236" customFormat="false" ht="48" hidden="false" customHeight="true" outlineLevel="0" collapsed="false">
      <c r="A236" s="13" t="s">
        <v>2134</v>
      </c>
      <c r="B236" s="14" t="s">
        <v>642</v>
      </c>
      <c r="C236" s="15" t="s">
        <v>1676</v>
      </c>
      <c r="D236" s="14" t="s">
        <v>1783</v>
      </c>
      <c r="E236" s="23" t="s">
        <v>19</v>
      </c>
      <c r="F236" s="16"/>
      <c r="G236" s="16"/>
      <c r="H236" s="19" t="n">
        <f aca="false">LEN(IF(F236&lt;&gt;"",F236,D236))</f>
        <v>2</v>
      </c>
      <c r="I236" s="24" t="str">
        <f aca="false">IF(OR(H236&lt;2,H236&gt;140),"분량 확인","")</f>
        <v/>
      </c>
    </row>
    <row r="237" customFormat="false" ht="48" hidden="false" customHeight="true" outlineLevel="0" collapsed="false">
      <c r="A237" s="13" t="s">
        <v>2135</v>
      </c>
      <c r="B237" s="14" t="s">
        <v>642</v>
      </c>
      <c r="C237" s="15" t="s">
        <v>1679</v>
      </c>
      <c r="D237" s="15" t="s">
        <v>2136</v>
      </c>
      <c r="E237" s="23" t="s">
        <v>19</v>
      </c>
      <c r="F237" s="16"/>
      <c r="G237" s="16"/>
      <c r="H237" s="19" t="n">
        <f aca="false">LEN(IF(F237&lt;&gt;"",F237,D237))</f>
        <v>49</v>
      </c>
      <c r="I237" s="24" t="str">
        <f aca="false">IF(OR(H237&lt;2,H237&gt;140),"분량 확인","")</f>
        <v/>
      </c>
    </row>
    <row r="238" customFormat="false" ht="48" hidden="false" customHeight="true" outlineLevel="0" collapsed="false">
      <c r="A238" s="13" t="s">
        <v>2137</v>
      </c>
      <c r="B238" s="14" t="s">
        <v>642</v>
      </c>
      <c r="C238" s="15" t="s">
        <v>1682</v>
      </c>
      <c r="D238" s="15" t="s">
        <v>2138</v>
      </c>
      <c r="E238" s="23" t="s">
        <v>19</v>
      </c>
      <c r="F238" s="16"/>
      <c r="G238" s="16"/>
      <c r="H238" s="19" t="n">
        <f aca="false">LEN(IF(F238&lt;&gt;"",F238,D238))</f>
        <v>13</v>
      </c>
      <c r="I238" s="24" t="str">
        <f aca="false">IF(OR(H238&lt;2,H238&gt;140),"분량 확인","")</f>
        <v/>
      </c>
    </row>
    <row r="239" customFormat="false" ht="48" hidden="false" customHeight="true" outlineLevel="0" collapsed="false">
      <c r="A239" s="13" t="s">
        <v>2139</v>
      </c>
      <c r="B239" s="14" t="s">
        <v>642</v>
      </c>
      <c r="C239" s="15" t="s">
        <v>1685</v>
      </c>
      <c r="D239" s="15" t="s">
        <v>2140</v>
      </c>
      <c r="E239" s="23" t="s">
        <v>19</v>
      </c>
      <c r="F239" s="16"/>
      <c r="G239" s="16"/>
      <c r="H239" s="19" t="n">
        <f aca="false">LEN(IF(F239&lt;&gt;"",F239,D239))</f>
        <v>62</v>
      </c>
      <c r="I239" s="24" t="str">
        <f aca="false">IF(OR(H239&lt;2,H239&gt;140),"분량 확인","")</f>
        <v/>
      </c>
    </row>
    <row r="240" customFormat="false" ht="48" hidden="false" customHeight="true" outlineLevel="0" collapsed="false">
      <c r="A240" s="13" t="s">
        <v>2141</v>
      </c>
      <c r="B240" s="14" t="s">
        <v>642</v>
      </c>
      <c r="C240" s="15" t="s">
        <v>1688</v>
      </c>
      <c r="D240" s="15" t="s">
        <v>1689</v>
      </c>
      <c r="E240" s="23" t="s">
        <v>19</v>
      </c>
      <c r="F240" s="16"/>
      <c r="G240" s="16"/>
      <c r="H240" s="19" t="n">
        <f aca="false">LEN(IF(F240&lt;&gt;"",F240,D240))</f>
        <v>4</v>
      </c>
      <c r="I240" s="24" t="str">
        <f aca="false">IF(OR(H240&lt;2,H240&gt;140),"분량 확인","")</f>
        <v/>
      </c>
    </row>
    <row r="241" customFormat="false" ht="48" hidden="false" customHeight="true" outlineLevel="0" collapsed="false">
      <c r="A241" s="13" t="s">
        <v>2142</v>
      </c>
      <c r="B241" s="14" t="s">
        <v>642</v>
      </c>
      <c r="C241" s="15" t="s">
        <v>1691</v>
      </c>
      <c r="D241" s="15" t="s">
        <v>2143</v>
      </c>
      <c r="E241" s="23" t="s">
        <v>19</v>
      </c>
      <c r="F241" s="16"/>
      <c r="G241" s="16"/>
      <c r="H241" s="19" t="n">
        <f aca="false">LEN(IF(F241&lt;&gt;"",F241,D241))</f>
        <v>49</v>
      </c>
      <c r="I241" s="24" t="str">
        <f aca="false">IF(OR(H241&lt;2,H241&gt;140),"분량 확인","")</f>
        <v/>
      </c>
    </row>
    <row r="242" customFormat="false" ht="61.5" hidden="false" customHeight="true" outlineLevel="0" collapsed="false">
      <c r="A242" s="13" t="s">
        <v>2144</v>
      </c>
      <c r="B242" s="14" t="s">
        <v>642</v>
      </c>
      <c r="C242" s="15" t="s">
        <v>1694</v>
      </c>
      <c r="D242" s="15" t="s">
        <v>2145</v>
      </c>
      <c r="E242" s="23" t="s">
        <v>19</v>
      </c>
      <c r="F242" s="16"/>
      <c r="G242" s="16"/>
      <c r="H242" s="19" t="n">
        <f aca="false">LEN(IF(F242&lt;&gt;"",F242,D242))</f>
        <v>11</v>
      </c>
      <c r="I242" s="24" t="str">
        <f aca="false">IF(OR(H242&lt;2,H242&gt;140),"분량 확인","")</f>
        <v/>
      </c>
    </row>
    <row r="243" customFormat="false" ht="61.5" hidden="false" customHeight="true" outlineLevel="0" collapsed="false">
      <c r="A243" s="13" t="s">
        <v>2146</v>
      </c>
      <c r="B243" s="14" t="s">
        <v>642</v>
      </c>
      <c r="C243" s="15" t="s">
        <v>1697</v>
      </c>
      <c r="D243" s="15" t="s">
        <v>2147</v>
      </c>
      <c r="E243" s="23" t="s">
        <v>19</v>
      </c>
      <c r="F243" s="16"/>
      <c r="G243" s="16"/>
      <c r="H243" s="19" t="n">
        <f aca="false">LEN(IF(F243&lt;&gt;"",F243,D243))</f>
        <v>59</v>
      </c>
      <c r="I243" s="24" t="str">
        <f aca="false">IF(OR(H243&lt;2,H243&gt;140),"분량 확인","")</f>
        <v/>
      </c>
    </row>
    <row r="244" customFormat="false" ht="61.5" hidden="false" customHeight="true" outlineLevel="0" collapsed="false">
      <c r="A244" s="13" t="s">
        <v>2148</v>
      </c>
      <c r="B244" s="14" t="s">
        <v>642</v>
      </c>
      <c r="C244" s="15" t="s">
        <v>1700</v>
      </c>
      <c r="D244" s="15" t="s">
        <v>2149</v>
      </c>
      <c r="E244" s="23" t="s">
        <v>19</v>
      </c>
      <c r="F244" s="16"/>
      <c r="G244" s="16"/>
      <c r="H244" s="19" t="n">
        <f aca="false">LEN(IF(F244&lt;&gt;"",F244,D244))</f>
        <v>59</v>
      </c>
      <c r="I244" s="24" t="str">
        <f aca="false">IF(OR(H244&lt;2,H244&gt;140),"분량 확인","")</f>
        <v/>
      </c>
    </row>
    <row r="245" customFormat="false" ht="48" hidden="false" customHeight="true" outlineLevel="0" collapsed="false">
      <c r="A245" s="13" t="s">
        <v>2150</v>
      </c>
      <c r="B245" s="14" t="s">
        <v>642</v>
      </c>
      <c r="C245" s="15" t="s">
        <v>1703</v>
      </c>
      <c r="D245" s="15" t="s">
        <v>2151</v>
      </c>
      <c r="E245" s="23" t="s">
        <v>19</v>
      </c>
      <c r="F245" s="16"/>
      <c r="G245" s="16"/>
      <c r="H245" s="19" t="n">
        <f aca="false">LEN(IF(F245&lt;&gt;"",F245,D245))</f>
        <v>11</v>
      </c>
      <c r="I245" s="24" t="str">
        <f aca="false">IF(OR(H245&lt;2,H245&gt;140),"분량 확인","")</f>
        <v/>
      </c>
    </row>
    <row r="246" customFormat="false" ht="48" hidden="false" customHeight="true" outlineLevel="0" collapsed="false">
      <c r="A246" s="13" t="s">
        <v>2152</v>
      </c>
      <c r="B246" s="14" t="s">
        <v>642</v>
      </c>
      <c r="C246" s="15" t="s">
        <v>1706</v>
      </c>
      <c r="D246" s="15" t="s">
        <v>2153</v>
      </c>
      <c r="E246" s="23" t="s">
        <v>19</v>
      </c>
      <c r="F246" s="16"/>
      <c r="G246" s="16"/>
      <c r="H246" s="19" t="n">
        <f aca="false">LEN(IF(F246&lt;&gt;"",F246,D246))</f>
        <v>63</v>
      </c>
      <c r="I246" s="24" t="str">
        <f aca="false">IF(OR(H246&lt;2,H246&gt;140),"분량 확인","")</f>
        <v/>
      </c>
    </row>
    <row r="247" customFormat="false" ht="48" hidden="false" customHeight="true" outlineLevel="0" collapsed="false">
      <c r="A247" s="13" t="s">
        <v>2154</v>
      </c>
      <c r="B247" s="14" t="s">
        <v>642</v>
      </c>
      <c r="C247" s="15" t="s">
        <v>1709</v>
      </c>
      <c r="D247" s="14" t="s">
        <v>1766</v>
      </c>
      <c r="E247" s="23" t="s">
        <v>19</v>
      </c>
      <c r="F247" s="16"/>
      <c r="G247" s="16"/>
      <c r="H247" s="19" t="n">
        <f aca="false">LEN(IF(F247&lt;&gt;"",F247,D247))</f>
        <v>3</v>
      </c>
      <c r="I247" s="24" t="str">
        <f aca="false">IF(OR(H247&lt;2,H247&gt;140),"분량 확인","")</f>
        <v/>
      </c>
    </row>
    <row r="248" customFormat="false" ht="48" hidden="false" customHeight="true" outlineLevel="0" collapsed="false">
      <c r="A248" s="13" t="s">
        <v>2155</v>
      </c>
      <c r="B248" s="14" t="s">
        <v>642</v>
      </c>
      <c r="C248" s="15" t="s">
        <v>1712</v>
      </c>
      <c r="D248" s="15" t="s">
        <v>2156</v>
      </c>
      <c r="E248" s="23" t="s">
        <v>19</v>
      </c>
      <c r="F248" s="16"/>
      <c r="G248" s="16"/>
      <c r="H248" s="19" t="n">
        <f aca="false">LEN(IF(F248&lt;&gt;"",F248,D248))</f>
        <v>55</v>
      </c>
      <c r="I248" s="24" t="str">
        <f aca="false">IF(OR(H248&lt;2,H248&gt;140),"분량 확인","")</f>
        <v/>
      </c>
    </row>
    <row r="249" customFormat="false" ht="61.5" hidden="false" customHeight="true" outlineLevel="0" collapsed="false">
      <c r="A249" s="13" t="s">
        <v>2157</v>
      </c>
      <c r="B249" s="14" t="s">
        <v>642</v>
      </c>
      <c r="C249" s="15" t="s">
        <v>1715</v>
      </c>
      <c r="D249" s="15" t="s">
        <v>2158</v>
      </c>
      <c r="E249" s="23" t="s">
        <v>19</v>
      </c>
      <c r="F249" s="16"/>
      <c r="G249" s="16"/>
      <c r="H249" s="19" t="n">
        <f aca="false">LEN(IF(F249&lt;&gt;"",F249,D249))</f>
        <v>16</v>
      </c>
      <c r="I249" s="24" t="str">
        <f aca="false">IF(OR(H249&lt;2,H249&gt;140),"분량 확인","")</f>
        <v/>
      </c>
    </row>
    <row r="250" customFormat="false" ht="61.5" hidden="false" customHeight="true" outlineLevel="0" collapsed="false">
      <c r="A250" s="13" t="s">
        <v>2159</v>
      </c>
      <c r="B250" s="14" t="s">
        <v>642</v>
      </c>
      <c r="C250" s="15" t="s">
        <v>1718</v>
      </c>
      <c r="D250" s="15" t="s">
        <v>2160</v>
      </c>
      <c r="E250" s="23" t="s">
        <v>19</v>
      </c>
      <c r="F250" s="16"/>
      <c r="G250" s="16"/>
      <c r="H250" s="19" t="n">
        <f aca="false">LEN(IF(F250&lt;&gt;"",F250,D250))</f>
        <v>11</v>
      </c>
      <c r="I250" s="24" t="str">
        <f aca="false">IF(OR(H250&lt;2,H250&gt;140),"분량 확인","")</f>
        <v/>
      </c>
    </row>
    <row r="251" customFormat="false" ht="61.5" hidden="false" customHeight="true" outlineLevel="0" collapsed="false">
      <c r="A251" s="13" t="s">
        <v>2161</v>
      </c>
      <c r="B251" s="14" t="s">
        <v>642</v>
      </c>
      <c r="C251" s="15" t="s">
        <v>1721</v>
      </c>
      <c r="D251" s="15" t="s">
        <v>2162</v>
      </c>
      <c r="E251" s="23" t="s">
        <v>19</v>
      </c>
      <c r="F251" s="16"/>
      <c r="G251" s="16"/>
      <c r="H251" s="19" t="n">
        <f aca="false">LEN(IF(F251&lt;&gt;"",F251,D251))</f>
        <v>63</v>
      </c>
      <c r="I251" s="24" t="str">
        <f aca="false">IF(OR(H251&lt;2,H251&gt;140),"분량 확인","")</f>
        <v/>
      </c>
    </row>
    <row r="252" customFormat="false" ht="61.5" hidden="false" customHeight="true" outlineLevel="0" collapsed="false">
      <c r="A252" s="13" t="s">
        <v>2163</v>
      </c>
      <c r="B252" s="14" t="s">
        <v>642</v>
      </c>
      <c r="C252" s="15" t="s">
        <v>1724</v>
      </c>
      <c r="D252" s="15" t="s">
        <v>2164</v>
      </c>
      <c r="E252" s="23" t="s">
        <v>19</v>
      </c>
      <c r="F252" s="16"/>
      <c r="G252" s="16"/>
      <c r="H252" s="19" t="n">
        <f aca="false">LEN(IF(F252&lt;&gt;"",F252,D252))</f>
        <v>60</v>
      </c>
      <c r="I252" s="24" t="str">
        <f aca="false">IF(OR(H252&lt;2,H252&gt;140),"분량 확인","")</f>
        <v/>
      </c>
    </row>
    <row r="253" customFormat="false" ht="48" hidden="false" customHeight="true" outlineLevel="0" collapsed="false">
      <c r="A253" s="13" t="s">
        <v>2165</v>
      </c>
      <c r="B253" s="14" t="s">
        <v>642</v>
      </c>
      <c r="C253" s="15" t="s">
        <v>1727</v>
      </c>
      <c r="D253" s="15" t="s">
        <v>2166</v>
      </c>
      <c r="E253" s="23" t="s">
        <v>19</v>
      </c>
      <c r="F253" s="16"/>
      <c r="G253" s="16"/>
      <c r="H253" s="19" t="n">
        <f aca="false">LEN(IF(F253&lt;&gt;"",F253,D253))</f>
        <v>13</v>
      </c>
      <c r="I253" s="24" t="str">
        <f aca="false">IF(OR(H253&lt;2,H253&gt;140),"분량 확인","")</f>
        <v/>
      </c>
    </row>
    <row r="254" customFormat="false" ht="48" hidden="false" customHeight="true" outlineLevel="0" collapsed="false">
      <c r="A254" s="13" t="s">
        <v>2167</v>
      </c>
      <c r="B254" s="14" t="s">
        <v>642</v>
      </c>
      <c r="C254" s="15" t="s">
        <v>1730</v>
      </c>
      <c r="D254" s="15" t="s">
        <v>2168</v>
      </c>
      <c r="E254" s="23" t="s">
        <v>19</v>
      </c>
      <c r="F254" s="16"/>
      <c r="G254" s="16"/>
      <c r="H254" s="19" t="n">
        <f aca="false">LEN(IF(F254&lt;&gt;"",F254,D254))</f>
        <v>46</v>
      </c>
      <c r="I254" s="24" t="str">
        <f aca="false">IF(OR(H254&lt;2,H254&gt;140),"분량 확인","")</f>
        <v/>
      </c>
    </row>
    <row r="255" customFormat="false" ht="48" hidden="false" customHeight="true" outlineLevel="0" collapsed="false">
      <c r="A255" s="13" t="s">
        <v>2169</v>
      </c>
      <c r="B255" s="14" t="s">
        <v>642</v>
      </c>
      <c r="C255" s="15" t="s">
        <v>1733</v>
      </c>
      <c r="D255" s="14" t="s">
        <v>1783</v>
      </c>
      <c r="E255" s="23" t="s">
        <v>19</v>
      </c>
      <c r="F255" s="16"/>
      <c r="G255" s="16"/>
      <c r="H255" s="19" t="n">
        <f aca="false">LEN(IF(F255&lt;&gt;"",F255,D255))</f>
        <v>2</v>
      </c>
      <c r="I255" s="24" t="str">
        <f aca="false">IF(OR(H255&lt;2,H255&gt;140),"분량 확인","")</f>
        <v/>
      </c>
    </row>
    <row r="256" customFormat="false" ht="48" hidden="false" customHeight="true" outlineLevel="0" collapsed="false">
      <c r="A256" s="13" t="s">
        <v>2170</v>
      </c>
      <c r="B256" s="14" t="s">
        <v>642</v>
      </c>
      <c r="C256" s="15" t="s">
        <v>1736</v>
      </c>
      <c r="D256" s="15" t="s">
        <v>2171</v>
      </c>
      <c r="E256" s="23" t="s">
        <v>19</v>
      </c>
      <c r="F256" s="16"/>
      <c r="G256" s="16"/>
      <c r="H256" s="19" t="n">
        <f aca="false">LEN(IF(F256&lt;&gt;"",F256,D256))</f>
        <v>54</v>
      </c>
      <c r="I256" s="24" t="str">
        <f aca="false">IF(OR(H256&lt;2,H256&gt;140),"분량 확인","")</f>
        <v/>
      </c>
    </row>
    <row r="257" customFormat="false" ht="48" hidden="false" customHeight="true" outlineLevel="0" collapsed="false">
      <c r="A257" s="13" t="s">
        <v>2172</v>
      </c>
      <c r="B257" s="14" t="s">
        <v>642</v>
      </c>
      <c r="C257" s="15" t="s">
        <v>1739</v>
      </c>
      <c r="D257" s="15" t="s">
        <v>2173</v>
      </c>
      <c r="E257" s="23" t="s">
        <v>19</v>
      </c>
      <c r="F257" s="16"/>
      <c r="G257" s="16"/>
      <c r="H257" s="19" t="n">
        <f aca="false">LEN(IF(F257&lt;&gt;"",F257,D257))</f>
        <v>11</v>
      </c>
      <c r="I257" s="24" t="str">
        <f aca="false">IF(OR(H257&lt;2,H257&gt;140),"분량 확인","")</f>
        <v/>
      </c>
    </row>
    <row r="258" customFormat="false" ht="48" hidden="false" customHeight="true" outlineLevel="0" collapsed="false">
      <c r="A258" s="13" t="s">
        <v>2174</v>
      </c>
      <c r="B258" s="14" t="s">
        <v>642</v>
      </c>
      <c r="C258" s="15" t="s">
        <v>1742</v>
      </c>
      <c r="D258" s="15" t="s">
        <v>2175</v>
      </c>
      <c r="E258" s="23" t="s">
        <v>19</v>
      </c>
      <c r="F258" s="16"/>
      <c r="G258" s="16"/>
      <c r="H258" s="19" t="n">
        <f aca="false">LEN(IF(F258&lt;&gt;"",F258,D258))</f>
        <v>48</v>
      </c>
      <c r="I258" s="24" t="str">
        <f aca="false">IF(OR(H258&lt;2,H258&gt;140),"분량 확인","")</f>
        <v/>
      </c>
    </row>
    <row r="259" customFormat="false" ht="48" hidden="false" customHeight="true" outlineLevel="0" collapsed="false">
      <c r="A259" s="13" t="s">
        <v>2176</v>
      </c>
      <c r="B259" s="14" t="s">
        <v>642</v>
      </c>
      <c r="C259" s="15" t="s">
        <v>1745</v>
      </c>
      <c r="D259" s="15" t="s">
        <v>1689</v>
      </c>
      <c r="E259" s="23" t="s">
        <v>19</v>
      </c>
      <c r="F259" s="16"/>
      <c r="G259" s="16"/>
      <c r="H259" s="19" t="n">
        <f aca="false">LEN(IF(F259&lt;&gt;"",F259,D259))</f>
        <v>4</v>
      </c>
      <c r="I259" s="24" t="str">
        <f aca="false">IF(OR(H259&lt;2,H259&gt;140),"분량 확인","")</f>
        <v/>
      </c>
    </row>
    <row r="260" customFormat="false" ht="48" hidden="false" customHeight="true" outlineLevel="0" collapsed="false">
      <c r="A260" s="13" t="s">
        <v>2177</v>
      </c>
      <c r="B260" s="14" t="s">
        <v>642</v>
      </c>
      <c r="C260" s="15" t="s">
        <v>1747</v>
      </c>
      <c r="D260" s="15" t="s">
        <v>2178</v>
      </c>
      <c r="E260" s="23" t="s">
        <v>19</v>
      </c>
      <c r="F260" s="16"/>
      <c r="G260" s="16"/>
      <c r="H260" s="19" t="n">
        <f aca="false">LEN(IF(F260&lt;&gt;"",F260,D260))</f>
        <v>56</v>
      </c>
      <c r="I260" s="24" t="str">
        <f aca="false">IF(OR(H260&lt;2,H260&gt;140),"분량 확인","")</f>
        <v/>
      </c>
    </row>
    <row r="261" customFormat="false" ht="61.5" hidden="false" customHeight="true" outlineLevel="0" collapsed="false">
      <c r="A261" s="13" t="s">
        <v>2179</v>
      </c>
      <c r="B261" s="14" t="s">
        <v>642</v>
      </c>
      <c r="C261" s="15" t="s">
        <v>1750</v>
      </c>
      <c r="D261" s="15" t="s">
        <v>2180</v>
      </c>
      <c r="E261" s="23" t="s">
        <v>19</v>
      </c>
      <c r="F261" s="16"/>
      <c r="G261" s="16"/>
      <c r="H261" s="19" t="n">
        <f aca="false">LEN(IF(F261&lt;&gt;"",F261,D261))</f>
        <v>10</v>
      </c>
      <c r="I261" s="24" t="str">
        <f aca="false">IF(OR(H261&lt;2,H261&gt;140),"분량 확인","")</f>
        <v/>
      </c>
    </row>
    <row r="262" customFormat="false" ht="61.5" hidden="false" customHeight="true" outlineLevel="0" collapsed="false">
      <c r="A262" s="13" t="s">
        <v>2181</v>
      </c>
      <c r="B262" s="14" t="s">
        <v>642</v>
      </c>
      <c r="C262" s="15" t="s">
        <v>1753</v>
      </c>
      <c r="D262" s="15" t="s">
        <v>2182</v>
      </c>
      <c r="E262" s="23" t="s">
        <v>19</v>
      </c>
      <c r="F262" s="16"/>
      <c r="G262" s="16"/>
      <c r="H262" s="19" t="n">
        <f aca="false">LEN(IF(F262&lt;&gt;"",F262,D262))</f>
        <v>65</v>
      </c>
      <c r="I262" s="24" t="str">
        <f aca="false">IF(OR(H262&lt;2,H262&gt;140),"분량 확인","")</f>
        <v/>
      </c>
    </row>
    <row r="263" customFormat="false" ht="61.5" hidden="false" customHeight="true" outlineLevel="0" collapsed="false">
      <c r="A263" s="13" t="s">
        <v>2183</v>
      </c>
      <c r="B263" s="14" t="s">
        <v>642</v>
      </c>
      <c r="C263" s="15" t="s">
        <v>1756</v>
      </c>
      <c r="D263" s="15" t="s">
        <v>2184</v>
      </c>
      <c r="E263" s="23" t="s">
        <v>19</v>
      </c>
      <c r="F263" s="16"/>
      <c r="G263" s="16"/>
      <c r="H263" s="19" t="n">
        <f aca="false">LEN(IF(F263&lt;&gt;"",F263,D263))</f>
        <v>59</v>
      </c>
      <c r="I263" s="24" t="str">
        <f aca="false">IF(OR(H263&lt;2,H263&gt;140),"분량 확인","")</f>
        <v/>
      </c>
    </row>
    <row r="264" customFormat="false" ht="48" hidden="false" customHeight="true" outlineLevel="0" collapsed="false">
      <c r="A264" s="13" t="s">
        <v>2185</v>
      </c>
      <c r="B264" s="14" t="s">
        <v>642</v>
      </c>
      <c r="C264" s="15" t="s">
        <v>1759</v>
      </c>
      <c r="D264" s="15" t="s">
        <v>2186</v>
      </c>
      <c r="E264" s="23" t="s">
        <v>19</v>
      </c>
      <c r="F264" s="16"/>
      <c r="G264" s="16"/>
      <c r="H264" s="19" t="n">
        <f aca="false">LEN(IF(F264&lt;&gt;"",F264,D264))</f>
        <v>8</v>
      </c>
      <c r="I264" s="24" t="str">
        <f aca="false">IF(OR(H264&lt;2,H264&gt;140),"분량 확인","")</f>
        <v/>
      </c>
    </row>
    <row r="265" customFormat="false" ht="48" hidden="false" customHeight="true" outlineLevel="0" collapsed="false">
      <c r="A265" s="13" t="s">
        <v>2187</v>
      </c>
      <c r="B265" s="14" t="s">
        <v>642</v>
      </c>
      <c r="C265" s="15" t="s">
        <v>1762</v>
      </c>
      <c r="D265" s="15" t="s">
        <v>2188</v>
      </c>
      <c r="E265" s="23" t="s">
        <v>19</v>
      </c>
      <c r="F265" s="16"/>
      <c r="G265" s="16"/>
      <c r="H265" s="19" t="n">
        <f aca="false">LEN(IF(F265&lt;&gt;"",F265,D265))</f>
        <v>49</v>
      </c>
      <c r="I265" s="24" t="str">
        <f aca="false">IF(OR(H265&lt;2,H265&gt;140),"분량 확인","")</f>
        <v/>
      </c>
    </row>
    <row r="266" customFormat="false" ht="48" hidden="false" customHeight="true" outlineLevel="0" collapsed="false">
      <c r="A266" s="13" t="s">
        <v>2189</v>
      </c>
      <c r="B266" s="14" t="s">
        <v>642</v>
      </c>
      <c r="C266" s="15" t="s">
        <v>1765</v>
      </c>
      <c r="D266" s="14" t="s">
        <v>1710</v>
      </c>
      <c r="E266" s="23" t="s">
        <v>19</v>
      </c>
      <c r="F266" s="16"/>
      <c r="G266" s="16"/>
      <c r="H266" s="19" t="n">
        <f aca="false">LEN(IF(F266&lt;&gt;"",F266,D266))</f>
        <v>3</v>
      </c>
      <c r="I266" s="24" t="str">
        <f aca="false">IF(OR(H266&lt;2,H266&gt;140),"분량 확인","")</f>
        <v/>
      </c>
    </row>
    <row r="267" customFormat="false" ht="48" hidden="false" customHeight="true" outlineLevel="0" collapsed="false">
      <c r="A267" s="13" t="s">
        <v>2190</v>
      </c>
      <c r="B267" s="14" t="s">
        <v>642</v>
      </c>
      <c r="C267" s="15" t="s">
        <v>1768</v>
      </c>
      <c r="D267" s="15" t="s">
        <v>2191</v>
      </c>
      <c r="E267" s="23" t="s">
        <v>19</v>
      </c>
      <c r="F267" s="16"/>
      <c r="G267" s="16"/>
      <c r="H267" s="19" t="n">
        <f aca="false">LEN(IF(F267&lt;&gt;"",F267,D267))</f>
        <v>51</v>
      </c>
      <c r="I267" s="24" t="str">
        <f aca="false">IF(OR(H267&lt;2,H267&gt;140),"분량 확인","")</f>
        <v/>
      </c>
    </row>
    <row r="268" customFormat="false" ht="61.5" hidden="false" customHeight="true" outlineLevel="0" collapsed="false">
      <c r="A268" s="13" t="s">
        <v>2192</v>
      </c>
      <c r="B268" s="14" t="s">
        <v>655</v>
      </c>
      <c r="C268" s="15" t="s">
        <v>1658</v>
      </c>
      <c r="D268" s="15" t="s">
        <v>2193</v>
      </c>
      <c r="E268" s="23" t="s">
        <v>19</v>
      </c>
      <c r="F268" s="16"/>
      <c r="G268" s="16"/>
      <c r="H268" s="19" t="n">
        <f aca="false">LEN(IF(F268&lt;&gt;"",F268,D268))</f>
        <v>17</v>
      </c>
      <c r="I268" s="24" t="str">
        <f aca="false">IF(OR(H268&lt;2,H268&gt;140),"분량 확인","")</f>
        <v/>
      </c>
    </row>
    <row r="269" customFormat="false" ht="61.5" hidden="false" customHeight="true" outlineLevel="0" collapsed="false">
      <c r="A269" s="13" t="s">
        <v>2194</v>
      </c>
      <c r="B269" s="14" t="s">
        <v>655</v>
      </c>
      <c r="C269" s="15" t="s">
        <v>1661</v>
      </c>
      <c r="D269" s="15" t="s">
        <v>2195</v>
      </c>
      <c r="E269" s="23" t="s">
        <v>19</v>
      </c>
      <c r="F269" s="16"/>
      <c r="G269" s="16"/>
      <c r="H269" s="19" t="n">
        <f aca="false">LEN(IF(F269&lt;&gt;"",F269,D269))</f>
        <v>15</v>
      </c>
      <c r="I269" s="24" t="str">
        <f aca="false">IF(OR(H269&lt;2,H269&gt;140),"분량 확인","")</f>
        <v/>
      </c>
    </row>
    <row r="270" customFormat="false" ht="61.5" hidden="false" customHeight="true" outlineLevel="0" collapsed="false">
      <c r="A270" s="13" t="s">
        <v>2196</v>
      </c>
      <c r="B270" s="14" t="s">
        <v>655</v>
      </c>
      <c r="C270" s="15" t="s">
        <v>1664</v>
      </c>
      <c r="D270" s="15" t="s">
        <v>2197</v>
      </c>
      <c r="E270" s="23" t="s">
        <v>19</v>
      </c>
      <c r="F270" s="16"/>
      <c r="G270" s="16"/>
      <c r="H270" s="19" t="n">
        <f aca="false">LEN(IF(F270&lt;&gt;"",F270,D270))</f>
        <v>54</v>
      </c>
      <c r="I270" s="24" t="str">
        <f aca="false">IF(OR(H270&lt;2,H270&gt;140),"분량 확인","")</f>
        <v/>
      </c>
    </row>
    <row r="271" customFormat="false" ht="61.5" hidden="false" customHeight="true" outlineLevel="0" collapsed="false">
      <c r="A271" s="13" t="s">
        <v>2198</v>
      </c>
      <c r="B271" s="14" t="s">
        <v>655</v>
      </c>
      <c r="C271" s="15" t="s">
        <v>1667</v>
      </c>
      <c r="D271" s="15" t="s">
        <v>2199</v>
      </c>
      <c r="E271" s="23" t="s">
        <v>19</v>
      </c>
      <c r="F271" s="16"/>
      <c r="G271" s="16"/>
      <c r="H271" s="19" t="n">
        <f aca="false">LEN(IF(F271&lt;&gt;"",F271,D271))</f>
        <v>51</v>
      </c>
      <c r="I271" s="24" t="str">
        <f aca="false">IF(OR(H271&lt;2,H271&gt;140),"분량 확인","")</f>
        <v/>
      </c>
    </row>
    <row r="272" customFormat="false" ht="48" hidden="false" customHeight="true" outlineLevel="0" collapsed="false">
      <c r="A272" s="13" t="s">
        <v>2200</v>
      </c>
      <c r="B272" s="14" t="s">
        <v>655</v>
      </c>
      <c r="C272" s="15" t="s">
        <v>1670</v>
      </c>
      <c r="D272" s="15" t="s">
        <v>2201</v>
      </c>
      <c r="E272" s="23" t="s">
        <v>19</v>
      </c>
      <c r="F272" s="16"/>
      <c r="G272" s="16"/>
      <c r="H272" s="19" t="n">
        <f aca="false">LEN(IF(F272&lt;&gt;"",F272,D272))</f>
        <v>14</v>
      </c>
      <c r="I272" s="24" t="str">
        <f aca="false">IF(OR(H272&lt;2,H272&gt;140),"분량 확인","")</f>
        <v/>
      </c>
    </row>
    <row r="273" customFormat="false" ht="48" hidden="false" customHeight="true" outlineLevel="0" collapsed="false">
      <c r="A273" s="13" t="s">
        <v>2202</v>
      </c>
      <c r="B273" s="14" t="s">
        <v>655</v>
      </c>
      <c r="C273" s="15" t="s">
        <v>1673</v>
      </c>
      <c r="D273" s="15" t="s">
        <v>2203</v>
      </c>
      <c r="E273" s="23" t="s">
        <v>19</v>
      </c>
      <c r="F273" s="16"/>
      <c r="G273" s="16"/>
      <c r="H273" s="19" t="n">
        <f aca="false">LEN(IF(F273&lt;&gt;"",F273,D273))</f>
        <v>52</v>
      </c>
      <c r="I273" s="24" t="str">
        <f aca="false">IF(OR(H273&lt;2,H273&gt;140),"분량 확인","")</f>
        <v/>
      </c>
    </row>
    <row r="274" customFormat="false" ht="48" hidden="false" customHeight="true" outlineLevel="0" collapsed="false">
      <c r="A274" s="13" t="s">
        <v>2204</v>
      </c>
      <c r="B274" s="14" t="s">
        <v>655</v>
      </c>
      <c r="C274" s="15" t="s">
        <v>1676</v>
      </c>
      <c r="D274" s="14" t="s">
        <v>1783</v>
      </c>
      <c r="E274" s="23" t="s">
        <v>19</v>
      </c>
      <c r="F274" s="16"/>
      <c r="G274" s="16"/>
      <c r="H274" s="19" t="n">
        <f aca="false">LEN(IF(F274&lt;&gt;"",F274,D274))</f>
        <v>2</v>
      </c>
      <c r="I274" s="24" t="str">
        <f aca="false">IF(OR(H274&lt;2,H274&gt;140),"분량 확인","")</f>
        <v/>
      </c>
    </row>
    <row r="275" customFormat="false" ht="48" hidden="false" customHeight="true" outlineLevel="0" collapsed="false">
      <c r="A275" s="13" t="s">
        <v>2205</v>
      </c>
      <c r="B275" s="14" t="s">
        <v>655</v>
      </c>
      <c r="C275" s="15" t="s">
        <v>1679</v>
      </c>
      <c r="D275" s="15" t="s">
        <v>2206</v>
      </c>
      <c r="E275" s="23" t="s">
        <v>19</v>
      </c>
      <c r="F275" s="16"/>
      <c r="G275" s="16"/>
      <c r="H275" s="19" t="n">
        <f aca="false">LEN(IF(F275&lt;&gt;"",F275,D275))</f>
        <v>48</v>
      </c>
      <c r="I275" s="24" t="str">
        <f aca="false">IF(OR(H275&lt;2,H275&gt;140),"분량 확인","")</f>
        <v/>
      </c>
    </row>
    <row r="276" customFormat="false" ht="48" hidden="false" customHeight="true" outlineLevel="0" collapsed="false">
      <c r="A276" s="13" t="s">
        <v>2207</v>
      </c>
      <c r="B276" s="14" t="s">
        <v>655</v>
      </c>
      <c r="C276" s="15" t="s">
        <v>1682</v>
      </c>
      <c r="D276" s="15" t="s">
        <v>2208</v>
      </c>
      <c r="E276" s="23" t="s">
        <v>19</v>
      </c>
      <c r="F276" s="16"/>
      <c r="G276" s="16"/>
      <c r="H276" s="19" t="n">
        <f aca="false">LEN(IF(F276&lt;&gt;"",F276,D276))</f>
        <v>11</v>
      </c>
      <c r="I276" s="24" t="str">
        <f aca="false">IF(OR(H276&lt;2,H276&gt;140),"분량 확인","")</f>
        <v/>
      </c>
    </row>
    <row r="277" customFormat="false" ht="48" hidden="false" customHeight="true" outlineLevel="0" collapsed="false">
      <c r="A277" s="13" t="s">
        <v>2209</v>
      </c>
      <c r="B277" s="14" t="s">
        <v>655</v>
      </c>
      <c r="C277" s="15" t="s">
        <v>1685</v>
      </c>
      <c r="D277" s="15" t="s">
        <v>2210</v>
      </c>
      <c r="E277" s="23" t="s">
        <v>19</v>
      </c>
      <c r="F277" s="16"/>
      <c r="G277" s="16"/>
      <c r="H277" s="19" t="n">
        <f aca="false">LEN(IF(F277&lt;&gt;"",F277,D277))</f>
        <v>65</v>
      </c>
      <c r="I277" s="24" t="str">
        <f aca="false">IF(OR(H277&lt;2,H277&gt;140),"분량 확인","")</f>
        <v/>
      </c>
    </row>
    <row r="278" customFormat="false" ht="48" hidden="false" customHeight="true" outlineLevel="0" collapsed="false">
      <c r="A278" s="13" t="s">
        <v>2211</v>
      </c>
      <c r="B278" s="14" t="s">
        <v>655</v>
      </c>
      <c r="C278" s="15" t="s">
        <v>1688</v>
      </c>
      <c r="D278" s="15" t="s">
        <v>1689</v>
      </c>
      <c r="E278" s="23" t="s">
        <v>19</v>
      </c>
      <c r="F278" s="16"/>
      <c r="G278" s="16"/>
      <c r="H278" s="19" t="n">
        <f aca="false">LEN(IF(F278&lt;&gt;"",F278,D278))</f>
        <v>4</v>
      </c>
      <c r="I278" s="24" t="str">
        <f aca="false">IF(OR(H278&lt;2,H278&gt;140),"분량 확인","")</f>
        <v/>
      </c>
    </row>
    <row r="279" customFormat="false" ht="48" hidden="false" customHeight="true" outlineLevel="0" collapsed="false">
      <c r="A279" s="13" t="s">
        <v>2212</v>
      </c>
      <c r="B279" s="14" t="s">
        <v>655</v>
      </c>
      <c r="C279" s="15" t="s">
        <v>1691</v>
      </c>
      <c r="D279" s="15" t="s">
        <v>2213</v>
      </c>
      <c r="E279" s="23" t="s">
        <v>19</v>
      </c>
      <c r="F279" s="16"/>
      <c r="G279" s="16"/>
      <c r="H279" s="19" t="n">
        <f aca="false">LEN(IF(F279&lt;&gt;"",F279,D279))</f>
        <v>50</v>
      </c>
      <c r="I279" s="24" t="str">
        <f aca="false">IF(OR(H279&lt;2,H279&gt;140),"분량 확인","")</f>
        <v/>
      </c>
    </row>
    <row r="280" customFormat="false" ht="61.5" hidden="false" customHeight="true" outlineLevel="0" collapsed="false">
      <c r="A280" s="13" t="s">
        <v>2214</v>
      </c>
      <c r="B280" s="14" t="s">
        <v>655</v>
      </c>
      <c r="C280" s="15" t="s">
        <v>1694</v>
      </c>
      <c r="D280" s="15" t="s">
        <v>2215</v>
      </c>
      <c r="E280" s="23" t="s">
        <v>19</v>
      </c>
      <c r="F280" s="16"/>
      <c r="G280" s="16"/>
      <c r="H280" s="19" t="n">
        <f aca="false">LEN(IF(F280&lt;&gt;"",F280,D280))</f>
        <v>10</v>
      </c>
      <c r="I280" s="24" t="str">
        <f aca="false">IF(OR(H280&lt;2,H280&gt;140),"분량 확인","")</f>
        <v/>
      </c>
    </row>
    <row r="281" customFormat="false" ht="61.5" hidden="false" customHeight="true" outlineLevel="0" collapsed="false">
      <c r="A281" s="13" t="s">
        <v>2216</v>
      </c>
      <c r="B281" s="14" t="s">
        <v>655</v>
      </c>
      <c r="C281" s="15" t="s">
        <v>1697</v>
      </c>
      <c r="D281" s="15" t="s">
        <v>2217</v>
      </c>
      <c r="E281" s="23" t="s">
        <v>19</v>
      </c>
      <c r="F281" s="16"/>
      <c r="G281" s="16"/>
      <c r="H281" s="19" t="n">
        <f aca="false">LEN(IF(F281&lt;&gt;"",F281,D281))</f>
        <v>65</v>
      </c>
      <c r="I281" s="24" t="str">
        <f aca="false">IF(OR(H281&lt;2,H281&gt;140),"분량 확인","")</f>
        <v/>
      </c>
    </row>
    <row r="282" customFormat="false" ht="61.5" hidden="false" customHeight="true" outlineLevel="0" collapsed="false">
      <c r="A282" s="13" t="s">
        <v>2218</v>
      </c>
      <c r="B282" s="14" t="s">
        <v>655</v>
      </c>
      <c r="C282" s="15" t="s">
        <v>1700</v>
      </c>
      <c r="D282" s="15" t="s">
        <v>2219</v>
      </c>
      <c r="E282" s="23" t="s">
        <v>19</v>
      </c>
      <c r="F282" s="16"/>
      <c r="G282" s="16"/>
      <c r="H282" s="19" t="n">
        <f aca="false">LEN(IF(F282&lt;&gt;"",F282,D282))</f>
        <v>57</v>
      </c>
      <c r="I282" s="24" t="str">
        <f aca="false">IF(OR(H282&lt;2,H282&gt;140),"분량 확인","")</f>
        <v/>
      </c>
    </row>
    <row r="283" customFormat="false" ht="48" hidden="false" customHeight="true" outlineLevel="0" collapsed="false">
      <c r="A283" s="13" t="s">
        <v>2220</v>
      </c>
      <c r="B283" s="14" t="s">
        <v>655</v>
      </c>
      <c r="C283" s="15" t="s">
        <v>1703</v>
      </c>
      <c r="D283" s="15" t="s">
        <v>2221</v>
      </c>
      <c r="E283" s="23" t="s">
        <v>19</v>
      </c>
      <c r="F283" s="16"/>
      <c r="G283" s="16"/>
      <c r="H283" s="19" t="n">
        <f aca="false">LEN(IF(F283&lt;&gt;"",F283,D283))</f>
        <v>11</v>
      </c>
      <c r="I283" s="24" t="str">
        <f aca="false">IF(OR(H283&lt;2,H283&gt;140),"분량 확인","")</f>
        <v/>
      </c>
    </row>
    <row r="284" customFormat="false" ht="48" hidden="false" customHeight="true" outlineLevel="0" collapsed="false">
      <c r="A284" s="13" t="s">
        <v>2222</v>
      </c>
      <c r="B284" s="14" t="s">
        <v>655</v>
      </c>
      <c r="C284" s="15" t="s">
        <v>1706</v>
      </c>
      <c r="D284" s="15" t="s">
        <v>2223</v>
      </c>
      <c r="E284" s="23" t="s">
        <v>19</v>
      </c>
      <c r="F284" s="16"/>
      <c r="G284" s="16"/>
      <c r="H284" s="19" t="n">
        <f aca="false">LEN(IF(F284&lt;&gt;"",F284,D284))</f>
        <v>64</v>
      </c>
      <c r="I284" s="24" t="str">
        <f aca="false">IF(OR(H284&lt;2,H284&gt;140),"분량 확인","")</f>
        <v/>
      </c>
    </row>
    <row r="285" customFormat="false" ht="48" hidden="false" customHeight="true" outlineLevel="0" collapsed="false">
      <c r="A285" s="13" t="s">
        <v>2224</v>
      </c>
      <c r="B285" s="14" t="s">
        <v>655</v>
      </c>
      <c r="C285" s="15" t="s">
        <v>1709</v>
      </c>
      <c r="D285" s="14" t="s">
        <v>1766</v>
      </c>
      <c r="E285" s="23" t="s">
        <v>19</v>
      </c>
      <c r="F285" s="16"/>
      <c r="G285" s="16"/>
      <c r="H285" s="19" t="n">
        <f aca="false">LEN(IF(F285&lt;&gt;"",F285,D285))</f>
        <v>3</v>
      </c>
      <c r="I285" s="24" t="str">
        <f aca="false">IF(OR(H285&lt;2,H285&gt;140),"분량 확인","")</f>
        <v/>
      </c>
    </row>
    <row r="286" customFormat="false" ht="48" hidden="false" customHeight="true" outlineLevel="0" collapsed="false">
      <c r="A286" s="13" t="s">
        <v>2225</v>
      </c>
      <c r="B286" s="14" t="s">
        <v>655</v>
      </c>
      <c r="C286" s="15" t="s">
        <v>1712</v>
      </c>
      <c r="D286" s="15" t="s">
        <v>2226</v>
      </c>
      <c r="E286" s="23" t="s">
        <v>19</v>
      </c>
      <c r="F286" s="16"/>
      <c r="G286" s="16"/>
      <c r="H286" s="19" t="n">
        <f aca="false">LEN(IF(F286&lt;&gt;"",F286,D286))</f>
        <v>57</v>
      </c>
      <c r="I286" s="24" t="str">
        <f aca="false">IF(OR(H286&lt;2,H286&gt;140),"분량 확인","")</f>
        <v/>
      </c>
    </row>
    <row r="287" customFormat="false" ht="61.5" hidden="false" customHeight="true" outlineLevel="0" collapsed="false">
      <c r="A287" s="13" t="s">
        <v>2227</v>
      </c>
      <c r="B287" s="14" t="s">
        <v>655</v>
      </c>
      <c r="C287" s="15" t="s">
        <v>1715</v>
      </c>
      <c r="D287" s="15" t="s">
        <v>2228</v>
      </c>
      <c r="E287" s="23" t="s">
        <v>19</v>
      </c>
      <c r="F287" s="16"/>
      <c r="G287" s="16"/>
      <c r="H287" s="19" t="n">
        <f aca="false">LEN(IF(F287&lt;&gt;"",F287,D287))</f>
        <v>13</v>
      </c>
      <c r="I287" s="24" t="str">
        <f aca="false">IF(OR(H287&lt;2,H287&gt;140),"분량 확인","")</f>
        <v/>
      </c>
    </row>
    <row r="288" customFormat="false" ht="61.5" hidden="false" customHeight="true" outlineLevel="0" collapsed="false">
      <c r="A288" s="13" t="s">
        <v>2229</v>
      </c>
      <c r="B288" s="14" t="s">
        <v>655</v>
      </c>
      <c r="C288" s="15" t="s">
        <v>1718</v>
      </c>
      <c r="D288" s="15" t="s">
        <v>2230</v>
      </c>
      <c r="E288" s="23" t="s">
        <v>19</v>
      </c>
      <c r="F288" s="16"/>
      <c r="G288" s="16"/>
      <c r="H288" s="19" t="n">
        <f aca="false">LEN(IF(F288&lt;&gt;"",F288,D288))</f>
        <v>13</v>
      </c>
      <c r="I288" s="24" t="str">
        <f aca="false">IF(OR(H288&lt;2,H288&gt;140),"분량 확인","")</f>
        <v/>
      </c>
    </row>
    <row r="289" customFormat="false" ht="61.5" hidden="false" customHeight="true" outlineLevel="0" collapsed="false">
      <c r="A289" s="13" t="s">
        <v>2231</v>
      </c>
      <c r="B289" s="14" t="s">
        <v>655</v>
      </c>
      <c r="C289" s="15" t="s">
        <v>1721</v>
      </c>
      <c r="D289" s="15" t="s">
        <v>2232</v>
      </c>
      <c r="E289" s="23" t="s">
        <v>19</v>
      </c>
      <c r="F289" s="16"/>
      <c r="G289" s="16"/>
      <c r="H289" s="19" t="n">
        <f aca="false">LEN(IF(F289&lt;&gt;"",F289,D289))</f>
        <v>48</v>
      </c>
      <c r="I289" s="24" t="str">
        <f aca="false">IF(OR(H289&lt;2,H289&gt;140),"분량 확인","")</f>
        <v/>
      </c>
    </row>
    <row r="290" customFormat="false" ht="61.5" hidden="false" customHeight="true" outlineLevel="0" collapsed="false">
      <c r="A290" s="13" t="s">
        <v>2233</v>
      </c>
      <c r="B290" s="14" t="s">
        <v>655</v>
      </c>
      <c r="C290" s="15" t="s">
        <v>1724</v>
      </c>
      <c r="D290" s="15" t="s">
        <v>2234</v>
      </c>
      <c r="E290" s="23" t="s">
        <v>19</v>
      </c>
      <c r="F290" s="16"/>
      <c r="G290" s="16"/>
      <c r="H290" s="19" t="n">
        <f aca="false">LEN(IF(F290&lt;&gt;"",F290,D290))</f>
        <v>62</v>
      </c>
      <c r="I290" s="24" t="str">
        <f aca="false">IF(OR(H290&lt;2,H290&gt;140),"분량 확인","")</f>
        <v/>
      </c>
    </row>
    <row r="291" customFormat="false" ht="48" hidden="false" customHeight="true" outlineLevel="0" collapsed="false">
      <c r="A291" s="13" t="s">
        <v>2235</v>
      </c>
      <c r="B291" s="14" t="s">
        <v>655</v>
      </c>
      <c r="C291" s="15" t="s">
        <v>1727</v>
      </c>
      <c r="D291" s="15" t="s">
        <v>2236</v>
      </c>
      <c r="E291" s="23" t="s">
        <v>19</v>
      </c>
      <c r="F291" s="16"/>
      <c r="G291" s="16"/>
      <c r="H291" s="19" t="n">
        <f aca="false">LEN(IF(F291&lt;&gt;"",F291,D291))</f>
        <v>11</v>
      </c>
      <c r="I291" s="24" t="str">
        <f aca="false">IF(OR(H291&lt;2,H291&gt;140),"분량 확인","")</f>
        <v/>
      </c>
    </row>
    <row r="292" customFormat="false" ht="48" hidden="false" customHeight="true" outlineLevel="0" collapsed="false">
      <c r="A292" s="13" t="s">
        <v>2237</v>
      </c>
      <c r="B292" s="14" t="s">
        <v>655</v>
      </c>
      <c r="C292" s="15" t="s">
        <v>1730</v>
      </c>
      <c r="D292" s="15" t="s">
        <v>2238</v>
      </c>
      <c r="E292" s="23" t="s">
        <v>19</v>
      </c>
      <c r="F292" s="16"/>
      <c r="G292" s="16"/>
      <c r="H292" s="19" t="n">
        <f aca="false">LEN(IF(F292&lt;&gt;"",F292,D292))</f>
        <v>42</v>
      </c>
      <c r="I292" s="24" t="str">
        <f aca="false">IF(OR(H292&lt;2,H292&gt;140),"분량 확인","")</f>
        <v/>
      </c>
    </row>
    <row r="293" customFormat="false" ht="48" hidden="false" customHeight="true" outlineLevel="0" collapsed="false">
      <c r="A293" s="13" t="s">
        <v>2239</v>
      </c>
      <c r="B293" s="14" t="s">
        <v>655</v>
      </c>
      <c r="C293" s="15" t="s">
        <v>1733</v>
      </c>
      <c r="D293" s="14" t="s">
        <v>1783</v>
      </c>
      <c r="E293" s="23" t="s">
        <v>19</v>
      </c>
      <c r="F293" s="16"/>
      <c r="G293" s="16"/>
      <c r="H293" s="19" t="n">
        <f aca="false">LEN(IF(F293&lt;&gt;"",F293,D293))</f>
        <v>2</v>
      </c>
      <c r="I293" s="24" t="str">
        <f aca="false">IF(OR(H293&lt;2,H293&gt;140),"분량 확인","")</f>
        <v/>
      </c>
    </row>
    <row r="294" customFormat="false" ht="48" hidden="false" customHeight="true" outlineLevel="0" collapsed="false">
      <c r="A294" s="13" t="s">
        <v>2240</v>
      </c>
      <c r="B294" s="14" t="s">
        <v>655</v>
      </c>
      <c r="C294" s="15" t="s">
        <v>1736</v>
      </c>
      <c r="D294" s="15" t="s">
        <v>2241</v>
      </c>
      <c r="E294" s="23" t="s">
        <v>19</v>
      </c>
      <c r="F294" s="16"/>
      <c r="G294" s="16"/>
      <c r="H294" s="19" t="n">
        <f aca="false">LEN(IF(F294&lt;&gt;"",F294,D294))</f>
        <v>48</v>
      </c>
      <c r="I294" s="24" t="str">
        <f aca="false">IF(OR(H294&lt;2,H294&gt;140),"분량 확인","")</f>
        <v/>
      </c>
    </row>
    <row r="295" customFormat="false" ht="48" hidden="false" customHeight="true" outlineLevel="0" collapsed="false">
      <c r="A295" s="13" t="s">
        <v>2242</v>
      </c>
      <c r="B295" s="14" t="s">
        <v>655</v>
      </c>
      <c r="C295" s="15" t="s">
        <v>1739</v>
      </c>
      <c r="D295" s="15" t="s">
        <v>2243</v>
      </c>
      <c r="E295" s="23" t="s">
        <v>19</v>
      </c>
      <c r="F295" s="16"/>
      <c r="G295" s="16"/>
      <c r="H295" s="19" t="n">
        <f aca="false">LEN(IF(F295&lt;&gt;"",F295,D295))</f>
        <v>11</v>
      </c>
      <c r="I295" s="24" t="str">
        <f aca="false">IF(OR(H295&lt;2,H295&gt;140),"분량 확인","")</f>
        <v/>
      </c>
    </row>
    <row r="296" customFormat="false" ht="48" hidden="false" customHeight="true" outlineLevel="0" collapsed="false">
      <c r="A296" s="13" t="s">
        <v>2244</v>
      </c>
      <c r="B296" s="14" t="s">
        <v>655</v>
      </c>
      <c r="C296" s="15" t="s">
        <v>1742</v>
      </c>
      <c r="D296" s="15" t="s">
        <v>2245</v>
      </c>
      <c r="E296" s="23" t="s">
        <v>19</v>
      </c>
      <c r="F296" s="16"/>
      <c r="G296" s="16"/>
      <c r="H296" s="19" t="n">
        <f aca="false">LEN(IF(F296&lt;&gt;"",F296,D296))</f>
        <v>57</v>
      </c>
      <c r="I296" s="24" t="str">
        <f aca="false">IF(OR(H296&lt;2,H296&gt;140),"분량 확인","")</f>
        <v/>
      </c>
    </row>
    <row r="297" customFormat="false" ht="48" hidden="false" customHeight="true" outlineLevel="0" collapsed="false">
      <c r="A297" s="13" t="s">
        <v>2246</v>
      </c>
      <c r="B297" s="14" t="s">
        <v>655</v>
      </c>
      <c r="C297" s="15" t="s">
        <v>1745</v>
      </c>
      <c r="D297" s="15" t="s">
        <v>1689</v>
      </c>
      <c r="E297" s="23" t="s">
        <v>19</v>
      </c>
      <c r="F297" s="16"/>
      <c r="G297" s="16"/>
      <c r="H297" s="19" t="n">
        <f aca="false">LEN(IF(F297&lt;&gt;"",F297,D297))</f>
        <v>4</v>
      </c>
      <c r="I297" s="24" t="str">
        <f aca="false">IF(OR(H297&lt;2,H297&gt;140),"분량 확인","")</f>
        <v/>
      </c>
    </row>
    <row r="298" customFormat="false" ht="48" hidden="false" customHeight="true" outlineLevel="0" collapsed="false">
      <c r="A298" s="13" t="s">
        <v>2247</v>
      </c>
      <c r="B298" s="14" t="s">
        <v>655</v>
      </c>
      <c r="C298" s="15" t="s">
        <v>1747</v>
      </c>
      <c r="D298" s="15" t="s">
        <v>2248</v>
      </c>
      <c r="E298" s="23" t="s">
        <v>19</v>
      </c>
      <c r="F298" s="16"/>
      <c r="G298" s="16"/>
      <c r="H298" s="19" t="n">
        <f aca="false">LEN(IF(F298&lt;&gt;"",F298,D298))</f>
        <v>56</v>
      </c>
      <c r="I298" s="24" t="str">
        <f aca="false">IF(OR(H298&lt;2,H298&gt;140),"분량 확인","")</f>
        <v/>
      </c>
    </row>
    <row r="299" customFormat="false" ht="61.5" hidden="false" customHeight="true" outlineLevel="0" collapsed="false">
      <c r="A299" s="13" t="s">
        <v>2249</v>
      </c>
      <c r="B299" s="14" t="s">
        <v>655</v>
      </c>
      <c r="C299" s="15" t="s">
        <v>1750</v>
      </c>
      <c r="D299" s="15" t="s">
        <v>2250</v>
      </c>
      <c r="E299" s="23" t="s">
        <v>19</v>
      </c>
      <c r="F299" s="16"/>
      <c r="G299" s="16"/>
      <c r="H299" s="19" t="n">
        <f aca="false">LEN(IF(F299&lt;&gt;"",F299,D299))</f>
        <v>14</v>
      </c>
      <c r="I299" s="24" t="str">
        <f aca="false">IF(OR(H299&lt;2,H299&gt;140),"분량 확인","")</f>
        <v/>
      </c>
    </row>
    <row r="300" customFormat="false" ht="61.5" hidden="false" customHeight="true" outlineLevel="0" collapsed="false">
      <c r="A300" s="13" t="s">
        <v>2251</v>
      </c>
      <c r="B300" s="14" t="s">
        <v>655</v>
      </c>
      <c r="C300" s="15" t="s">
        <v>1753</v>
      </c>
      <c r="D300" s="15" t="s">
        <v>2252</v>
      </c>
      <c r="E300" s="23" t="s">
        <v>19</v>
      </c>
      <c r="F300" s="16"/>
      <c r="G300" s="16"/>
      <c r="H300" s="19" t="n">
        <f aca="false">LEN(IF(F300&lt;&gt;"",F300,D300))</f>
        <v>62</v>
      </c>
      <c r="I300" s="24" t="str">
        <f aca="false">IF(OR(H300&lt;2,H300&gt;140),"분량 확인","")</f>
        <v/>
      </c>
    </row>
    <row r="301" customFormat="false" ht="61.5" hidden="false" customHeight="true" outlineLevel="0" collapsed="false">
      <c r="A301" s="13" t="s">
        <v>2253</v>
      </c>
      <c r="B301" s="14" t="s">
        <v>655</v>
      </c>
      <c r="C301" s="15" t="s">
        <v>1756</v>
      </c>
      <c r="D301" s="15" t="s">
        <v>2254</v>
      </c>
      <c r="E301" s="23" t="s">
        <v>19</v>
      </c>
      <c r="F301" s="16"/>
      <c r="G301" s="16"/>
      <c r="H301" s="19" t="n">
        <f aca="false">LEN(IF(F301&lt;&gt;"",F301,D301))</f>
        <v>53</v>
      </c>
      <c r="I301" s="24" t="str">
        <f aca="false">IF(OR(H301&lt;2,H301&gt;140),"분량 확인","")</f>
        <v/>
      </c>
    </row>
    <row r="302" customFormat="false" ht="48" hidden="false" customHeight="true" outlineLevel="0" collapsed="false">
      <c r="A302" s="13" t="s">
        <v>2255</v>
      </c>
      <c r="B302" s="14" t="s">
        <v>655</v>
      </c>
      <c r="C302" s="15" t="s">
        <v>1759</v>
      </c>
      <c r="D302" s="15" t="s">
        <v>2256</v>
      </c>
      <c r="E302" s="23" t="s">
        <v>19</v>
      </c>
      <c r="F302" s="16"/>
      <c r="G302" s="16"/>
      <c r="H302" s="19" t="n">
        <f aca="false">LEN(IF(F302&lt;&gt;"",F302,D302))</f>
        <v>10</v>
      </c>
      <c r="I302" s="24" t="str">
        <f aca="false">IF(OR(H302&lt;2,H302&gt;140),"분량 확인","")</f>
        <v/>
      </c>
    </row>
    <row r="303" customFormat="false" ht="48" hidden="false" customHeight="true" outlineLevel="0" collapsed="false">
      <c r="A303" s="13" t="s">
        <v>2257</v>
      </c>
      <c r="B303" s="14" t="s">
        <v>655</v>
      </c>
      <c r="C303" s="15" t="s">
        <v>1762</v>
      </c>
      <c r="D303" s="15" t="s">
        <v>2258</v>
      </c>
      <c r="E303" s="23" t="s">
        <v>19</v>
      </c>
      <c r="F303" s="16"/>
      <c r="G303" s="16"/>
      <c r="H303" s="19" t="n">
        <f aca="false">LEN(IF(F303&lt;&gt;"",F303,D303))</f>
        <v>55</v>
      </c>
      <c r="I303" s="24" t="str">
        <f aca="false">IF(OR(H303&lt;2,H303&gt;140),"분량 확인","")</f>
        <v/>
      </c>
    </row>
    <row r="304" customFormat="false" ht="48" hidden="false" customHeight="true" outlineLevel="0" collapsed="false">
      <c r="A304" s="13" t="s">
        <v>2259</v>
      </c>
      <c r="B304" s="14" t="s">
        <v>655</v>
      </c>
      <c r="C304" s="15" t="s">
        <v>1765</v>
      </c>
      <c r="D304" s="14" t="s">
        <v>1766</v>
      </c>
      <c r="E304" s="23" t="s">
        <v>19</v>
      </c>
      <c r="F304" s="16"/>
      <c r="G304" s="16"/>
      <c r="H304" s="19" t="n">
        <f aca="false">LEN(IF(F304&lt;&gt;"",F304,D304))</f>
        <v>3</v>
      </c>
      <c r="I304" s="24" t="str">
        <f aca="false">IF(OR(H304&lt;2,H304&gt;140),"분량 확인","")</f>
        <v/>
      </c>
    </row>
    <row r="305" customFormat="false" ht="48" hidden="false" customHeight="true" outlineLevel="0" collapsed="false">
      <c r="A305" s="13" t="s">
        <v>2260</v>
      </c>
      <c r="B305" s="14" t="s">
        <v>655</v>
      </c>
      <c r="C305" s="15" t="s">
        <v>1768</v>
      </c>
      <c r="D305" s="15" t="s">
        <v>2261</v>
      </c>
      <c r="E305" s="23" t="s">
        <v>19</v>
      </c>
      <c r="F305" s="16"/>
      <c r="G305" s="16"/>
      <c r="H305" s="19" t="n">
        <f aca="false">LEN(IF(F305&lt;&gt;"",F305,D305))</f>
        <v>52</v>
      </c>
      <c r="I305" s="24" t="str">
        <f aca="false">IF(OR(H305&lt;2,H305&gt;140),"분량 확인","")</f>
        <v/>
      </c>
    </row>
    <row r="306" customFormat="false" ht="61.5" hidden="false" customHeight="true" outlineLevel="0" collapsed="false">
      <c r="A306" s="13" t="s">
        <v>2262</v>
      </c>
      <c r="B306" s="14" t="s">
        <v>668</v>
      </c>
      <c r="C306" s="15" t="s">
        <v>1658</v>
      </c>
      <c r="D306" s="15" t="s">
        <v>2263</v>
      </c>
      <c r="E306" s="23" t="s">
        <v>19</v>
      </c>
      <c r="F306" s="16"/>
      <c r="G306" s="16"/>
      <c r="H306" s="19" t="n">
        <f aca="false">LEN(IF(F306&lt;&gt;"",F306,D306))</f>
        <v>15</v>
      </c>
      <c r="I306" s="24" t="str">
        <f aca="false">IF(OR(H306&lt;2,H306&gt;140),"분량 확인","")</f>
        <v/>
      </c>
    </row>
    <row r="307" customFormat="false" ht="61.5" hidden="false" customHeight="true" outlineLevel="0" collapsed="false">
      <c r="A307" s="13" t="s">
        <v>2264</v>
      </c>
      <c r="B307" s="14" t="s">
        <v>668</v>
      </c>
      <c r="C307" s="15" t="s">
        <v>1661</v>
      </c>
      <c r="D307" s="15" t="s">
        <v>2265</v>
      </c>
      <c r="E307" s="23" t="s">
        <v>19</v>
      </c>
      <c r="F307" s="16"/>
      <c r="G307" s="16"/>
      <c r="H307" s="19" t="n">
        <f aca="false">LEN(IF(F307&lt;&gt;"",F307,D307))</f>
        <v>13</v>
      </c>
      <c r="I307" s="24" t="str">
        <f aca="false">IF(OR(H307&lt;2,H307&gt;140),"분량 확인","")</f>
        <v/>
      </c>
    </row>
    <row r="308" customFormat="false" ht="61.5" hidden="false" customHeight="true" outlineLevel="0" collapsed="false">
      <c r="A308" s="13" t="s">
        <v>2266</v>
      </c>
      <c r="B308" s="14" t="s">
        <v>668</v>
      </c>
      <c r="C308" s="15" t="s">
        <v>1664</v>
      </c>
      <c r="D308" s="15" t="s">
        <v>2267</v>
      </c>
      <c r="E308" s="23" t="s">
        <v>19</v>
      </c>
      <c r="F308" s="16"/>
      <c r="G308" s="16"/>
      <c r="H308" s="19" t="n">
        <f aca="false">LEN(IF(F308&lt;&gt;"",F308,D308))</f>
        <v>56</v>
      </c>
      <c r="I308" s="24" t="str">
        <f aca="false">IF(OR(H308&lt;2,H308&gt;140),"분량 확인","")</f>
        <v/>
      </c>
    </row>
    <row r="309" customFormat="false" ht="61.5" hidden="false" customHeight="true" outlineLevel="0" collapsed="false">
      <c r="A309" s="13" t="s">
        <v>2268</v>
      </c>
      <c r="B309" s="14" t="s">
        <v>668</v>
      </c>
      <c r="C309" s="15" t="s">
        <v>1667</v>
      </c>
      <c r="D309" s="15" t="s">
        <v>2269</v>
      </c>
      <c r="E309" s="23" t="s">
        <v>19</v>
      </c>
      <c r="F309" s="16"/>
      <c r="G309" s="16"/>
      <c r="H309" s="19" t="n">
        <f aca="false">LEN(IF(F309&lt;&gt;"",F309,D309))</f>
        <v>58</v>
      </c>
      <c r="I309" s="24" t="str">
        <f aca="false">IF(OR(H309&lt;2,H309&gt;140),"분량 확인","")</f>
        <v/>
      </c>
    </row>
    <row r="310" customFormat="false" ht="48" hidden="false" customHeight="true" outlineLevel="0" collapsed="false">
      <c r="A310" s="13" t="s">
        <v>2270</v>
      </c>
      <c r="B310" s="14" t="s">
        <v>668</v>
      </c>
      <c r="C310" s="15" t="s">
        <v>1670</v>
      </c>
      <c r="D310" s="15" t="s">
        <v>2271</v>
      </c>
      <c r="E310" s="23" t="s">
        <v>19</v>
      </c>
      <c r="F310" s="16"/>
      <c r="G310" s="16"/>
      <c r="H310" s="19" t="n">
        <f aca="false">LEN(IF(F310&lt;&gt;"",F310,D310))</f>
        <v>11</v>
      </c>
      <c r="I310" s="24" t="str">
        <f aca="false">IF(OR(H310&lt;2,H310&gt;140),"분량 확인","")</f>
        <v/>
      </c>
    </row>
    <row r="311" customFormat="false" ht="48" hidden="false" customHeight="true" outlineLevel="0" collapsed="false">
      <c r="A311" s="13" t="s">
        <v>2272</v>
      </c>
      <c r="B311" s="14" t="s">
        <v>668</v>
      </c>
      <c r="C311" s="15" t="s">
        <v>1673</v>
      </c>
      <c r="D311" s="15" t="s">
        <v>2273</v>
      </c>
      <c r="E311" s="23" t="s">
        <v>19</v>
      </c>
      <c r="F311" s="16"/>
      <c r="G311" s="16"/>
      <c r="H311" s="19" t="n">
        <f aca="false">LEN(IF(F311&lt;&gt;"",F311,D311))</f>
        <v>45</v>
      </c>
      <c r="I311" s="24" t="str">
        <f aca="false">IF(OR(H311&lt;2,H311&gt;140),"분량 확인","")</f>
        <v/>
      </c>
    </row>
    <row r="312" customFormat="false" ht="48" hidden="false" customHeight="true" outlineLevel="0" collapsed="false">
      <c r="A312" s="13" t="s">
        <v>2274</v>
      </c>
      <c r="B312" s="14" t="s">
        <v>668</v>
      </c>
      <c r="C312" s="15" t="s">
        <v>1676</v>
      </c>
      <c r="D312" s="14" t="s">
        <v>1734</v>
      </c>
      <c r="E312" s="23" t="s">
        <v>19</v>
      </c>
      <c r="F312" s="16"/>
      <c r="G312" s="16"/>
      <c r="H312" s="19" t="n">
        <f aca="false">LEN(IF(F312&lt;&gt;"",F312,D312))</f>
        <v>2</v>
      </c>
      <c r="I312" s="24" t="str">
        <f aca="false">IF(OR(H312&lt;2,H312&gt;140),"분량 확인","")</f>
        <v/>
      </c>
    </row>
    <row r="313" customFormat="false" ht="48" hidden="false" customHeight="true" outlineLevel="0" collapsed="false">
      <c r="A313" s="13" t="s">
        <v>2275</v>
      </c>
      <c r="B313" s="14" t="s">
        <v>668</v>
      </c>
      <c r="C313" s="15" t="s">
        <v>1679</v>
      </c>
      <c r="D313" s="15" t="s">
        <v>2276</v>
      </c>
      <c r="E313" s="23" t="s">
        <v>19</v>
      </c>
      <c r="F313" s="16"/>
      <c r="G313" s="16"/>
      <c r="H313" s="19" t="n">
        <f aca="false">LEN(IF(F313&lt;&gt;"",F313,D313))</f>
        <v>50</v>
      </c>
      <c r="I313" s="24" t="str">
        <f aca="false">IF(OR(H313&lt;2,H313&gt;140),"분량 확인","")</f>
        <v/>
      </c>
    </row>
    <row r="314" customFormat="false" ht="48" hidden="false" customHeight="true" outlineLevel="0" collapsed="false">
      <c r="A314" s="13" t="s">
        <v>2277</v>
      </c>
      <c r="B314" s="14" t="s">
        <v>668</v>
      </c>
      <c r="C314" s="15" t="s">
        <v>1682</v>
      </c>
      <c r="D314" s="15" t="s">
        <v>2278</v>
      </c>
      <c r="E314" s="23" t="s">
        <v>19</v>
      </c>
      <c r="F314" s="16"/>
      <c r="G314" s="16"/>
      <c r="H314" s="19" t="n">
        <f aca="false">LEN(IF(F314&lt;&gt;"",F314,D314))</f>
        <v>14</v>
      </c>
      <c r="I314" s="24" t="str">
        <f aca="false">IF(OR(H314&lt;2,H314&gt;140),"분량 확인","")</f>
        <v/>
      </c>
    </row>
    <row r="315" customFormat="false" ht="48" hidden="false" customHeight="true" outlineLevel="0" collapsed="false">
      <c r="A315" s="13" t="s">
        <v>2279</v>
      </c>
      <c r="B315" s="14" t="s">
        <v>668</v>
      </c>
      <c r="C315" s="15" t="s">
        <v>1685</v>
      </c>
      <c r="D315" s="15" t="s">
        <v>2280</v>
      </c>
      <c r="E315" s="23" t="s">
        <v>19</v>
      </c>
      <c r="F315" s="16"/>
      <c r="G315" s="16"/>
      <c r="H315" s="19" t="n">
        <f aca="false">LEN(IF(F315&lt;&gt;"",F315,D315))</f>
        <v>55</v>
      </c>
      <c r="I315" s="24" t="str">
        <f aca="false">IF(OR(H315&lt;2,H315&gt;140),"분량 확인","")</f>
        <v/>
      </c>
    </row>
    <row r="316" customFormat="false" ht="48" hidden="false" customHeight="true" outlineLevel="0" collapsed="false">
      <c r="A316" s="13" t="s">
        <v>2281</v>
      </c>
      <c r="B316" s="14" t="s">
        <v>668</v>
      </c>
      <c r="C316" s="15" t="s">
        <v>1688</v>
      </c>
      <c r="D316" s="15" t="s">
        <v>1689</v>
      </c>
      <c r="E316" s="23" t="s">
        <v>19</v>
      </c>
      <c r="F316" s="16"/>
      <c r="G316" s="16"/>
      <c r="H316" s="19" t="n">
        <f aca="false">LEN(IF(F316&lt;&gt;"",F316,D316))</f>
        <v>4</v>
      </c>
      <c r="I316" s="24" t="str">
        <f aca="false">IF(OR(H316&lt;2,H316&gt;140),"분량 확인","")</f>
        <v/>
      </c>
    </row>
    <row r="317" customFormat="false" ht="48" hidden="false" customHeight="true" outlineLevel="0" collapsed="false">
      <c r="A317" s="13" t="s">
        <v>2282</v>
      </c>
      <c r="B317" s="14" t="s">
        <v>668</v>
      </c>
      <c r="C317" s="15" t="s">
        <v>1691</v>
      </c>
      <c r="D317" s="15" t="s">
        <v>2283</v>
      </c>
      <c r="E317" s="23" t="s">
        <v>19</v>
      </c>
      <c r="F317" s="16"/>
      <c r="G317" s="16"/>
      <c r="H317" s="19" t="n">
        <f aca="false">LEN(IF(F317&lt;&gt;"",F317,D317))</f>
        <v>49</v>
      </c>
      <c r="I317" s="24" t="str">
        <f aca="false">IF(OR(H317&lt;2,H317&gt;140),"분량 확인","")</f>
        <v/>
      </c>
    </row>
    <row r="318" customFormat="false" ht="61.5" hidden="false" customHeight="true" outlineLevel="0" collapsed="false">
      <c r="A318" s="13" t="s">
        <v>2284</v>
      </c>
      <c r="B318" s="14" t="s">
        <v>668</v>
      </c>
      <c r="C318" s="15" t="s">
        <v>1694</v>
      </c>
      <c r="D318" s="15" t="s">
        <v>2285</v>
      </c>
      <c r="E318" s="23" t="s">
        <v>19</v>
      </c>
      <c r="F318" s="16"/>
      <c r="G318" s="16"/>
      <c r="H318" s="19" t="n">
        <f aca="false">LEN(IF(F318&lt;&gt;"",F318,D318))</f>
        <v>13</v>
      </c>
      <c r="I318" s="24" t="str">
        <f aca="false">IF(OR(H318&lt;2,H318&gt;140),"분량 확인","")</f>
        <v/>
      </c>
    </row>
    <row r="319" customFormat="false" ht="61.5" hidden="false" customHeight="true" outlineLevel="0" collapsed="false">
      <c r="A319" s="13" t="s">
        <v>2286</v>
      </c>
      <c r="B319" s="14" t="s">
        <v>668</v>
      </c>
      <c r="C319" s="15" t="s">
        <v>1697</v>
      </c>
      <c r="D319" s="15" t="s">
        <v>2287</v>
      </c>
      <c r="E319" s="23" t="s">
        <v>19</v>
      </c>
      <c r="F319" s="16"/>
      <c r="G319" s="16"/>
      <c r="H319" s="19" t="n">
        <f aca="false">LEN(IF(F319&lt;&gt;"",F319,D319))</f>
        <v>56</v>
      </c>
      <c r="I319" s="24" t="str">
        <f aca="false">IF(OR(H319&lt;2,H319&gt;140),"분량 확인","")</f>
        <v/>
      </c>
    </row>
    <row r="320" customFormat="false" ht="61.5" hidden="false" customHeight="true" outlineLevel="0" collapsed="false">
      <c r="A320" s="13" t="s">
        <v>2288</v>
      </c>
      <c r="B320" s="14" t="s">
        <v>668</v>
      </c>
      <c r="C320" s="15" t="s">
        <v>1700</v>
      </c>
      <c r="D320" s="15" t="s">
        <v>2289</v>
      </c>
      <c r="E320" s="23" t="s">
        <v>19</v>
      </c>
      <c r="F320" s="16"/>
      <c r="G320" s="16"/>
      <c r="H320" s="19" t="n">
        <f aca="false">LEN(IF(F320&lt;&gt;"",F320,D320))</f>
        <v>57</v>
      </c>
      <c r="I320" s="24" t="str">
        <f aca="false">IF(OR(H320&lt;2,H320&gt;140),"분량 확인","")</f>
        <v/>
      </c>
    </row>
    <row r="321" customFormat="false" ht="48" hidden="false" customHeight="true" outlineLevel="0" collapsed="false">
      <c r="A321" s="13" t="s">
        <v>2290</v>
      </c>
      <c r="B321" s="14" t="s">
        <v>668</v>
      </c>
      <c r="C321" s="15" t="s">
        <v>1703</v>
      </c>
      <c r="D321" s="15" t="s">
        <v>2291</v>
      </c>
      <c r="E321" s="23" t="s">
        <v>19</v>
      </c>
      <c r="F321" s="16"/>
      <c r="G321" s="16"/>
      <c r="H321" s="19" t="n">
        <f aca="false">LEN(IF(F321&lt;&gt;"",F321,D321))</f>
        <v>11</v>
      </c>
      <c r="I321" s="24" t="str">
        <f aca="false">IF(OR(H321&lt;2,H321&gt;140),"분량 확인","")</f>
        <v/>
      </c>
    </row>
    <row r="322" customFormat="false" ht="48" hidden="false" customHeight="true" outlineLevel="0" collapsed="false">
      <c r="A322" s="13" t="s">
        <v>2292</v>
      </c>
      <c r="B322" s="14" t="s">
        <v>668</v>
      </c>
      <c r="C322" s="15" t="s">
        <v>1706</v>
      </c>
      <c r="D322" s="15" t="s">
        <v>2293</v>
      </c>
      <c r="E322" s="23" t="s">
        <v>19</v>
      </c>
      <c r="F322" s="16"/>
      <c r="G322" s="16"/>
      <c r="H322" s="19" t="n">
        <f aca="false">LEN(IF(F322&lt;&gt;"",F322,D322))</f>
        <v>57</v>
      </c>
      <c r="I322" s="24" t="str">
        <f aca="false">IF(OR(H322&lt;2,H322&gt;140),"분량 확인","")</f>
        <v/>
      </c>
    </row>
    <row r="323" customFormat="false" ht="48" hidden="false" customHeight="true" outlineLevel="0" collapsed="false">
      <c r="A323" s="13" t="s">
        <v>2294</v>
      </c>
      <c r="B323" s="14" t="s">
        <v>668</v>
      </c>
      <c r="C323" s="15" t="s">
        <v>1709</v>
      </c>
      <c r="D323" s="14" t="s">
        <v>1710</v>
      </c>
      <c r="E323" s="23" t="s">
        <v>19</v>
      </c>
      <c r="F323" s="16"/>
      <c r="G323" s="16"/>
      <c r="H323" s="19" t="n">
        <f aca="false">LEN(IF(F323&lt;&gt;"",F323,D323))</f>
        <v>3</v>
      </c>
      <c r="I323" s="24" t="str">
        <f aca="false">IF(OR(H323&lt;2,H323&gt;140),"분량 확인","")</f>
        <v/>
      </c>
    </row>
    <row r="324" customFormat="false" ht="48" hidden="false" customHeight="true" outlineLevel="0" collapsed="false">
      <c r="A324" s="13" t="s">
        <v>2295</v>
      </c>
      <c r="B324" s="14" t="s">
        <v>668</v>
      </c>
      <c r="C324" s="15" t="s">
        <v>1712</v>
      </c>
      <c r="D324" s="15" t="s">
        <v>2296</v>
      </c>
      <c r="E324" s="23" t="s">
        <v>19</v>
      </c>
      <c r="F324" s="16"/>
      <c r="G324" s="16"/>
      <c r="H324" s="19" t="n">
        <f aca="false">LEN(IF(F324&lt;&gt;"",F324,D324))</f>
        <v>52</v>
      </c>
      <c r="I324" s="24" t="str">
        <f aca="false">IF(OR(H324&lt;2,H324&gt;140),"분량 확인","")</f>
        <v/>
      </c>
    </row>
    <row r="325" customFormat="false" ht="61.5" hidden="false" customHeight="true" outlineLevel="0" collapsed="false">
      <c r="A325" s="13" t="s">
        <v>2297</v>
      </c>
      <c r="B325" s="14" t="s">
        <v>668</v>
      </c>
      <c r="C325" s="15" t="s">
        <v>1715</v>
      </c>
      <c r="D325" s="15" t="s">
        <v>2298</v>
      </c>
      <c r="E325" s="23" t="s">
        <v>19</v>
      </c>
      <c r="F325" s="16"/>
      <c r="G325" s="16"/>
      <c r="H325" s="19" t="n">
        <f aca="false">LEN(IF(F325&lt;&gt;"",F325,D325))</f>
        <v>15</v>
      </c>
      <c r="I325" s="24" t="str">
        <f aca="false">IF(OR(H325&lt;2,H325&gt;140),"분량 확인","")</f>
        <v/>
      </c>
    </row>
    <row r="326" customFormat="false" ht="61.5" hidden="false" customHeight="true" outlineLevel="0" collapsed="false">
      <c r="A326" s="13" t="s">
        <v>2299</v>
      </c>
      <c r="B326" s="14" t="s">
        <v>668</v>
      </c>
      <c r="C326" s="15" t="s">
        <v>1718</v>
      </c>
      <c r="D326" s="15" t="s">
        <v>2300</v>
      </c>
      <c r="E326" s="23" t="s">
        <v>19</v>
      </c>
      <c r="F326" s="16"/>
      <c r="G326" s="16"/>
      <c r="H326" s="19" t="n">
        <f aca="false">LEN(IF(F326&lt;&gt;"",F326,D326))</f>
        <v>10</v>
      </c>
      <c r="I326" s="24" t="str">
        <f aca="false">IF(OR(H326&lt;2,H326&gt;140),"분량 확인","")</f>
        <v/>
      </c>
    </row>
    <row r="327" customFormat="false" ht="61.5" hidden="false" customHeight="true" outlineLevel="0" collapsed="false">
      <c r="A327" s="13" t="s">
        <v>2301</v>
      </c>
      <c r="B327" s="14" t="s">
        <v>668</v>
      </c>
      <c r="C327" s="15" t="s">
        <v>1721</v>
      </c>
      <c r="D327" s="15" t="s">
        <v>2302</v>
      </c>
      <c r="E327" s="23" t="s">
        <v>19</v>
      </c>
      <c r="F327" s="16"/>
      <c r="G327" s="16"/>
      <c r="H327" s="19" t="n">
        <f aca="false">LEN(IF(F327&lt;&gt;"",F327,D327))</f>
        <v>51</v>
      </c>
      <c r="I327" s="24" t="str">
        <f aca="false">IF(OR(H327&lt;2,H327&gt;140),"분량 확인","")</f>
        <v/>
      </c>
    </row>
    <row r="328" customFormat="false" ht="61.5" hidden="false" customHeight="true" outlineLevel="0" collapsed="false">
      <c r="A328" s="13" t="s">
        <v>2303</v>
      </c>
      <c r="B328" s="14" t="s">
        <v>668</v>
      </c>
      <c r="C328" s="15" t="s">
        <v>1724</v>
      </c>
      <c r="D328" s="15" t="s">
        <v>2304</v>
      </c>
      <c r="E328" s="23" t="s">
        <v>19</v>
      </c>
      <c r="F328" s="16"/>
      <c r="G328" s="16"/>
      <c r="H328" s="19" t="n">
        <f aca="false">LEN(IF(F328&lt;&gt;"",F328,D328))</f>
        <v>62</v>
      </c>
      <c r="I328" s="24" t="str">
        <f aca="false">IF(OR(H328&lt;2,H328&gt;140),"분량 확인","")</f>
        <v/>
      </c>
    </row>
    <row r="329" customFormat="false" ht="48" hidden="false" customHeight="true" outlineLevel="0" collapsed="false">
      <c r="A329" s="13" t="s">
        <v>2305</v>
      </c>
      <c r="B329" s="14" t="s">
        <v>668</v>
      </c>
      <c r="C329" s="15" t="s">
        <v>1727</v>
      </c>
      <c r="D329" s="15" t="s">
        <v>2306</v>
      </c>
      <c r="E329" s="23" t="s">
        <v>19</v>
      </c>
      <c r="F329" s="16"/>
      <c r="G329" s="16"/>
      <c r="H329" s="19" t="n">
        <f aca="false">LEN(IF(F329&lt;&gt;"",F329,D329))</f>
        <v>13</v>
      </c>
      <c r="I329" s="24" t="str">
        <f aca="false">IF(OR(H329&lt;2,H329&gt;140),"분량 확인","")</f>
        <v/>
      </c>
    </row>
    <row r="330" customFormat="false" ht="48" hidden="false" customHeight="true" outlineLevel="0" collapsed="false">
      <c r="A330" s="13" t="s">
        <v>2307</v>
      </c>
      <c r="B330" s="14" t="s">
        <v>668</v>
      </c>
      <c r="C330" s="15" t="s">
        <v>1730</v>
      </c>
      <c r="D330" s="15" t="s">
        <v>2308</v>
      </c>
      <c r="E330" s="23" t="s">
        <v>19</v>
      </c>
      <c r="F330" s="16"/>
      <c r="G330" s="16"/>
      <c r="H330" s="19" t="n">
        <f aca="false">LEN(IF(F330&lt;&gt;"",F330,D330))</f>
        <v>47</v>
      </c>
      <c r="I330" s="24" t="str">
        <f aca="false">IF(OR(H330&lt;2,H330&gt;140),"분량 확인","")</f>
        <v/>
      </c>
    </row>
    <row r="331" customFormat="false" ht="48" hidden="false" customHeight="true" outlineLevel="0" collapsed="false">
      <c r="A331" s="13" t="s">
        <v>2309</v>
      </c>
      <c r="B331" s="14" t="s">
        <v>668</v>
      </c>
      <c r="C331" s="15" t="s">
        <v>1733</v>
      </c>
      <c r="D331" s="14" t="s">
        <v>1783</v>
      </c>
      <c r="E331" s="23" t="s">
        <v>19</v>
      </c>
      <c r="F331" s="16"/>
      <c r="G331" s="16"/>
      <c r="H331" s="19" t="n">
        <f aca="false">LEN(IF(F331&lt;&gt;"",F331,D331))</f>
        <v>2</v>
      </c>
      <c r="I331" s="24" t="str">
        <f aca="false">IF(OR(H331&lt;2,H331&gt;140),"분량 확인","")</f>
        <v/>
      </c>
    </row>
    <row r="332" customFormat="false" ht="48" hidden="false" customHeight="true" outlineLevel="0" collapsed="false">
      <c r="A332" s="13" t="s">
        <v>2310</v>
      </c>
      <c r="B332" s="14" t="s">
        <v>668</v>
      </c>
      <c r="C332" s="15" t="s">
        <v>1736</v>
      </c>
      <c r="D332" s="15" t="s">
        <v>2311</v>
      </c>
      <c r="E332" s="23" t="s">
        <v>19</v>
      </c>
      <c r="F332" s="16"/>
      <c r="G332" s="16"/>
      <c r="H332" s="19" t="n">
        <f aca="false">LEN(IF(F332&lt;&gt;"",F332,D332))</f>
        <v>50</v>
      </c>
      <c r="I332" s="24" t="str">
        <f aca="false">IF(OR(H332&lt;2,H332&gt;140),"분량 확인","")</f>
        <v/>
      </c>
    </row>
    <row r="333" customFormat="false" ht="48" hidden="false" customHeight="true" outlineLevel="0" collapsed="false">
      <c r="A333" s="13" t="s">
        <v>2312</v>
      </c>
      <c r="B333" s="14" t="s">
        <v>668</v>
      </c>
      <c r="C333" s="15" t="s">
        <v>1739</v>
      </c>
      <c r="D333" s="15" t="s">
        <v>2313</v>
      </c>
      <c r="E333" s="23" t="s">
        <v>19</v>
      </c>
      <c r="F333" s="16"/>
      <c r="G333" s="16"/>
      <c r="H333" s="19" t="n">
        <f aca="false">LEN(IF(F333&lt;&gt;"",F333,D333))</f>
        <v>11</v>
      </c>
      <c r="I333" s="24" t="str">
        <f aca="false">IF(OR(H333&lt;2,H333&gt;140),"분량 확인","")</f>
        <v/>
      </c>
    </row>
    <row r="334" customFormat="false" ht="48" hidden="false" customHeight="true" outlineLevel="0" collapsed="false">
      <c r="A334" s="13" t="s">
        <v>2314</v>
      </c>
      <c r="B334" s="14" t="s">
        <v>668</v>
      </c>
      <c r="C334" s="15" t="s">
        <v>1742</v>
      </c>
      <c r="D334" s="15" t="s">
        <v>2315</v>
      </c>
      <c r="E334" s="23" t="s">
        <v>19</v>
      </c>
      <c r="F334" s="16"/>
      <c r="G334" s="16"/>
      <c r="H334" s="19" t="n">
        <f aca="false">LEN(IF(F334&lt;&gt;"",F334,D334))</f>
        <v>58</v>
      </c>
      <c r="I334" s="24" t="str">
        <f aca="false">IF(OR(H334&lt;2,H334&gt;140),"분량 확인","")</f>
        <v/>
      </c>
    </row>
    <row r="335" customFormat="false" ht="48" hidden="false" customHeight="true" outlineLevel="0" collapsed="false">
      <c r="A335" s="13" t="s">
        <v>2316</v>
      </c>
      <c r="B335" s="14" t="s">
        <v>668</v>
      </c>
      <c r="C335" s="15" t="s">
        <v>1745</v>
      </c>
      <c r="D335" s="15" t="s">
        <v>1689</v>
      </c>
      <c r="E335" s="23" t="s">
        <v>19</v>
      </c>
      <c r="F335" s="16"/>
      <c r="G335" s="16"/>
      <c r="H335" s="19" t="n">
        <f aca="false">LEN(IF(F335&lt;&gt;"",F335,D335))</f>
        <v>4</v>
      </c>
      <c r="I335" s="24" t="str">
        <f aca="false">IF(OR(H335&lt;2,H335&gt;140),"분량 확인","")</f>
        <v/>
      </c>
    </row>
    <row r="336" customFormat="false" ht="48" hidden="false" customHeight="true" outlineLevel="0" collapsed="false">
      <c r="A336" s="13" t="s">
        <v>2317</v>
      </c>
      <c r="B336" s="14" t="s">
        <v>668</v>
      </c>
      <c r="C336" s="15" t="s">
        <v>1747</v>
      </c>
      <c r="D336" s="15" t="s">
        <v>2318</v>
      </c>
      <c r="E336" s="23" t="s">
        <v>19</v>
      </c>
      <c r="F336" s="16"/>
      <c r="G336" s="16"/>
      <c r="H336" s="19" t="n">
        <f aca="false">LEN(IF(F336&lt;&gt;"",F336,D336))</f>
        <v>49</v>
      </c>
      <c r="I336" s="24" t="str">
        <f aca="false">IF(OR(H336&lt;2,H336&gt;140),"분량 확인","")</f>
        <v/>
      </c>
    </row>
    <row r="337" customFormat="false" ht="61.5" hidden="false" customHeight="true" outlineLevel="0" collapsed="false">
      <c r="A337" s="13" t="s">
        <v>2319</v>
      </c>
      <c r="B337" s="14" t="s">
        <v>668</v>
      </c>
      <c r="C337" s="15" t="s">
        <v>1750</v>
      </c>
      <c r="D337" s="15" t="s">
        <v>2320</v>
      </c>
      <c r="E337" s="23" t="s">
        <v>19</v>
      </c>
      <c r="F337" s="16"/>
      <c r="G337" s="16"/>
      <c r="H337" s="19" t="n">
        <f aca="false">LEN(IF(F337&lt;&gt;"",F337,D337))</f>
        <v>10</v>
      </c>
      <c r="I337" s="24" t="str">
        <f aca="false">IF(OR(H337&lt;2,H337&gt;140),"분량 확인","")</f>
        <v/>
      </c>
    </row>
    <row r="338" customFormat="false" ht="61.5" hidden="false" customHeight="true" outlineLevel="0" collapsed="false">
      <c r="A338" s="13" t="s">
        <v>2321</v>
      </c>
      <c r="B338" s="14" t="s">
        <v>668</v>
      </c>
      <c r="C338" s="15" t="s">
        <v>1753</v>
      </c>
      <c r="D338" s="15" t="s">
        <v>2322</v>
      </c>
      <c r="E338" s="23" t="s">
        <v>19</v>
      </c>
      <c r="F338" s="16"/>
      <c r="G338" s="16"/>
      <c r="H338" s="19" t="n">
        <f aca="false">LEN(IF(F338&lt;&gt;"",F338,D338))</f>
        <v>62</v>
      </c>
      <c r="I338" s="24" t="str">
        <f aca="false">IF(OR(H338&lt;2,H338&gt;140),"분량 확인","")</f>
        <v/>
      </c>
    </row>
    <row r="339" customFormat="false" ht="61.5" hidden="false" customHeight="true" outlineLevel="0" collapsed="false">
      <c r="A339" s="13" t="s">
        <v>2323</v>
      </c>
      <c r="B339" s="14" t="s">
        <v>668</v>
      </c>
      <c r="C339" s="15" t="s">
        <v>1756</v>
      </c>
      <c r="D339" s="15" t="s">
        <v>2324</v>
      </c>
      <c r="E339" s="23" t="s">
        <v>19</v>
      </c>
      <c r="F339" s="16"/>
      <c r="G339" s="16"/>
      <c r="H339" s="19" t="n">
        <f aca="false">LEN(IF(F339&lt;&gt;"",F339,D339))</f>
        <v>53</v>
      </c>
      <c r="I339" s="24" t="str">
        <f aca="false">IF(OR(H339&lt;2,H339&gt;140),"분량 확인","")</f>
        <v/>
      </c>
    </row>
    <row r="340" customFormat="false" ht="48" hidden="false" customHeight="true" outlineLevel="0" collapsed="false">
      <c r="A340" s="13" t="s">
        <v>2325</v>
      </c>
      <c r="B340" s="14" t="s">
        <v>668</v>
      </c>
      <c r="C340" s="15" t="s">
        <v>1759</v>
      </c>
      <c r="D340" s="15" t="s">
        <v>2326</v>
      </c>
      <c r="E340" s="23" t="s">
        <v>19</v>
      </c>
      <c r="F340" s="16"/>
      <c r="G340" s="16"/>
      <c r="H340" s="19" t="n">
        <f aca="false">LEN(IF(F340&lt;&gt;"",F340,D340))</f>
        <v>11</v>
      </c>
      <c r="I340" s="24" t="str">
        <f aca="false">IF(OR(H340&lt;2,H340&gt;140),"분량 확인","")</f>
        <v/>
      </c>
    </row>
    <row r="341" customFormat="false" ht="48" hidden="false" customHeight="true" outlineLevel="0" collapsed="false">
      <c r="A341" s="13" t="s">
        <v>2327</v>
      </c>
      <c r="B341" s="14" t="s">
        <v>668</v>
      </c>
      <c r="C341" s="15" t="s">
        <v>1762</v>
      </c>
      <c r="D341" s="15" t="s">
        <v>2328</v>
      </c>
      <c r="E341" s="23" t="s">
        <v>19</v>
      </c>
      <c r="F341" s="16"/>
      <c r="G341" s="16"/>
      <c r="H341" s="19" t="n">
        <f aca="false">LEN(IF(F341&lt;&gt;"",F341,D341))</f>
        <v>61</v>
      </c>
      <c r="I341" s="24" t="str">
        <f aca="false">IF(OR(H341&lt;2,H341&gt;140),"분량 확인","")</f>
        <v/>
      </c>
    </row>
    <row r="342" customFormat="false" ht="48" hidden="false" customHeight="true" outlineLevel="0" collapsed="false">
      <c r="A342" s="13" t="s">
        <v>2329</v>
      </c>
      <c r="B342" s="14" t="s">
        <v>668</v>
      </c>
      <c r="C342" s="15" t="s">
        <v>1765</v>
      </c>
      <c r="D342" s="14" t="s">
        <v>1766</v>
      </c>
      <c r="E342" s="23" t="s">
        <v>19</v>
      </c>
      <c r="F342" s="16"/>
      <c r="G342" s="16"/>
      <c r="H342" s="19" t="n">
        <f aca="false">LEN(IF(F342&lt;&gt;"",F342,D342))</f>
        <v>3</v>
      </c>
      <c r="I342" s="24" t="str">
        <f aca="false">IF(OR(H342&lt;2,H342&gt;140),"분량 확인","")</f>
        <v/>
      </c>
    </row>
    <row r="343" customFormat="false" ht="48" hidden="false" customHeight="true" outlineLevel="0" collapsed="false">
      <c r="A343" s="13" t="s">
        <v>2330</v>
      </c>
      <c r="B343" s="14" t="s">
        <v>668</v>
      </c>
      <c r="C343" s="15" t="s">
        <v>1768</v>
      </c>
      <c r="D343" s="15" t="s">
        <v>2331</v>
      </c>
      <c r="E343" s="23" t="s">
        <v>19</v>
      </c>
      <c r="F343" s="16"/>
      <c r="G343" s="16"/>
      <c r="H343" s="19" t="n">
        <f aca="false">LEN(IF(F343&lt;&gt;"",F343,D343))</f>
        <v>57</v>
      </c>
      <c r="I343" s="24" t="str">
        <f aca="false">IF(OR(H343&lt;2,H343&gt;140),"분량 확인","")</f>
        <v/>
      </c>
    </row>
    <row r="344" customFormat="false" ht="61.5" hidden="false" customHeight="true" outlineLevel="0" collapsed="false">
      <c r="A344" s="13" t="s">
        <v>2332</v>
      </c>
      <c r="B344" s="14" t="s">
        <v>681</v>
      </c>
      <c r="C344" s="15" t="s">
        <v>1658</v>
      </c>
      <c r="D344" s="15" t="s">
        <v>2333</v>
      </c>
      <c r="E344" s="23" t="s">
        <v>19</v>
      </c>
      <c r="F344" s="16"/>
      <c r="G344" s="16"/>
      <c r="H344" s="19" t="n">
        <f aca="false">LEN(IF(F344&lt;&gt;"",F344,D344))</f>
        <v>18</v>
      </c>
      <c r="I344" s="24" t="str">
        <f aca="false">IF(OR(H344&lt;2,H344&gt;140),"분량 확인","")</f>
        <v/>
      </c>
    </row>
    <row r="345" customFormat="false" ht="61.5" hidden="false" customHeight="true" outlineLevel="0" collapsed="false">
      <c r="A345" s="13" t="s">
        <v>2334</v>
      </c>
      <c r="B345" s="14" t="s">
        <v>681</v>
      </c>
      <c r="C345" s="15" t="s">
        <v>1661</v>
      </c>
      <c r="D345" s="15" t="s">
        <v>2335</v>
      </c>
      <c r="E345" s="23" t="s">
        <v>19</v>
      </c>
      <c r="F345" s="16"/>
      <c r="G345" s="16"/>
      <c r="H345" s="19" t="n">
        <f aca="false">LEN(IF(F345&lt;&gt;"",F345,D345))</f>
        <v>15</v>
      </c>
      <c r="I345" s="24" t="str">
        <f aca="false">IF(OR(H345&lt;2,H345&gt;140),"분량 확인","")</f>
        <v/>
      </c>
    </row>
    <row r="346" customFormat="false" ht="61.5" hidden="false" customHeight="true" outlineLevel="0" collapsed="false">
      <c r="A346" s="13" t="s">
        <v>2336</v>
      </c>
      <c r="B346" s="14" t="s">
        <v>681</v>
      </c>
      <c r="C346" s="15" t="s">
        <v>1664</v>
      </c>
      <c r="D346" s="15" t="s">
        <v>2337</v>
      </c>
      <c r="E346" s="23" t="s">
        <v>19</v>
      </c>
      <c r="F346" s="16"/>
      <c r="G346" s="16"/>
      <c r="H346" s="19" t="n">
        <f aca="false">LEN(IF(F346&lt;&gt;"",F346,D346))</f>
        <v>57</v>
      </c>
      <c r="I346" s="24" t="str">
        <f aca="false">IF(OR(H346&lt;2,H346&gt;140),"분량 확인","")</f>
        <v/>
      </c>
    </row>
    <row r="347" customFormat="false" ht="61.5" hidden="false" customHeight="true" outlineLevel="0" collapsed="false">
      <c r="A347" s="13" t="s">
        <v>2338</v>
      </c>
      <c r="B347" s="14" t="s">
        <v>681</v>
      </c>
      <c r="C347" s="15" t="s">
        <v>1667</v>
      </c>
      <c r="D347" s="15" t="s">
        <v>2339</v>
      </c>
      <c r="E347" s="23" t="s">
        <v>19</v>
      </c>
      <c r="F347" s="16"/>
      <c r="G347" s="16"/>
      <c r="H347" s="19" t="n">
        <f aca="false">LEN(IF(F347&lt;&gt;"",F347,D347))</f>
        <v>60</v>
      </c>
      <c r="I347" s="24" t="str">
        <f aca="false">IF(OR(H347&lt;2,H347&gt;140),"분량 확인","")</f>
        <v/>
      </c>
    </row>
    <row r="348" customFormat="false" ht="48" hidden="false" customHeight="true" outlineLevel="0" collapsed="false">
      <c r="A348" s="13" t="s">
        <v>2340</v>
      </c>
      <c r="B348" s="14" t="s">
        <v>681</v>
      </c>
      <c r="C348" s="15" t="s">
        <v>1670</v>
      </c>
      <c r="D348" s="15" t="s">
        <v>2341</v>
      </c>
      <c r="E348" s="23" t="s">
        <v>19</v>
      </c>
      <c r="F348" s="16"/>
      <c r="G348" s="16"/>
      <c r="H348" s="19" t="n">
        <f aca="false">LEN(IF(F348&lt;&gt;"",F348,D348))</f>
        <v>13</v>
      </c>
      <c r="I348" s="24" t="str">
        <f aca="false">IF(OR(H348&lt;2,H348&gt;140),"분량 확인","")</f>
        <v/>
      </c>
    </row>
    <row r="349" customFormat="false" ht="48" hidden="false" customHeight="true" outlineLevel="0" collapsed="false">
      <c r="A349" s="13" t="s">
        <v>2342</v>
      </c>
      <c r="B349" s="14" t="s">
        <v>681</v>
      </c>
      <c r="C349" s="15" t="s">
        <v>1673</v>
      </c>
      <c r="D349" s="15" t="s">
        <v>2343</v>
      </c>
      <c r="E349" s="23" t="s">
        <v>19</v>
      </c>
      <c r="F349" s="16"/>
      <c r="G349" s="16"/>
      <c r="H349" s="19" t="n">
        <f aca="false">LEN(IF(F349&lt;&gt;"",F349,D349))</f>
        <v>50</v>
      </c>
      <c r="I349" s="24" t="str">
        <f aca="false">IF(OR(H349&lt;2,H349&gt;140),"분량 확인","")</f>
        <v/>
      </c>
    </row>
    <row r="350" customFormat="false" ht="48" hidden="false" customHeight="true" outlineLevel="0" collapsed="false">
      <c r="A350" s="13" t="s">
        <v>2344</v>
      </c>
      <c r="B350" s="14" t="s">
        <v>681</v>
      </c>
      <c r="C350" s="15" t="s">
        <v>1676</v>
      </c>
      <c r="D350" s="14" t="s">
        <v>1924</v>
      </c>
      <c r="E350" s="23" t="s">
        <v>19</v>
      </c>
      <c r="F350" s="16"/>
      <c r="G350" s="16"/>
      <c r="H350" s="19" t="n">
        <f aca="false">LEN(IF(F350&lt;&gt;"",F350,D350))</f>
        <v>2</v>
      </c>
      <c r="I350" s="24" t="str">
        <f aca="false">IF(OR(H350&lt;2,H350&gt;140),"분량 확인","")</f>
        <v/>
      </c>
    </row>
    <row r="351" customFormat="false" ht="48" hidden="false" customHeight="true" outlineLevel="0" collapsed="false">
      <c r="A351" s="13" t="s">
        <v>2345</v>
      </c>
      <c r="B351" s="14" t="s">
        <v>681</v>
      </c>
      <c r="C351" s="15" t="s">
        <v>1679</v>
      </c>
      <c r="D351" s="15" t="s">
        <v>2346</v>
      </c>
      <c r="E351" s="23" t="s">
        <v>19</v>
      </c>
      <c r="F351" s="16"/>
      <c r="G351" s="16"/>
      <c r="H351" s="19" t="n">
        <f aca="false">LEN(IF(F351&lt;&gt;"",F351,D351))</f>
        <v>51</v>
      </c>
      <c r="I351" s="24" t="str">
        <f aca="false">IF(OR(H351&lt;2,H351&gt;140),"분량 확인","")</f>
        <v/>
      </c>
    </row>
    <row r="352" customFormat="false" ht="48" hidden="false" customHeight="true" outlineLevel="0" collapsed="false">
      <c r="A352" s="13" t="s">
        <v>2347</v>
      </c>
      <c r="B352" s="14" t="s">
        <v>681</v>
      </c>
      <c r="C352" s="15" t="s">
        <v>1682</v>
      </c>
      <c r="D352" s="15" t="s">
        <v>2348</v>
      </c>
      <c r="E352" s="23" t="s">
        <v>19</v>
      </c>
      <c r="F352" s="16"/>
      <c r="G352" s="16"/>
      <c r="H352" s="19" t="n">
        <f aca="false">LEN(IF(F352&lt;&gt;"",F352,D352))</f>
        <v>14</v>
      </c>
      <c r="I352" s="24" t="str">
        <f aca="false">IF(OR(H352&lt;2,H352&gt;140),"분량 확인","")</f>
        <v/>
      </c>
    </row>
    <row r="353" customFormat="false" ht="48" hidden="false" customHeight="true" outlineLevel="0" collapsed="false">
      <c r="A353" s="13" t="s">
        <v>2349</v>
      </c>
      <c r="B353" s="14" t="s">
        <v>681</v>
      </c>
      <c r="C353" s="15" t="s">
        <v>1685</v>
      </c>
      <c r="D353" s="15" t="s">
        <v>2350</v>
      </c>
      <c r="E353" s="23" t="s">
        <v>19</v>
      </c>
      <c r="F353" s="16"/>
      <c r="G353" s="16"/>
      <c r="H353" s="19" t="n">
        <f aca="false">LEN(IF(F353&lt;&gt;"",F353,D353))</f>
        <v>66</v>
      </c>
      <c r="I353" s="24" t="str">
        <f aca="false">IF(OR(H353&lt;2,H353&gt;140),"분량 확인","")</f>
        <v/>
      </c>
    </row>
    <row r="354" customFormat="false" ht="48" hidden="false" customHeight="true" outlineLevel="0" collapsed="false">
      <c r="A354" s="13" t="s">
        <v>2351</v>
      </c>
      <c r="B354" s="14" t="s">
        <v>681</v>
      </c>
      <c r="C354" s="15" t="s">
        <v>1688</v>
      </c>
      <c r="D354" s="15" t="s">
        <v>1689</v>
      </c>
      <c r="E354" s="23" t="s">
        <v>19</v>
      </c>
      <c r="F354" s="16"/>
      <c r="G354" s="16"/>
      <c r="H354" s="19" t="n">
        <f aca="false">LEN(IF(F354&lt;&gt;"",F354,D354))</f>
        <v>4</v>
      </c>
      <c r="I354" s="24" t="str">
        <f aca="false">IF(OR(H354&lt;2,H354&gt;140),"분량 확인","")</f>
        <v/>
      </c>
    </row>
    <row r="355" customFormat="false" ht="48" hidden="false" customHeight="true" outlineLevel="0" collapsed="false">
      <c r="A355" s="13" t="s">
        <v>2352</v>
      </c>
      <c r="B355" s="14" t="s">
        <v>681</v>
      </c>
      <c r="C355" s="15" t="s">
        <v>1691</v>
      </c>
      <c r="D355" s="15" t="s">
        <v>2353</v>
      </c>
      <c r="E355" s="23" t="s">
        <v>19</v>
      </c>
      <c r="F355" s="16"/>
      <c r="G355" s="16"/>
      <c r="H355" s="19" t="n">
        <f aca="false">LEN(IF(F355&lt;&gt;"",F355,D355))</f>
        <v>45</v>
      </c>
      <c r="I355" s="24" t="str">
        <f aca="false">IF(OR(H355&lt;2,H355&gt;140),"분량 확인","")</f>
        <v/>
      </c>
    </row>
    <row r="356" customFormat="false" ht="61.5" hidden="false" customHeight="true" outlineLevel="0" collapsed="false">
      <c r="A356" s="13" t="s">
        <v>2354</v>
      </c>
      <c r="B356" s="14" t="s">
        <v>681</v>
      </c>
      <c r="C356" s="15" t="s">
        <v>1694</v>
      </c>
      <c r="D356" s="15" t="s">
        <v>2355</v>
      </c>
      <c r="E356" s="23" t="s">
        <v>19</v>
      </c>
      <c r="F356" s="16"/>
      <c r="G356" s="16"/>
      <c r="H356" s="19" t="n">
        <f aca="false">LEN(IF(F356&lt;&gt;"",F356,D356))</f>
        <v>12</v>
      </c>
      <c r="I356" s="24" t="str">
        <f aca="false">IF(OR(H356&lt;2,H356&gt;140),"분량 확인","")</f>
        <v/>
      </c>
    </row>
    <row r="357" customFormat="false" ht="61.5" hidden="false" customHeight="true" outlineLevel="0" collapsed="false">
      <c r="A357" s="13" t="s">
        <v>2356</v>
      </c>
      <c r="B357" s="14" t="s">
        <v>681</v>
      </c>
      <c r="C357" s="15" t="s">
        <v>1697</v>
      </c>
      <c r="D357" s="15" t="s">
        <v>2357</v>
      </c>
      <c r="E357" s="23" t="s">
        <v>19</v>
      </c>
      <c r="F357" s="16"/>
      <c r="G357" s="16"/>
      <c r="H357" s="19" t="n">
        <f aca="false">LEN(IF(F357&lt;&gt;"",F357,D357))</f>
        <v>70</v>
      </c>
      <c r="I357" s="24" t="str">
        <f aca="false">IF(OR(H357&lt;2,H357&gt;140),"분량 확인","")</f>
        <v/>
      </c>
    </row>
    <row r="358" customFormat="false" ht="61.5" hidden="false" customHeight="true" outlineLevel="0" collapsed="false">
      <c r="A358" s="13" t="s">
        <v>2358</v>
      </c>
      <c r="B358" s="14" t="s">
        <v>681</v>
      </c>
      <c r="C358" s="15" t="s">
        <v>1700</v>
      </c>
      <c r="D358" s="15" t="s">
        <v>2359</v>
      </c>
      <c r="E358" s="23" t="s">
        <v>19</v>
      </c>
      <c r="F358" s="16"/>
      <c r="G358" s="16"/>
      <c r="H358" s="19" t="n">
        <f aca="false">LEN(IF(F358&lt;&gt;"",F358,D358))</f>
        <v>56</v>
      </c>
      <c r="I358" s="24" t="str">
        <f aca="false">IF(OR(H358&lt;2,H358&gt;140),"분량 확인","")</f>
        <v/>
      </c>
    </row>
    <row r="359" customFormat="false" ht="48" hidden="false" customHeight="true" outlineLevel="0" collapsed="false">
      <c r="A359" s="13" t="s">
        <v>2360</v>
      </c>
      <c r="B359" s="14" t="s">
        <v>681</v>
      </c>
      <c r="C359" s="15" t="s">
        <v>1703</v>
      </c>
      <c r="D359" s="15" t="s">
        <v>2361</v>
      </c>
      <c r="E359" s="23" t="s">
        <v>19</v>
      </c>
      <c r="F359" s="16"/>
      <c r="G359" s="16"/>
      <c r="H359" s="19" t="n">
        <f aca="false">LEN(IF(F359&lt;&gt;"",F359,D359))</f>
        <v>9</v>
      </c>
      <c r="I359" s="24" t="str">
        <f aca="false">IF(OR(H359&lt;2,H359&gt;140),"분량 확인","")</f>
        <v/>
      </c>
    </row>
    <row r="360" customFormat="false" ht="48" hidden="false" customHeight="true" outlineLevel="0" collapsed="false">
      <c r="A360" s="13" t="s">
        <v>2362</v>
      </c>
      <c r="B360" s="14" t="s">
        <v>681</v>
      </c>
      <c r="C360" s="15" t="s">
        <v>1706</v>
      </c>
      <c r="D360" s="15" t="s">
        <v>2363</v>
      </c>
      <c r="E360" s="23" t="s">
        <v>19</v>
      </c>
      <c r="F360" s="16"/>
      <c r="G360" s="16"/>
      <c r="H360" s="19" t="n">
        <f aca="false">LEN(IF(F360&lt;&gt;"",F360,D360))</f>
        <v>64</v>
      </c>
      <c r="I360" s="24" t="str">
        <f aca="false">IF(OR(H360&lt;2,H360&gt;140),"분량 확인","")</f>
        <v/>
      </c>
    </row>
    <row r="361" customFormat="false" ht="48" hidden="false" customHeight="true" outlineLevel="0" collapsed="false">
      <c r="A361" s="13" t="s">
        <v>2364</v>
      </c>
      <c r="B361" s="14" t="s">
        <v>681</v>
      </c>
      <c r="C361" s="15" t="s">
        <v>1709</v>
      </c>
      <c r="D361" s="14" t="s">
        <v>1710</v>
      </c>
      <c r="E361" s="23" t="s">
        <v>19</v>
      </c>
      <c r="F361" s="16"/>
      <c r="G361" s="16"/>
      <c r="H361" s="19" t="n">
        <f aca="false">LEN(IF(F361&lt;&gt;"",F361,D361))</f>
        <v>3</v>
      </c>
      <c r="I361" s="24" t="str">
        <f aca="false">IF(OR(H361&lt;2,H361&gt;140),"분량 확인","")</f>
        <v/>
      </c>
    </row>
    <row r="362" customFormat="false" ht="48" hidden="false" customHeight="true" outlineLevel="0" collapsed="false">
      <c r="A362" s="13" t="s">
        <v>2365</v>
      </c>
      <c r="B362" s="14" t="s">
        <v>681</v>
      </c>
      <c r="C362" s="15" t="s">
        <v>1712</v>
      </c>
      <c r="D362" s="15" t="s">
        <v>2366</v>
      </c>
      <c r="E362" s="23" t="s">
        <v>19</v>
      </c>
      <c r="F362" s="16"/>
      <c r="G362" s="16"/>
      <c r="H362" s="19" t="n">
        <f aca="false">LEN(IF(F362&lt;&gt;"",F362,D362))</f>
        <v>61</v>
      </c>
      <c r="I362" s="24" t="str">
        <f aca="false">IF(OR(H362&lt;2,H362&gt;140),"분량 확인","")</f>
        <v/>
      </c>
    </row>
    <row r="363" customFormat="false" ht="61.5" hidden="false" customHeight="true" outlineLevel="0" collapsed="false">
      <c r="A363" s="13" t="s">
        <v>2367</v>
      </c>
      <c r="B363" s="14" t="s">
        <v>681</v>
      </c>
      <c r="C363" s="15" t="s">
        <v>1715</v>
      </c>
      <c r="D363" s="15" t="s">
        <v>2368</v>
      </c>
      <c r="E363" s="23" t="s">
        <v>19</v>
      </c>
      <c r="F363" s="16"/>
      <c r="G363" s="16"/>
      <c r="H363" s="19" t="n">
        <f aca="false">LEN(IF(F363&lt;&gt;"",F363,D363))</f>
        <v>15</v>
      </c>
      <c r="I363" s="24" t="str">
        <f aca="false">IF(OR(H363&lt;2,H363&gt;140),"분량 확인","")</f>
        <v/>
      </c>
    </row>
    <row r="364" customFormat="false" ht="61.5" hidden="false" customHeight="true" outlineLevel="0" collapsed="false">
      <c r="A364" s="13" t="s">
        <v>2369</v>
      </c>
      <c r="B364" s="14" t="s">
        <v>681</v>
      </c>
      <c r="C364" s="15" t="s">
        <v>1718</v>
      </c>
      <c r="D364" s="15" t="s">
        <v>2370</v>
      </c>
      <c r="E364" s="23" t="s">
        <v>19</v>
      </c>
      <c r="F364" s="16"/>
      <c r="G364" s="16"/>
      <c r="H364" s="19" t="n">
        <f aca="false">LEN(IF(F364&lt;&gt;"",F364,D364))</f>
        <v>14</v>
      </c>
      <c r="I364" s="24" t="str">
        <f aca="false">IF(OR(H364&lt;2,H364&gt;140),"분량 확인","")</f>
        <v/>
      </c>
    </row>
    <row r="365" customFormat="false" ht="61.5" hidden="false" customHeight="true" outlineLevel="0" collapsed="false">
      <c r="A365" s="13" t="s">
        <v>2371</v>
      </c>
      <c r="B365" s="14" t="s">
        <v>681</v>
      </c>
      <c r="C365" s="15" t="s">
        <v>1721</v>
      </c>
      <c r="D365" s="15" t="s">
        <v>2372</v>
      </c>
      <c r="E365" s="23" t="s">
        <v>19</v>
      </c>
      <c r="F365" s="16"/>
      <c r="G365" s="16"/>
      <c r="H365" s="19" t="n">
        <f aca="false">LEN(IF(F365&lt;&gt;"",F365,D365))</f>
        <v>65</v>
      </c>
      <c r="I365" s="24" t="str">
        <f aca="false">IF(OR(H365&lt;2,H365&gt;140),"분량 확인","")</f>
        <v/>
      </c>
    </row>
    <row r="366" customFormat="false" ht="61.5" hidden="false" customHeight="true" outlineLevel="0" collapsed="false">
      <c r="A366" s="13" t="s">
        <v>2373</v>
      </c>
      <c r="B366" s="14" t="s">
        <v>681</v>
      </c>
      <c r="C366" s="15" t="s">
        <v>1724</v>
      </c>
      <c r="D366" s="15" t="s">
        <v>2374</v>
      </c>
      <c r="E366" s="23" t="s">
        <v>19</v>
      </c>
      <c r="F366" s="16"/>
      <c r="G366" s="16"/>
      <c r="H366" s="19" t="n">
        <f aca="false">LEN(IF(F366&lt;&gt;"",F366,D366))</f>
        <v>62</v>
      </c>
      <c r="I366" s="24" t="str">
        <f aca="false">IF(OR(H366&lt;2,H366&gt;140),"분량 확인","")</f>
        <v/>
      </c>
    </row>
    <row r="367" customFormat="false" ht="48" hidden="false" customHeight="true" outlineLevel="0" collapsed="false">
      <c r="A367" s="13" t="s">
        <v>2375</v>
      </c>
      <c r="B367" s="14" t="s">
        <v>681</v>
      </c>
      <c r="C367" s="15" t="s">
        <v>1727</v>
      </c>
      <c r="D367" s="15" t="s">
        <v>2376</v>
      </c>
      <c r="E367" s="23" t="s">
        <v>19</v>
      </c>
      <c r="F367" s="16"/>
      <c r="G367" s="16"/>
      <c r="H367" s="19" t="n">
        <f aca="false">LEN(IF(F367&lt;&gt;"",F367,D367))</f>
        <v>15</v>
      </c>
      <c r="I367" s="24" t="str">
        <f aca="false">IF(OR(H367&lt;2,H367&gt;140),"분량 확인","")</f>
        <v/>
      </c>
    </row>
    <row r="368" customFormat="false" ht="48" hidden="false" customHeight="true" outlineLevel="0" collapsed="false">
      <c r="A368" s="13" t="s">
        <v>2377</v>
      </c>
      <c r="B368" s="14" t="s">
        <v>681</v>
      </c>
      <c r="C368" s="15" t="s">
        <v>1730</v>
      </c>
      <c r="D368" s="15" t="s">
        <v>2378</v>
      </c>
      <c r="E368" s="23" t="s">
        <v>19</v>
      </c>
      <c r="F368" s="16"/>
      <c r="G368" s="16"/>
      <c r="H368" s="19" t="n">
        <f aca="false">LEN(IF(F368&lt;&gt;"",F368,D368))</f>
        <v>53</v>
      </c>
      <c r="I368" s="24" t="str">
        <f aca="false">IF(OR(H368&lt;2,H368&gt;140),"분량 확인","")</f>
        <v/>
      </c>
    </row>
    <row r="369" customFormat="false" ht="48" hidden="false" customHeight="true" outlineLevel="0" collapsed="false">
      <c r="A369" s="13" t="s">
        <v>2379</v>
      </c>
      <c r="B369" s="14" t="s">
        <v>681</v>
      </c>
      <c r="C369" s="15" t="s">
        <v>1733</v>
      </c>
      <c r="D369" s="14" t="s">
        <v>1677</v>
      </c>
      <c r="E369" s="23" t="s">
        <v>19</v>
      </c>
      <c r="F369" s="16"/>
      <c r="G369" s="16"/>
      <c r="H369" s="19" t="n">
        <f aca="false">LEN(IF(F369&lt;&gt;"",F369,D369))</f>
        <v>2</v>
      </c>
      <c r="I369" s="24" t="str">
        <f aca="false">IF(OR(H369&lt;2,H369&gt;140),"분량 확인","")</f>
        <v/>
      </c>
    </row>
    <row r="370" customFormat="false" ht="48" hidden="false" customHeight="true" outlineLevel="0" collapsed="false">
      <c r="A370" s="13" t="s">
        <v>2380</v>
      </c>
      <c r="B370" s="14" t="s">
        <v>681</v>
      </c>
      <c r="C370" s="15" t="s">
        <v>1736</v>
      </c>
      <c r="D370" s="15" t="s">
        <v>2381</v>
      </c>
      <c r="E370" s="23" t="s">
        <v>19</v>
      </c>
      <c r="F370" s="16"/>
      <c r="G370" s="16"/>
      <c r="H370" s="19" t="n">
        <f aca="false">LEN(IF(F370&lt;&gt;"",F370,D370))</f>
        <v>57</v>
      </c>
      <c r="I370" s="24" t="str">
        <f aca="false">IF(OR(H370&lt;2,H370&gt;140),"분량 확인","")</f>
        <v/>
      </c>
    </row>
    <row r="371" customFormat="false" ht="48" hidden="false" customHeight="true" outlineLevel="0" collapsed="false">
      <c r="A371" s="13" t="s">
        <v>2382</v>
      </c>
      <c r="B371" s="14" t="s">
        <v>681</v>
      </c>
      <c r="C371" s="15" t="s">
        <v>1739</v>
      </c>
      <c r="D371" s="15" t="s">
        <v>2383</v>
      </c>
      <c r="E371" s="23" t="s">
        <v>19</v>
      </c>
      <c r="F371" s="16"/>
      <c r="G371" s="16"/>
      <c r="H371" s="19" t="n">
        <f aca="false">LEN(IF(F371&lt;&gt;"",F371,D371))</f>
        <v>13</v>
      </c>
      <c r="I371" s="24" t="str">
        <f aca="false">IF(OR(H371&lt;2,H371&gt;140),"분량 확인","")</f>
        <v/>
      </c>
    </row>
    <row r="372" customFormat="false" ht="48" hidden="false" customHeight="true" outlineLevel="0" collapsed="false">
      <c r="A372" s="13" t="s">
        <v>2384</v>
      </c>
      <c r="B372" s="14" t="s">
        <v>681</v>
      </c>
      <c r="C372" s="15" t="s">
        <v>1742</v>
      </c>
      <c r="D372" s="15" t="s">
        <v>2385</v>
      </c>
      <c r="E372" s="23" t="s">
        <v>19</v>
      </c>
      <c r="F372" s="16"/>
      <c r="G372" s="16"/>
      <c r="H372" s="19" t="n">
        <f aca="false">LEN(IF(F372&lt;&gt;"",F372,D372))</f>
        <v>62</v>
      </c>
      <c r="I372" s="24" t="str">
        <f aca="false">IF(OR(H372&lt;2,H372&gt;140),"분량 확인","")</f>
        <v/>
      </c>
    </row>
    <row r="373" customFormat="false" ht="48" hidden="false" customHeight="true" outlineLevel="0" collapsed="false">
      <c r="A373" s="13" t="s">
        <v>2386</v>
      </c>
      <c r="B373" s="14" t="s">
        <v>681</v>
      </c>
      <c r="C373" s="15" t="s">
        <v>1745</v>
      </c>
      <c r="D373" s="15" t="s">
        <v>1689</v>
      </c>
      <c r="E373" s="23" t="s">
        <v>19</v>
      </c>
      <c r="F373" s="16"/>
      <c r="G373" s="16"/>
      <c r="H373" s="19" t="n">
        <f aca="false">LEN(IF(F373&lt;&gt;"",F373,D373))</f>
        <v>4</v>
      </c>
      <c r="I373" s="24" t="str">
        <f aca="false">IF(OR(H373&lt;2,H373&gt;140),"분량 확인","")</f>
        <v/>
      </c>
    </row>
    <row r="374" customFormat="false" ht="48" hidden="false" customHeight="true" outlineLevel="0" collapsed="false">
      <c r="A374" s="13" t="s">
        <v>2387</v>
      </c>
      <c r="B374" s="14" t="s">
        <v>681</v>
      </c>
      <c r="C374" s="15" t="s">
        <v>1747</v>
      </c>
      <c r="D374" s="15" t="s">
        <v>2388</v>
      </c>
      <c r="E374" s="23" t="s">
        <v>19</v>
      </c>
      <c r="F374" s="16"/>
      <c r="G374" s="16"/>
      <c r="H374" s="19" t="n">
        <f aca="false">LEN(IF(F374&lt;&gt;"",F374,D374))</f>
        <v>48</v>
      </c>
      <c r="I374" s="24" t="str">
        <f aca="false">IF(OR(H374&lt;2,H374&gt;140),"분량 확인","")</f>
        <v/>
      </c>
    </row>
    <row r="375" customFormat="false" ht="61.5" hidden="false" customHeight="true" outlineLevel="0" collapsed="false">
      <c r="A375" s="13" t="s">
        <v>2389</v>
      </c>
      <c r="B375" s="14" t="s">
        <v>681</v>
      </c>
      <c r="C375" s="15" t="s">
        <v>1750</v>
      </c>
      <c r="D375" s="15" t="s">
        <v>2390</v>
      </c>
      <c r="E375" s="23" t="s">
        <v>19</v>
      </c>
      <c r="F375" s="16"/>
      <c r="G375" s="16"/>
      <c r="H375" s="19" t="n">
        <f aca="false">LEN(IF(F375&lt;&gt;"",F375,D375))</f>
        <v>14</v>
      </c>
      <c r="I375" s="24" t="str">
        <f aca="false">IF(OR(H375&lt;2,H375&gt;140),"분량 확인","")</f>
        <v/>
      </c>
    </row>
    <row r="376" customFormat="false" ht="61.5" hidden="false" customHeight="true" outlineLevel="0" collapsed="false">
      <c r="A376" s="13" t="s">
        <v>2391</v>
      </c>
      <c r="B376" s="14" t="s">
        <v>681</v>
      </c>
      <c r="C376" s="15" t="s">
        <v>1753</v>
      </c>
      <c r="D376" s="14" t="s">
        <v>2392</v>
      </c>
      <c r="E376" s="23" t="s">
        <v>19</v>
      </c>
      <c r="F376" s="16"/>
      <c r="G376" s="16"/>
      <c r="H376" s="19" t="n">
        <f aca="false">LEN(IF(F376&lt;&gt;"",F376,D376))</f>
        <v>53</v>
      </c>
      <c r="I376" s="24" t="str">
        <f aca="false">IF(OR(H376&lt;2,H376&gt;140),"분량 확인","")</f>
        <v/>
      </c>
    </row>
    <row r="377" customFormat="false" ht="61.5" hidden="false" customHeight="true" outlineLevel="0" collapsed="false">
      <c r="A377" s="13" t="s">
        <v>2393</v>
      </c>
      <c r="B377" s="14" t="s">
        <v>681</v>
      </c>
      <c r="C377" s="15" t="s">
        <v>1756</v>
      </c>
      <c r="D377" s="15" t="s">
        <v>2394</v>
      </c>
      <c r="E377" s="23" t="s">
        <v>19</v>
      </c>
      <c r="F377" s="16"/>
      <c r="G377" s="16"/>
      <c r="H377" s="19" t="n">
        <f aca="false">LEN(IF(F377&lt;&gt;"",F377,D377))</f>
        <v>63</v>
      </c>
      <c r="I377" s="24" t="str">
        <f aca="false">IF(OR(H377&lt;2,H377&gt;140),"분량 확인","")</f>
        <v/>
      </c>
    </row>
    <row r="378" customFormat="false" ht="48" hidden="false" customHeight="true" outlineLevel="0" collapsed="false">
      <c r="A378" s="13" t="s">
        <v>2395</v>
      </c>
      <c r="B378" s="14" t="s">
        <v>681</v>
      </c>
      <c r="C378" s="15" t="s">
        <v>1759</v>
      </c>
      <c r="D378" s="15" t="s">
        <v>2396</v>
      </c>
      <c r="E378" s="23" t="s">
        <v>19</v>
      </c>
      <c r="F378" s="16"/>
      <c r="G378" s="16"/>
      <c r="H378" s="19" t="n">
        <f aca="false">LEN(IF(F378&lt;&gt;"",F378,D378))</f>
        <v>10</v>
      </c>
      <c r="I378" s="24" t="str">
        <f aca="false">IF(OR(H378&lt;2,H378&gt;140),"분량 확인","")</f>
        <v/>
      </c>
    </row>
    <row r="379" customFormat="false" ht="48" hidden="false" customHeight="true" outlineLevel="0" collapsed="false">
      <c r="A379" s="13" t="s">
        <v>2397</v>
      </c>
      <c r="B379" s="14" t="s">
        <v>681</v>
      </c>
      <c r="C379" s="15" t="s">
        <v>1762</v>
      </c>
      <c r="D379" s="15" t="s">
        <v>2398</v>
      </c>
      <c r="E379" s="23" t="s">
        <v>19</v>
      </c>
      <c r="F379" s="16"/>
      <c r="G379" s="16"/>
      <c r="H379" s="19" t="n">
        <f aca="false">LEN(IF(F379&lt;&gt;"",F379,D379))</f>
        <v>57</v>
      </c>
      <c r="I379" s="24" t="str">
        <f aca="false">IF(OR(H379&lt;2,H379&gt;140),"분량 확인","")</f>
        <v/>
      </c>
    </row>
    <row r="380" customFormat="false" ht="48" hidden="false" customHeight="true" outlineLevel="0" collapsed="false">
      <c r="A380" s="13" t="s">
        <v>2399</v>
      </c>
      <c r="B380" s="14" t="s">
        <v>681</v>
      </c>
      <c r="C380" s="15" t="s">
        <v>1765</v>
      </c>
      <c r="D380" s="14" t="s">
        <v>1766</v>
      </c>
      <c r="E380" s="23" t="s">
        <v>19</v>
      </c>
      <c r="F380" s="16"/>
      <c r="G380" s="16"/>
      <c r="H380" s="19" t="n">
        <f aca="false">LEN(IF(F380&lt;&gt;"",F380,D380))</f>
        <v>3</v>
      </c>
      <c r="I380" s="24" t="str">
        <f aca="false">IF(OR(H380&lt;2,H380&gt;140),"분량 확인","")</f>
        <v/>
      </c>
    </row>
    <row r="381" customFormat="false" ht="48" hidden="false" customHeight="true" outlineLevel="0" collapsed="false">
      <c r="A381" s="13" t="s">
        <v>2400</v>
      </c>
      <c r="B381" s="14" t="s">
        <v>681</v>
      </c>
      <c r="C381" s="15" t="s">
        <v>1768</v>
      </c>
      <c r="D381" s="15" t="s">
        <v>2401</v>
      </c>
      <c r="E381" s="23" t="s">
        <v>19</v>
      </c>
      <c r="F381" s="16"/>
      <c r="G381" s="16"/>
      <c r="H381" s="19" t="n">
        <f aca="false">LEN(IF(F381&lt;&gt;"",F381,D381))</f>
        <v>57</v>
      </c>
      <c r="I381" s="24" t="str">
        <f aca="false">IF(OR(H381&lt;2,H381&gt;140),"분량 확인","")</f>
        <v/>
      </c>
    </row>
    <row r="382" customFormat="false" ht="61.5" hidden="false" customHeight="true" outlineLevel="0" collapsed="false">
      <c r="A382" s="13" t="s">
        <v>2402</v>
      </c>
      <c r="B382" s="14" t="s">
        <v>694</v>
      </c>
      <c r="C382" s="15" t="s">
        <v>1658</v>
      </c>
      <c r="D382" s="15" t="s">
        <v>2403</v>
      </c>
      <c r="E382" s="23" t="s">
        <v>19</v>
      </c>
      <c r="F382" s="16"/>
      <c r="G382" s="16"/>
      <c r="H382" s="19" t="n">
        <f aca="false">LEN(IF(F382&lt;&gt;"",F382,D382))</f>
        <v>15</v>
      </c>
      <c r="I382" s="24" t="str">
        <f aca="false">IF(OR(H382&lt;2,H382&gt;140),"분량 확인","")</f>
        <v/>
      </c>
    </row>
    <row r="383" customFormat="false" ht="61.5" hidden="false" customHeight="true" outlineLevel="0" collapsed="false">
      <c r="A383" s="13" t="s">
        <v>2404</v>
      </c>
      <c r="B383" s="14" t="s">
        <v>694</v>
      </c>
      <c r="C383" s="15" t="s">
        <v>1661</v>
      </c>
      <c r="D383" s="15" t="s">
        <v>2405</v>
      </c>
      <c r="E383" s="23" t="s">
        <v>19</v>
      </c>
      <c r="F383" s="16"/>
      <c r="G383" s="16"/>
      <c r="H383" s="19" t="n">
        <f aca="false">LEN(IF(F383&lt;&gt;"",F383,D383))</f>
        <v>10</v>
      </c>
      <c r="I383" s="24" t="str">
        <f aca="false">IF(OR(H383&lt;2,H383&gt;140),"분량 확인","")</f>
        <v/>
      </c>
    </row>
    <row r="384" customFormat="false" ht="61.5" hidden="false" customHeight="true" outlineLevel="0" collapsed="false">
      <c r="A384" s="13" t="s">
        <v>2406</v>
      </c>
      <c r="B384" s="14" t="s">
        <v>694</v>
      </c>
      <c r="C384" s="15" t="s">
        <v>1664</v>
      </c>
      <c r="D384" s="15" t="s">
        <v>2407</v>
      </c>
      <c r="E384" s="23" t="s">
        <v>19</v>
      </c>
      <c r="F384" s="16"/>
      <c r="G384" s="16"/>
      <c r="H384" s="19" t="n">
        <f aca="false">LEN(IF(F384&lt;&gt;"",F384,D384))</f>
        <v>63</v>
      </c>
      <c r="I384" s="24" t="str">
        <f aca="false">IF(OR(H384&lt;2,H384&gt;140),"분량 확인","")</f>
        <v/>
      </c>
    </row>
    <row r="385" customFormat="false" ht="61.5" hidden="false" customHeight="true" outlineLevel="0" collapsed="false">
      <c r="A385" s="13" t="s">
        <v>2408</v>
      </c>
      <c r="B385" s="14" t="s">
        <v>694</v>
      </c>
      <c r="C385" s="15" t="s">
        <v>1667</v>
      </c>
      <c r="D385" s="15" t="s">
        <v>2409</v>
      </c>
      <c r="E385" s="23" t="s">
        <v>19</v>
      </c>
      <c r="F385" s="16"/>
      <c r="G385" s="16"/>
      <c r="H385" s="19" t="n">
        <f aca="false">LEN(IF(F385&lt;&gt;"",F385,D385))</f>
        <v>53</v>
      </c>
      <c r="I385" s="24" t="str">
        <f aca="false">IF(OR(H385&lt;2,H385&gt;140),"분량 확인","")</f>
        <v/>
      </c>
    </row>
    <row r="386" customFormat="false" ht="48" hidden="false" customHeight="true" outlineLevel="0" collapsed="false">
      <c r="A386" s="13" t="s">
        <v>2410</v>
      </c>
      <c r="B386" s="14" t="s">
        <v>694</v>
      </c>
      <c r="C386" s="15" t="s">
        <v>1670</v>
      </c>
      <c r="D386" s="15" t="s">
        <v>2411</v>
      </c>
      <c r="E386" s="23" t="s">
        <v>19</v>
      </c>
      <c r="F386" s="16"/>
      <c r="G386" s="16"/>
      <c r="H386" s="19" t="n">
        <f aca="false">LEN(IF(F386&lt;&gt;"",F386,D386))</f>
        <v>17</v>
      </c>
      <c r="I386" s="24" t="str">
        <f aca="false">IF(OR(H386&lt;2,H386&gt;140),"분량 확인","")</f>
        <v/>
      </c>
    </row>
    <row r="387" customFormat="false" ht="48" hidden="false" customHeight="true" outlineLevel="0" collapsed="false">
      <c r="A387" s="13" t="s">
        <v>2412</v>
      </c>
      <c r="B387" s="14" t="s">
        <v>694</v>
      </c>
      <c r="C387" s="15" t="s">
        <v>1673</v>
      </c>
      <c r="D387" s="15" t="s">
        <v>2413</v>
      </c>
      <c r="E387" s="23" t="s">
        <v>19</v>
      </c>
      <c r="F387" s="16"/>
      <c r="G387" s="16"/>
      <c r="H387" s="19" t="n">
        <f aca="false">LEN(IF(F387&lt;&gt;"",F387,D387))</f>
        <v>61</v>
      </c>
      <c r="I387" s="24" t="str">
        <f aca="false">IF(OR(H387&lt;2,H387&gt;140),"분량 확인","")</f>
        <v/>
      </c>
    </row>
    <row r="388" customFormat="false" ht="48" hidden="false" customHeight="true" outlineLevel="0" collapsed="false">
      <c r="A388" s="13" t="s">
        <v>2414</v>
      </c>
      <c r="B388" s="14" t="s">
        <v>694</v>
      </c>
      <c r="C388" s="15" t="s">
        <v>1676</v>
      </c>
      <c r="D388" s="14" t="s">
        <v>1783</v>
      </c>
      <c r="E388" s="23" t="s">
        <v>19</v>
      </c>
      <c r="F388" s="16"/>
      <c r="G388" s="16"/>
      <c r="H388" s="19" t="n">
        <f aca="false">LEN(IF(F388&lt;&gt;"",F388,D388))</f>
        <v>2</v>
      </c>
      <c r="I388" s="24" t="str">
        <f aca="false">IF(OR(H388&lt;2,H388&gt;140),"분량 확인","")</f>
        <v/>
      </c>
    </row>
    <row r="389" customFormat="false" ht="48" hidden="false" customHeight="true" outlineLevel="0" collapsed="false">
      <c r="A389" s="13" t="s">
        <v>2415</v>
      </c>
      <c r="B389" s="14" t="s">
        <v>694</v>
      </c>
      <c r="C389" s="15" t="s">
        <v>1679</v>
      </c>
      <c r="D389" s="15" t="s">
        <v>2416</v>
      </c>
      <c r="E389" s="23" t="s">
        <v>19</v>
      </c>
      <c r="F389" s="16"/>
      <c r="G389" s="16"/>
      <c r="H389" s="19" t="n">
        <f aca="false">LEN(IF(F389&lt;&gt;"",F389,D389))</f>
        <v>53</v>
      </c>
      <c r="I389" s="24" t="str">
        <f aca="false">IF(OR(H389&lt;2,H389&gt;140),"분량 확인","")</f>
        <v/>
      </c>
    </row>
    <row r="390" customFormat="false" ht="48" hidden="false" customHeight="true" outlineLevel="0" collapsed="false">
      <c r="A390" s="13" t="s">
        <v>2417</v>
      </c>
      <c r="B390" s="14" t="s">
        <v>694</v>
      </c>
      <c r="C390" s="15" t="s">
        <v>1682</v>
      </c>
      <c r="D390" s="15" t="s">
        <v>2418</v>
      </c>
      <c r="E390" s="23" t="s">
        <v>19</v>
      </c>
      <c r="F390" s="16"/>
      <c r="G390" s="16"/>
      <c r="H390" s="19" t="n">
        <f aca="false">LEN(IF(F390&lt;&gt;"",F390,D390))</f>
        <v>12</v>
      </c>
      <c r="I390" s="24" t="str">
        <f aca="false">IF(OR(H390&lt;2,H390&gt;140),"분량 확인","")</f>
        <v/>
      </c>
    </row>
    <row r="391" customFormat="false" ht="48" hidden="false" customHeight="true" outlineLevel="0" collapsed="false">
      <c r="A391" s="13" t="s">
        <v>2419</v>
      </c>
      <c r="B391" s="14" t="s">
        <v>694</v>
      </c>
      <c r="C391" s="15" t="s">
        <v>1685</v>
      </c>
      <c r="D391" s="15" t="s">
        <v>2420</v>
      </c>
      <c r="E391" s="23" t="s">
        <v>19</v>
      </c>
      <c r="F391" s="16"/>
      <c r="G391" s="16"/>
      <c r="H391" s="19" t="n">
        <f aca="false">LEN(IF(F391&lt;&gt;"",F391,D391))</f>
        <v>60</v>
      </c>
      <c r="I391" s="24" t="str">
        <f aca="false">IF(OR(H391&lt;2,H391&gt;140),"분량 확인","")</f>
        <v/>
      </c>
    </row>
    <row r="392" customFormat="false" ht="48" hidden="false" customHeight="true" outlineLevel="0" collapsed="false">
      <c r="A392" s="13" t="s">
        <v>2421</v>
      </c>
      <c r="B392" s="14" t="s">
        <v>694</v>
      </c>
      <c r="C392" s="15" t="s">
        <v>1688</v>
      </c>
      <c r="D392" s="15" t="s">
        <v>1689</v>
      </c>
      <c r="E392" s="23" t="s">
        <v>19</v>
      </c>
      <c r="F392" s="16"/>
      <c r="G392" s="16"/>
      <c r="H392" s="19" t="n">
        <f aca="false">LEN(IF(F392&lt;&gt;"",F392,D392))</f>
        <v>4</v>
      </c>
      <c r="I392" s="24" t="str">
        <f aca="false">IF(OR(H392&lt;2,H392&gt;140),"분량 확인","")</f>
        <v/>
      </c>
    </row>
    <row r="393" customFormat="false" ht="48" hidden="false" customHeight="true" outlineLevel="0" collapsed="false">
      <c r="A393" s="13" t="s">
        <v>2422</v>
      </c>
      <c r="B393" s="14" t="s">
        <v>694</v>
      </c>
      <c r="C393" s="15" t="s">
        <v>1691</v>
      </c>
      <c r="D393" s="15" t="s">
        <v>2423</v>
      </c>
      <c r="E393" s="23" t="s">
        <v>19</v>
      </c>
      <c r="F393" s="16"/>
      <c r="G393" s="16"/>
      <c r="H393" s="19" t="n">
        <f aca="false">LEN(IF(F393&lt;&gt;"",F393,D393))</f>
        <v>46</v>
      </c>
      <c r="I393" s="24" t="str">
        <f aca="false">IF(OR(H393&lt;2,H393&gt;140),"분량 확인","")</f>
        <v/>
      </c>
    </row>
    <row r="394" customFormat="false" ht="61.5" hidden="false" customHeight="true" outlineLevel="0" collapsed="false">
      <c r="A394" s="13" t="s">
        <v>2424</v>
      </c>
      <c r="B394" s="14" t="s">
        <v>694</v>
      </c>
      <c r="C394" s="15" t="s">
        <v>1694</v>
      </c>
      <c r="D394" s="15" t="s">
        <v>2425</v>
      </c>
      <c r="E394" s="23" t="s">
        <v>19</v>
      </c>
      <c r="F394" s="16"/>
      <c r="G394" s="16"/>
      <c r="H394" s="19" t="n">
        <f aca="false">LEN(IF(F394&lt;&gt;"",F394,D394))</f>
        <v>11</v>
      </c>
      <c r="I394" s="24" t="str">
        <f aca="false">IF(OR(H394&lt;2,H394&gt;140),"분량 확인","")</f>
        <v/>
      </c>
    </row>
    <row r="395" customFormat="false" ht="61.5" hidden="false" customHeight="true" outlineLevel="0" collapsed="false">
      <c r="A395" s="13" t="s">
        <v>2426</v>
      </c>
      <c r="B395" s="14" t="s">
        <v>694</v>
      </c>
      <c r="C395" s="15" t="s">
        <v>1697</v>
      </c>
      <c r="D395" s="14" t="s">
        <v>2427</v>
      </c>
      <c r="E395" s="23" t="s">
        <v>19</v>
      </c>
      <c r="F395" s="16"/>
      <c r="G395" s="16"/>
      <c r="H395" s="19" t="n">
        <f aca="false">LEN(IF(F395&lt;&gt;"",F395,D395))</f>
        <v>70</v>
      </c>
      <c r="I395" s="24" t="str">
        <f aca="false">IF(OR(H395&lt;2,H395&gt;140),"분량 확인","")</f>
        <v/>
      </c>
    </row>
    <row r="396" customFormat="false" ht="61.5" hidden="false" customHeight="true" outlineLevel="0" collapsed="false">
      <c r="A396" s="13" t="s">
        <v>2428</v>
      </c>
      <c r="B396" s="14" t="s">
        <v>694</v>
      </c>
      <c r="C396" s="15" t="s">
        <v>1700</v>
      </c>
      <c r="D396" s="15" t="s">
        <v>2429</v>
      </c>
      <c r="E396" s="23" t="s">
        <v>19</v>
      </c>
      <c r="F396" s="16"/>
      <c r="G396" s="16"/>
      <c r="H396" s="19" t="n">
        <f aca="false">LEN(IF(F396&lt;&gt;"",F396,D396))</f>
        <v>51</v>
      </c>
      <c r="I396" s="24" t="str">
        <f aca="false">IF(OR(H396&lt;2,H396&gt;140),"분량 확인","")</f>
        <v/>
      </c>
    </row>
    <row r="397" customFormat="false" ht="48" hidden="false" customHeight="true" outlineLevel="0" collapsed="false">
      <c r="A397" s="13" t="s">
        <v>2430</v>
      </c>
      <c r="B397" s="14" t="s">
        <v>694</v>
      </c>
      <c r="C397" s="15" t="s">
        <v>1703</v>
      </c>
      <c r="D397" s="15" t="s">
        <v>2431</v>
      </c>
      <c r="E397" s="23" t="s">
        <v>19</v>
      </c>
      <c r="F397" s="16"/>
      <c r="G397" s="16"/>
      <c r="H397" s="19" t="n">
        <f aca="false">LEN(IF(F397&lt;&gt;"",F397,D397))</f>
        <v>13</v>
      </c>
      <c r="I397" s="24" t="str">
        <f aca="false">IF(OR(H397&lt;2,H397&gt;140),"분량 확인","")</f>
        <v/>
      </c>
    </row>
    <row r="398" customFormat="false" ht="48" hidden="false" customHeight="true" outlineLevel="0" collapsed="false">
      <c r="A398" s="13" t="s">
        <v>2432</v>
      </c>
      <c r="B398" s="14" t="s">
        <v>694</v>
      </c>
      <c r="C398" s="15" t="s">
        <v>1706</v>
      </c>
      <c r="D398" s="15" t="s">
        <v>2433</v>
      </c>
      <c r="E398" s="23" t="s">
        <v>19</v>
      </c>
      <c r="F398" s="16"/>
      <c r="G398" s="16"/>
      <c r="H398" s="19" t="n">
        <f aca="false">LEN(IF(F398&lt;&gt;"",F398,D398))</f>
        <v>57</v>
      </c>
      <c r="I398" s="24" t="str">
        <f aca="false">IF(OR(H398&lt;2,H398&gt;140),"분량 확인","")</f>
        <v/>
      </c>
    </row>
    <row r="399" customFormat="false" ht="48" hidden="false" customHeight="true" outlineLevel="0" collapsed="false">
      <c r="A399" s="13" t="s">
        <v>2434</v>
      </c>
      <c r="B399" s="14" t="s">
        <v>694</v>
      </c>
      <c r="C399" s="15" t="s">
        <v>1709</v>
      </c>
      <c r="D399" s="14" t="s">
        <v>1710</v>
      </c>
      <c r="E399" s="23" t="s">
        <v>19</v>
      </c>
      <c r="F399" s="16"/>
      <c r="G399" s="16"/>
      <c r="H399" s="19" t="n">
        <f aca="false">LEN(IF(F399&lt;&gt;"",F399,D399))</f>
        <v>3</v>
      </c>
      <c r="I399" s="24" t="str">
        <f aca="false">IF(OR(H399&lt;2,H399&gt;140),"분량 확인","")</f>
        <v/>
      </c>
    </row>
    <row r="400" customFormat="false" ht="48" hidden="false" customHeight="true" outlineLevel="0" collapsed="false">
      <c r="A400" s="13" t="s">
        <v>2435</v>
      </c>
      <c r="B400" s="14" t="s">
        <v>694</v>
      </c>
      <c r="C400" s="15" t="s">
        <v>1712</v>
      </c>
      <c r="D400" s="15" t="s">
        <v>2436</v>
      </c>
      <c r="E400" s="23" t="s">
        <v>19</v>
      </c>
      <c r="F400" s="16"/>
      <c r="G400" s="16"/>
      <c r="H400" s="19" t="n">
        <f aca="false">LEN(IF(F400&lt;&gt;"",F400,D400))</f>
        <v>55</v>
      </c>
      <c r="I400" s="24" t="str">
        <f aca="false">IF(OR(H400&lt;2,H400&gt;140),"분량 확인","")</f>
        <v/>
      </c>
    </row>
    <row r="401" customFormat="false" ht="61.5" hidden="false" customHeight="true" outlineLevel="0" collapsed="false">
      <c r="A401" s="13" t="s">
        <v>2437</v>
      </c>
      <c r="B401" s="14" t="s">
        <v>694</v>
      </c>
      <c r="C401" s="15" t="s">
        <v>1715</v>
      </c>
      <c r="D401" s="15" t="s">
        <v>2438</v>
      </c>
      <c r="E401" s="23" t="s">
        <v>19</v>
      </c>
      <c r="F401" s="16"/>
      <c r="G401" s="16"/>
      <c r="H401" s="19" t="n">
        <f aca="false">LEN(IF(F401&lt;&gt;"",F401,D401))</f>
        <v>16</v>
      </c>
      <c r="I401" s="24" t="str">
        <f aca="false">IF(OR(H401&lt;2,H401&gt;140),"분량 확인","")</f>
        <v/>
      </c>
    </row>
    <row r="402" customFormat="false" ht="61.5" hidden="false" customHeight="true" outlineLevel="0" collapsed="false">
      <c r="A402" s="13" t="s">
        <v>2439</v>
      </c>
      <c r="B402" s="14" t="s">
        <v>694</v>
      </c>
      <c r="C402" s="15" t="s">
        <v>1718</v>
      </c>
      <c r="D402" s="15" t="s">
        <v>2440</v>
      </c>
      <c r="E402" s="23" t="s">
        <v>19</v>
      </c>
      <c r="F402" s="16"/>
      <c r="G402" s="16"/>
      <c r="H402" s="19" t="n">
        <f aca="false">LEN(IF(F402&lt;&gt;"",F402,D402))</f>
        <v>15</v>
      </c>
      <c r="I402" s="24" t="str">
        <f aca="false">IF(OR(H402&lt;2,H402&gt;140),"분량 확인","")</f>
        <v/>
      </c>
    </row>
    <row r="403" customFormat="false" ht="61.5" hidden="false" customHeight="true" outlineLevel="0" collapsed="false">
      <c r="A403" s="13" t="s">
        <v>2441</v>
      </c>
      <c r="B403" s="14" t="s">
        <v>694</v>
      </c>
      <c r="C403" s="15" t="s">
        <v>1721</v>
      </c>
      <c r="D403" s="15" t="s">
        <v>2442</v>
      </c>
      <c r="E403" s="23" t="s">
        <v>19</v>
      </c>
      <c r="F403" s="16"/>
      <c r="G403" s="16"/>
      <c r="H403" s="19" t="n">
        <f aca="false">LEN(IF(F403&lt;&gt;"",F403,D403))</f>
        <v>60</v>
      </c>
      <c r="I403" s="24" t="str">
        <f aca="false">IF(OR(H403&lt;2,H403&gt;140),"분량 확인","")</f>
        <v/>
      </c>
    </row>
    <row r="404" customFormat="false" ht="61.5" hidden="false" customHeight="true" outlineLevel="0" collapsed="false">
      <c r="A404" s="13" t="s">
        <v>2443</v>
      </c>
      <c r="B404" s="14" t="s">
        <v>694</v>
      </c>
      <c r="C404" s="15" t="s">
        <v>1724</v>
      </c>
      <c r="D404" s="15" t="s">
        <v>2444</v>
      </c>
      <c r="E404" s="23" t="s">
        <v>19</v>
      </c>
      <c r="F404" s="16"/>
      <c r="G404" s="16"/>
      <c r="H404" s="19" t="n">
        <f aca="false">LEN(IF(F404&lt;&gt;"",F404,D404))</f>
        <v>64</v>
      </c>
      <c r="I404" s="24" t="str">
        <f aca="false">IF(OR(H404&lt;2,H404&gt;140),"분량 확인","")</f>
        <v/>
      </c>
    </row>
    <row r="405" customFormat="false" ht="48" hidden="false" customHeight="true" outlineLevel="0" collapsed="false">
      <c r="A405" s="13" t="s">
        <v>2445</v>
      </c>
      <c r="B405" s="14" t="s">
        <v>694</v>
      </c>
      <c r="C405" s="15" t="s">
        <v>1727</v>
      </c>
      <c r="D405" s="15" t="s">
        <v>2446</v>
      </c>
      <c r="E405" s="23" t="s">
        <v>19</v>
      </c>
      <c r="F405" s="16"/>
      <c r="G405" s="16"/>
      <c r="H405" s="19" t="n">
        <f aca="false">LEN(IF(F405&lt;&gt;"",F405,D405))</f>
        <v>15</v>
      </c>
      <c r="I405" s="24" t="str">
        <f aca="false">IF(OR(H405&lt;2,H405&gt;140),"분량 확인","")</f>
        <v/>
      </c>
    </row>
    <row r="406" customFormat="false" ht="48" hidden="false" customHeight="true" outlineLevel="0" collapsed="false">
      <c r="A406" s="13" t="s">
        <v>2447</v>
      </c>
      <c r="B406" s="14" t="s">
        <v>694</v>
      </c>
      <c r="C406" s="15" t="s">
        <v>1730</v>
      </c>
      <c r="D406" s="15" t="s">
        <v>2448</v>
      </c>
      <c r="E406" s="23" t="s">
        <v>19</v>
      </c>
      <c r="F406" s="16"/>
      <c r="G406" s="16"/>
      <c r="H406" s="19" t="n">
        <f aca="false">LEN(IF(F406&lt;&gt;"",F406,D406))</f>
        <v>47</v>
      </c>
      <c r="I406" s="24" t="str">
        <f aca="false">IF(OR(H406&lt;2,H406&gt;140),"분량 확인","")</f>
        <v/>
      </c>
    </row>
    <row r="407" customFormat="false" ht="48" hidden="false" customHeight="true" outlineLevel="0" collapsed="false">
      <c r="A407" s="13" t="s">
        <v>2449</v>
      </c>
      <c r="B407" s="14" t="s">
        <v>694</v>
      </c>
      <c r="C407" s="15" t="s">
        <v>1733</v>
      </c>
      <c r="D407" s="14" t="s">
        <v>1783</v>
      </c>
      <c r="E407" s="23" t="s">
        <v>19</v>
      </c>
      <c r="F407" s="16"/>
      <c r="G407" s="16"/>
      <c r="H407" s="19" t="n">
        <f aca="false">LEN(IF(F407&lt;&gt;"",F407,D407))</f>
        <v>2</v>
      </c>
      <c r="I407" s="24" t="str">
        <f aca="false">IF(OR(H407&lt;2,H407&gt;140),"분량 확인","")</f>
        <v/>
      </c>
    </row>
    <row r="408" customFormat="false" ht="48" hidden="false" customHeight="true" outlineLevel="0" collapsed="false">
      <c r="A408" s="13" t="s">
        <v>2450</v>
      </c>
      <c r="B408" s="14" t="s">
        <v>694</v>
      </c>
      <c r="C408" s="15" t="s">
        <v>1736</v>
      </c>
      <c r="D408" s="15" t="s">
        <v>2451</v>
      </c>
      <c r="E408" s="23" t="s">
        <v>19</v>
      </c>
      <c r="F408" s="16"/>
      <c r="G408" s="16"/>
      <c r="H408" s="19" t="n">
        <f aca="false">LEN(IF(F408&lt;&gt;"",F408,D408))</f>
        <v>52</v>
      </c>
      <c r="I408" s="24" t="str">
        <f aca="false">IF(OR(H408&lt;2,H408&gt;140),"분량 확인","")</f>
        <v/>
      </c>
    </row>
    <row r="409" customFormat="false" ht="48" hidden="false" customHeight="true" outlineLevel="0" collapsed="false">
      <c r="A409" s="13" t="s">
        <v>2452</v>
      </c>
      <c r="B409" s="14" t="s">
        <v>694</v>
      </c>
      <c r="C409" s="15" t="s">
        <v>1739</v>
      </c>
      <c r="D409" s="15" t="s">
        <v>2453</v>
      </c>
      <c r="E409" s="23" t="s">
        <v>19</v>
      </c>
      <c r="F409" s="16"/>
      <c r="G409" s="16"/>
      <c r="H409" s="19" t="n">
        <f aca="false">LEN(IF(F409&lt;&gt;"",F409,D409))</f>
        <v>12</v>
      </c>
      <c r="I409" s="24" t="str">
        <f aca="false">IF(OR(H409&lt;2,H409&gt;140),"분량 확인","")</f>
        <v/>
      </c>
    </row>
    <row r="410" customFormat="false" ht="48" hidden="false" customHeight="true" outlineLevel="0" collapsed="false">
      <c r="A410" s="13" t="s">
        <v>2454</v>
      </c>
      <c r="B410" s="14" t="s">
        <v>694</v>
      </c>
      <c r="C410" s="15" t="s">
        <v>1742</v>
      </c>
      <c r="D410" s="15" t="s">
        <v>2455</v>
      </c>
      <c r="E410" s="23" t="s">
        <v>19</v>
      </c>
      <c r="F410" s="16"/>
      <c r="G410" s="16"/>
      <c r="H410" s="19" t="n">
        <f aca="false">LEN(IF(F410&lt;&gt;"",F410,D410))</f>
        <v>58</v>
      </c>
      <c r="I410" s="24" t="str">
        <f aca="false">IF(OR(H410&lt;2,H410&gt;140),"분량 확인","")</f>
        <v/>
      </c>
    </row>
    <row r="411" customFormat="false" ht="48" hidden="false" customHeight="true" outlineLevel="0" collapsed="false">
      <c r="A411" s="13" t="s">
        <v>2456</v>
      </c>
      <c r="B411" s="14" t="s">
        <v>694</v>
      </c>
      <c r="C411" s="15" t="s">
        <v>1745</v>
      </c>
      <c r="D411" s="15" t="s">
        <v>1689</v>
      </c>
      <c r="E411" s="23" t="s">
        <v>19</v>
      </c>
      <c r="F411" s="16"/>
      <c r="G411" s="16"/>
      <c r="H411" s="19" t="n">
        <f aca="false">LEN(IF(F411&lt;&gt;"",F411,D411))</f>
        <v>4</v>
      </c>
      <c r="I411" s="24" t="str">
        <f aca="false">IF(OR(H411&lt;2,H411&gt;140),"분량 확인","")</f>
        <v/>
      </c>
    </row>
    <row r="412" customFormat="false" ht="48" hidden="false" customHeight="true" outlineLevel="0" collapsed="false">
      <c r="A412" s="13" t="s">
        <v>2457</v>
      </c>
      <c r="B412" s="14" t="s">
        <v>694</v>
      </c>
      <c r="C412" s="15" t="s">
        <v>1747</v>
      </c>
      <c r="D412" s="15" t="s">
        <v>2458</v>
      </c>
      <c r="E412" s="23" t="s">
        <v>19</v>
      </c>
      <c r="F412" s="16"/>
      <c r="G412" s="16"/>
      <c r="H412" s="19" t="n">
        <f aca="false">LEN(IF(F412&lt;&gt;"",F412,D412))</f>
        <v>50</v>
      </c>
      <c r="I412" s="24" t="str">
        <f aca="false">IF(OR(H412&lt;2,H412&gt;140),"분량 확인","")</f>
        <v/>
      </c>
    </row>
    <row r="413" customFormat="false" ht="61.5" hidden="false" customHeight="true" outlineLevel="0" collapsed="false">
      <c r="A413" s="13" t="s">
        <v>2459</v>
      </c>
      <c r="B413" s="14" t="s">
        <v>694</v>
      </c>
      <c r="C413" s="15" t="s">
        <v>1750</v>
      </c>
      <c r="D413" s="15" t="s">
        <v>2460</v>
      </c>
      <c r="E413" s="23" t="s">
        <v>19</v>
      </c>
      <c r="F413" s="16"/>
      <c r="G413" s="16"/>
      <c r="H413" s="19" t="n">
        <f aca="false">LEN(IF(F413&lt;&gt;"",F413,D413))</f>
        <v>12</v>
      </c>
      <c r="I413" s="24" t="str">
        <f aca="false">IF(OR(H413&lt;2,H413&gt;140),"분량 확인","")</f>
        <v/>
      </c>
    </row>
    <row r="414" customFormat="false" ht="61.5" hidden="false" customHeight="true" outlineLevel="0" collapsed="false">
      <c r="A414" s="13" t="s">
        <v>2461</v>
      </c>
      <c r="B414" s="14" t="s">
        <v>694</v>
      </c>
      <c r="C414" s="15" t="s">
        <v>1753</v>
      </c>
      <c r="D414" s="15" t="s">
        <v>2462</v>
      </c>
      <c r="E414" s="23" t="s">
        <v>19</v>
      </c>
      <c r="F414" s="16"/>
      <c r="G414" s="16"/>
      <c r="H414" s="19" t="n">
        <f aca="false">LEN(IF(F414&lt;&gt;"",F414,D414))</f>
        <v>65</v>
      </c>
      <c r="I414" s="24" t="str">
        <f aca="false">IF(OR(H414&lt;2,H414&gt;140),"분량 확인","")</f>
        <v/>
      </c>
    </row>
    <row r="415" customFormat="false" ht="61.5" hidden="false" customHeight="true" outlineLevel="0" collapsed="false">
      <c r="A415" s="13" t="s">
        <v>2463</v>
      </c>
      <c r="B415" s="14" t="s">
        <v>694</v>
      </c>
      <c r="C415" s="15" t="s">
        <v>1756</v>
      </c>
      <c r="D415" s="15" t="s">
        <v>2464</v>
      </c>
      <c r="E415" s="23" t="s">
        <v>19</v>
      </c>
      <c r="F415" s="16"/>
      <c r="G415" s="16"/>
      <c r="H415" s="19" t="n">
        <f aca="false">LEN(IF(F415&lt;&gt;"",F415,D415))</f>
        <v>64</v>
      </c>
      <c r="I415" s="24" t="str">
        <f aca="false">IF(OR(H415&lt;2,H415&gt;140),"분량 확인","")</f>
        <v/>
      </c>
    </row>
    <row r="416" customFormat="false" ht="48" hidden="false" customHeight="true" outlineLevel="0" collapsed="false">
      <c r="A416" s="13" t="s">
        <v>2465</v>
      </c>
      <c r="B416" s="14" t="s">
        <v>694</v>
      </c>
      <c r="C416" s="15" t="s">
        <v>1759</v>
      </c>
      <c r="D416" s="15" t="s">
        <v>2466</v>
      </c>
      <c r="E416" s="23" t="s">
        <v>19</v>
      </c>
      <c r="F416" s="16"/>
      <c r="G416" s="16"/>
      <c r="H416" s="19" t="n">
        <f aca="false">LEN(IF(F416&lt;&gt;"",F416,D416))</f>
        <v>12</v>
      </c>
      <c r="I416" s="24" t="str">
        <f aca="false">IF(OR(H416&lt;2,H416&gt;140),"분량 확인","")</f>
        <v/>
      </c>
    </row>
    <row r="417" customFormat="false" ht="48" hidden="false" customHeight="true" outlineLevel="0" collapsed="false">
      <c r="A417" s="13" t="s">
        <v>2467</v>
      </c>
      <c r="B417" s="14" t="s">
        <v>694</v>
      </c>
      <c r="C417" s="15" t="s">
        <v>1762</v>
      </c>
      <c r="D417" s="15" t="s">
        <v>2468</v>
      </c>
      <c r="E417" s="23" t="s">
        <v>19</v>
      </c>
      <c r="F417" s="16"/>
      <c r="G417" s="16"/>
      <c r="H417" s="19" t="n">
        <f aca="false">LEN(IF(F417&lt;&gt;"",F417,D417))</f>
        <v>62</v>
      </c>
      <c r="I417" s="24" t="str">
        <f aca="false">IF(OR(H417&lt;2,H417&gt;140),"분량 확인","")</f>
        <v/>
      </c>
    </row>
    <row r="418" customFormat="false" ht="48" hidden="false" customHeight="true" outlineLevel="0" collapsed="false">
      <c r="A418" s="13" t="s">
        <v>2469</v>
      </c>
      <c r="B418" s="14" t="s">
        <v>694</v>
      </c>
      <c r="C418" s="15" t="s">
        <v>1765</v>
      </c>
      <c r="D418" s="14" t="s">
        <v>1766</v>
      </c>
      <c r="E418" s="23" t="s">
        <v>19</v>
      </c>
      <c r="F418" s="16"/>
      <c r="G418" s="16"/>
      <c r="H418" s="19" t="n">
        <f aca="false">LEN(IF(F418&lt;&gt;"",F418,D418))</f>
        <v>3</v>
      </c>
      <c r="I418" s="24" t="str">
        <f aca="false">IF(OR(H418&lt;2,H418&gt;140),"분량 확인","")</f>
        <v/>
      </c>
    </row>
    <row r="419" customFormat="false" ht="48" hidden="false" customHeight="true" outlineLevel="0" collapsed="false">
      <c r="A419" s="13" t="s">
        <v>2470</v>
      </c>
      <c r="B419" s="14" t="s">
        <v>694</v>
      </c>
      <c r="C419" s="15" t="s">
        <v>1768</v>
      </c>
      <c r="D419" s="15" t="s">
        <v>2471</v>
      </c>
      <c r="E419" s="23" t="s">
        <v>19</v>
      </c>
      <c r="F419" s="16"/>
      <c r="G419" s="16"/>
      <c r="H419" s="19" t="n">
        <f aca="false">LEN(IF(F419&lt;&gt;"",F419,D419))</f>
        <v>58</v>
      </c>
      <c r="I419" s="24" t="str">
        <f aca="false">IF(OR(H419&lt;2,H419&gt;140),"분량 확인","")</f>
        <v/>
      </c>
    </row>
    <row r="420" customFormat="false" ht="61.5" hidden="false" customHeight="true" outlineLevel="0" collapsed="false">
      <c r="A420" s="13" t="s">
        <v>2472</v>
      </c>
      <c r="B420" s="14" t="s">
        <v>707</v>
      </c>
      <c r="C420" s="15" t="s">
        <v>1658</v>
      </c>
      <c r="D420" s="15" t="s">
        <v>2473</v>
      </c>
      <c r="E420" s="23" t="s">
        <v>19</v>
      </c>
      <c r="F420" s="16"/>
      <c r="G420" s="16"/>
      <c r="H420" s="19" t="n">
        <f aca="false">LEN(IF(F420&lt;&gt;"",F420,D420))</f>
        <v>14</v>
      </c>
      <c r="I420" s="24" t="str">
        <f aca="false">IF(OR(H420&lt;2,H420&gt;140),"분량 확인","")</f>
        <v/>
      </c>
    </row>
    <row r="421" customFormat="false" ht="61.5" hidden="false" customHeight="true" outlineLevel="0" collapsed="false">
      <c r="A421" s="13" t="s">
        <v>2474</v>
      </c>
      <c r="B421" s="14" t="s">
        <v>707</v>
      </c>
      <c r="C421" s="15" t="s">
        <v>1661</v>
      </c>
      <c r="D421" s="15" t="s">
        <v>2475</v>
      </c>
      <c r="E421" s="23" t="s">
        <v>19</v>
      </c>
      <c r="F421" s="16"/>
      <c r="G421" s="16"/>
      <c r="H421" s="19" t="n">
        <f aca="false">LEN(IF(F421&lt;&gt;"",F421,D421))</f>
        <v>13</v>
      </c>
      <c r="I421" s="24" t="str">
        <f aca="false">IF(OR(H421&lt;2,H421&gt;140),"분량 확인","")</f>
        <v/>
      </c>
    </row>
    <row r="422" customFormat="false" ht="61.5" hidden="false" customHeight="true" outlineLevel="0" collapsed="false">
      <c r="A422" s="13" t="s">
        <v>2476</v>
      </c>
      <c r="B422" s="14" t="s">
        <v>707</v>
      </c>
      <c r="C422" s="15" t="s">
        <v>1664</v>
      </c>
      <c r="D422" s="15" t="s">
        <v>2477</v>
      </c>
      <c r="E422" s="23" t="s">
        <v>19</v>
      </c>
      <c r="F422" s="16"/>
      <c r="G422" s="16"/>
      <c r="H422" s="19" t="n">
        <f aca="false">LEN(IF(F422&lt;&gt;"",F422,D422))</f>
        <v>58</v>
      </c>
      <c r="I422" s="24" t="str">
        <f aca="false">IF(OR(H422&lt;2,H422&gt;140),"분량 확인","")</f>
        <v/>
      </c>
    </row>
    <row r="423" customFormat="false" ht="61.5" hidden="false" customHeight="true" outlineLevel="0" collapsed="false">
      <c r="A423" s="13" t="s">
        <v>2478</v>
      </c>
      <c r="B423" s="14" t="s">
        <v>707</v>
      </c>
      <c r="C423" s="15" t="s">
        <v>1667</v>
      </c>
      <c r="D423" s="15" t="s">
        <v>2479</v>
      </c>
      <c r="E423" s="23" t="s">
        <v>19</v>
      </c>
      <c r="F423" s="16"/>
      <c r="G423" s="16"/>
      <c r="H423" s="19" t="n">
        <f aca="false">LEN(IF(F423&lt;&gt;"",F423,D423))</f>
        <v>51</v>
      </c>
      <c r="I423" s="24" t="str">
        <f aca="false">IF(OR(H423&lt;2,H423&gt;140),"분량 확인","")</f>
        <v/>
      </c>
    </row>
    <row r="424" customFormat="false" ht="48" hidden="false" customHeight="true" outlineLevel="0" collapsed="false">
      <c r="A424" s="13" t="s">
        <v>2480</v>
      </c>
      <c r="B424" s="14" t="s">
        <v>707</v>
      </c>
      <c r="C424" s="15" t="s">
        <v>1670</v>
      </c>
      <c r="D424" s="15" t="s">
        <v>2481</v>
      </c>
      <c r="E424" s="23" t="s">
        <v>19</v>
      </c>
      <c r="F424" s="16"/>
      <c r="G424" s="16"/>
      <c r="H424" s="19" t="n">
        <f aca="false">LEN(IF(F424&lt;&gt;"",F424,D424))</f>
        <v>14</v>
      </c>
      <c r="I424" s="24" t="str">
        <f aca="false">IF(OR(H424&lt;2,H424&gt;140),"분량 확인","")</f>
        <v/>
      </c>
    </row>
    <row r="425" customFormat="false" ht="48" hidden="false" customHeight="true" outlineLevel="0" collapsed="false">
      <c r="A425" s="13" t="s">
        <v>2482</v>
      </c>
      <c r="B425" s="14" t="s">
        <v>707</v>
      </c>
      <c r="C425" s="15" t="s">
        <v>1673</v>
      </c>
      <c r="D425" s="15" t="s">
        <v>2483</v>
      </c>
      <c r="E425" s="23" t="s">
        <v>19</v>
      </c>
      <c r="F425" s="16"/>
      <c r="G425" s="16"/>
      <c r="H425" s="19" t="n">
        <f aca="false">LEN(IF(F425&lt;&gt;"",F425,D425))</f>
        <v>52</v>
      </c>
      <c r="I425" s="24" t="str">
        <f aca="false">IF(OR(H425&lt;2,H425&gt;140),"분량 확인","")</f>
        <v/>
      </c>
    </row>
    <row r="426" customFormat="false" ht="48" hidden="false" customHeight="true" outlineLevel="0" collapsed="false">
      <c r="A426" s="13" t="s">
        <v>2484</v>
      </c>
      <c r="B426" s="14" t="s">
        <v>707</v>
      </c>
      <c r="C426" s="15" t="s">
        <v>1676</v>
      </c>
      <c r="D426" s="14" t="s">
        <v>1783</v>
      </c>
      <c r="E426" s="23" t="s">
        <v>19</v>
      </c>
      <c r="F426" s="16"/>
      <c r="G426" s="16"/>
      <c r="H426" s="19" t="n">
        <f aca="false">LEN(IF(F426&lt;&gt;"",F426,D426))</f>
        <v>2</v>
      </c>
      <c r="I426" s="24" t="str">
        <f aca="false">IF(OR(H426&lt;2,H426&gt;140),"분량 확인","")</f>
        <v/>
      </c>
    </row>
    <row r="427" customFormat="false" ht="48" hidden="false" customHeight="true" outlineLevel="0" collapsed="false">
      <c r="A427" s="13" t="s">
        <v>2485</v>
      </c>
      <c r="B427" s="14" t="s">
        <v>707</v>
      </c>
      <c r="C427" s="15" t="s">
        <v>1679</v>
      </c>
      <c r="D427" s="15" t="s">
        <v>2486</v>
      </c>
      <c r="E427" s="23" t="s">
        <v>19</v>
      </c>
      <c r="F427" s="16"/>
      <c r="G427" s="16"/>
      <c r="H427" s="19" t="n">
        <f aca="false">LEN(IF(F427&lt;&gt;"",F427,D427))</f>
        <v>44</v>
      </c>
      <c r="I427" s="24" t="str">
        <f aca="false">IF(OR(H427&lt;2,H427&gt;140),"분량 확인","")</f>
        <v/>
      </c>
    </row>
    <row r="428" customFormat="false" ht="48" hidden="false" customHeight="true" outlineLevel="0" collapsed="false">
      <c r="A428" s="13" t="s">
        <v>2487</v>
      </c>
      <c r="B428" s="14" t="s">
        <v>707</v>
      </c>
      <c r="C428" s="15" t="s">
        <v>1682</v>
      </c>
      <c r="D428" s="15" t="s">
        <v>2488</v>
      </c>
      <c r="E428" s="23" t="s">
        <v>19</v>
      </c>
      <c r="F428" s="16"/>
      <c r="G428" s="16"/>
      <c r="H428" s="19" t="n">
        <f aca="false">LEN(IF(F428&lt;&gt;"",F428,D428))</f>
        <v>17</v>
      </c>
      <c r="I428" s="24" t="str">
        <f aca="false">IF(OR(H428&lt;2,H428&gt;140),"분량 확인","")</f>
        <v/>
      </c>
    </row>
    <row r="429" customFormat="false" ht="48" hidden="false" customHeight="true" outlineLevel="0" collapsed="false">
      <c r="A429" s="13" t="s">
        <v>2489</v>
      </c>
      <c r="B429" s="14" t="s">
        <v>707</v>
      </c>
      <c r="C429" s="15" t="s">
        <v>1685</v>
      </c>
      <c r="D429" s="15" t="s">
        <v>2490</v>
      </c>
      <c r="E429" s="23" t="s">
        <v>19</v>
      </c>
      <c r="F429" s="16"/>
      <c r="G429" s="16"/>
      <c r="H429" s="19" t="n">
        <f aca="false">LEN(IF(F429&lt;&gt;"",F429,D429))</f>
        <v>66</v>
      </c>
      <c r="I429" s="24" t="str">
        <f aca="false">IF(OR(H429&lt;2,H429&gt;140),"분량 확인","")</f>
        <v/>
      </c>
    </row>
    <row r="430" customFormat="false" ht="48" hidden="false" customHeight="true" outlineLevel="0" collapsed="false">
      <c r="A430" s="13" t="s">
        <v>2491</v>
      </c>
      <c r="B430" s="14" t="s">
        <v>707</v>
      </c>
      <c r="C430" s="15" t="s">
        <v>1688</v>
      </c>
      <c r="D430" s="15" t="s">
        <v>1689</v>
      </c>
      <c r="E430" s="23" t="s">
        <v>19</v>
      </c>
      <c r="F430" s="16"/>
      <c r="G430" s="16"/>
      <c r="H430" s="19" t="n">
        <f aca="false">LEN(IF(F430&lt;&gt;"",F430,D430))</f>
        <v>4</v>
      </c>
      <c r="I430" s="24" t="str">
        <f aca="false">IF(OR(H430&lt;2,H430&gt;140),"분량 확인","")</f>
        <v/>
      </c>
    </row>
    <row r="431" customFormat="false" ht="48" hidden="false" customHeight="true" outlineLevel="0" collapsed="false">
      <c r="A431" s="13" t="s">
        <v>2492</v>
      </c>
      <c r="B431" s="14" t="s">
        <v>707</v>
      </c>
      <c r="C431" s="15" t="s">
        <v>1691</v>
      </c>
      <c r="D431" s="15" t="s">
        <v>2493</v>
      </c>
      <c r="E431" s="23" t="s">
        <v>19</v>
      </c>
      <c r="F431" s="16"/>
      <c r="G431" s="16"/>
      <c r="H431" s="19" t="n">
        <f aca="false">LEN(IF(F431&lt;&gt;"",F431,D431))</f>
        <v>53</v>
      </c>
      <c r="I431" s="24" t="str">
        <f aca="false">IF(OR(H431&lt;2,H431&gt;140),"분량 확인","")</f>
        <v/>
      </c>
    </row>
    <row r="432" customFormat="false" ht="61.5" hidden="false" customHeight="true" outlineLevel="0" collapsed="false">
      <c r="A432" s="13" t="s">
        <v>2494</v>
      </c>
      <c r="B432" s="14" t="s">
        <v>707</v>
      </c>
      <c r="C432" s="15" t="s">
        <v>1694</v>
      </c>
      <c r="D432" s="15" t="s">
        <v>2495</v>
      </c>
      <c r="E432" s="23" t="s">
        <v>19</v>
      </c>
      <c r="F432" s="16"/>
      <c r="G432" s="16"/>
      <c r="H432" s="19" t="n">
        <f aca="false">LEN(IF(F432&lt;&gt;"",F432,D432))</f>
        <v>15</v>
      </c>
      <c r="I432" s="24" t="str">
        <f aca="false">IF(OR(H432&lt;2,H432&gt;140),"분량 확인","")</f>
        <v/>
      </c>
    </row>
    <row r="433" customFormat="false" ht="61.5" hidden="false" customHeight="true" outlineLevel="0" collapsed="false">
      <c r="A433" s="13" t="s">
        <v>2496</v>
      </c>
      <c r="B433" s="14" t="s">
        <v>707</v>
      </c>
      <c r="C433" s="15" t="s">
        <v>1697</v>
      </c>
      <c r="D433" s="15" t="s">
        <v>2497</v>
      </c>
      <c r="E433" s="23" t="s">
        <v>19</v>
      </c>
      <c r="F433" s="16"/>
      <c r="G433" s="16"/>
      <c r="H433" s="19" t="n">
        <f aca="false">LEN(IF(F433&lt;&gt;"",F433,D433))</f>
        <v>68</v>
      </c>
      <c r="I433" s="24" t="str">
        <f aca="false">IF(OR(H433&lt;2,H433&gt;140),"분량 확인","")</f>
        <v/>
      </c>
    </row>
    <row r="434" customFormat="false" ht="61.5" hidden="false" customHeight="true" outlineLevel="0" collapsed="false">
      <c r="A434" s="13" t="s">
        <v>2498</v>
      </c>
      <c r="B434" s="14" t="s">
        <v>707</v>
      </c>
      <c r="C434" s="15" t="s">
        <v>1700</v>
      </c>
      <c r="D434" s="15" t="s">
        <v>2499</v>
      </c>
      <c r="E434" s="23" t="s">
        <v>19</v>
      </c>
      <c r="F434" s="16"/>
      <c r="G434" s="16"/>
      <c r="H434" s="19" t="n">
        <f aca="false">LEN(IF(F434&lt;&gt;"",F434,D434))</f>
        <v>61</v>
      </c>
      <c r="I434" s="24" t="str">
        <f aca="false">IF(OR(H434&lt;2,H434&gt;140),"분량 확인","")</f>
        <v/>
      </c>
    </row>
    <row r="435" customFormat="false" ht="48" hidden="false" customHeight="true" outlineLevel="0" collapsed="false">
      <c r="A435" s="13" t="s">
        <v>2500</v>
      </c>
      <c r="B435" s="14" t="s">
        <v>707</v>
      </c>
      <c r="C435" s="15" t="s">
        <v>1703</v>
      </c>
      <c r="D435" s="15" t="s">
        <v>2501</v>
      </c>
      <c r="E435" s="23" t="s">
        <v>19</v>
      </c>
      <c r="F435" s="16"/>
      <c r="G435" s="16"/>
      <c r="H435" s="19" t="n">
        <f aca="false">LEN(IF(F435&lt;&gt;"",F435,D435))</f>
        <v>15</v>
      </c>
      <c r="I435" s="24" t="str">
        <f aca="false">IF(OR(H435&lt;2,H435&gt;140),"분량 확인","")</f>
        <v/>
      </c>
    </row>
    <row r="436" customFormat="false" ht="48" hidden="false" customHeight="true" outlineLevel="0" collapsed="false">
      <c r="A436" s="13" t="s">
        <v>2502</v>
      </c>
      <c r="B436" s="14" t="s">
        <v>707</v>
      </c>
      <c r="C436" s="15" t="s">
        <v>1706</v>
      </c>
      <c r="D436" s="15" t="s">
        <v>2503</v>
      </c>
      <c r="E436" s="23" t="s">
        <v>19</v>
      </c>
      <c r="F436" s="16"/>
      <c r="G436" s="16"/>
      <c r="H436" s="19" t="n">
        <f aca="false">LEN(IF(F436&lt;&gt;"",F436,D436))</f>
        <v>68</v>
      </c>
      <c r="I436" s="24" t="str">
        <f aca="false">IF(OR(H436&lt;2,H436&gt;140),"분량 확인","")</f>
        <v/>
      </c>
    </row>
    <row r="437" customFormat="false" ht="48" hidden="false" customHeight="true" outlineLevel="0" collapsed="false">
      <c r="A437" s="13" t="s">
        <v>2504</v>
      </c>
      <c r="B437" s="14" t="s">
        <v>707</v>
      </c>
      <c r="C437" s="15" t="s">
        <v>1709</v>
      </c>
      <c r="D437" s="14" t="s">
        <v>1710</v>
      </c>
      <c r="E437" s="23" t="s">
        <v>19</v>
      </c>
      <c r="F437" s="16"/>
      <c r="G437" s="16"/>
      <c r="H437" s="19" t="n">
        <f aca="false">LEN(IF(F437&lt;&gt;"",F437,D437))</f>
        <v>3</v>
      </c>
      <c r="I437" s="24" t="str">
        <f aca="false">IF(OR(H437&lt;2,H437&gt;140),"분량 확인","")</f>
        <v/>
      </c>
    </row>
    <row r="438" customFormat="false" ht="48" hidden="false" customHeight="true" outlineLevel="0" collapsed="false">
      <c r="A438" s="13" t="s">
        <v>2505</v>
      </c>
      <c r="B438" s="14" t="s">
        <v>707</v>
      </c>
      <c r="C438" s="15" t="s">
        <v>1712</v>
      </c>
      <c r="D438" s="15" t="s">
        <v>2506</v>
      </c>
      <c r="E438" s="23" t="s">
        <v>19</v>
      </c>
      <c r="F438" s="16"/>
      <c r="G438" s="16"/>
      <c r="H438" s="19" t="n">
        <f aca="false">LEN(IF(F438&lt;&gt;"",F438,D438))</f>
        <v>59</v>
      </c>
      <c r="I438" s="24" t="str">
        <f aca="false">IF(OR(H438&lt;2,H438&gt;140),"분량 확인","")</f>
        <v/>
      </c>
    </row>
    <row r="439" customFormat="false" ht="61.5" hidden="false" customHeight="true" outlineLevel="0" collapsed="false">
      <c r="A439" s="13" t="s">
        <v>2507</v>
      </c>
      <c r="B439" s="14" t="s">
        <v>707</v>
      </c>
      <c r="C439" s="15" t="s">
        <v>1715</v>
      </c>
      <c r="D439" s="15" t="s">
        <v>2508</v>
      </c>
      <c r="E439" s="23" t="s">
        <v>19</v>
      </c>
      <c r="F439" s="16"/>
      <c r="G439" s="16"/>
      <c r="H439" s="19" t="n">
        <f aca="false">LEN(IF(F439&lt;&gt;"",F439,D439))</f>
        <v>13</v>
      </c>
      <c r="I439" s="24" t="str">
        <f aca="false">IF(OR(H439&lt;2,H439&gt;140),"분량 확인","")</f>
        <v/>
      </c>
    </row>
    <row r="440" customFormat="false" ht="61.5" hidden="false" customHeight="true" outlineLevel="0" collapsed="false">
      <c r="A440" s="13" t="s">
        <v>2509</v>
      </c>
      <c r="B440" s="14" t="s">
        <v>707</v>
      </c>
      <c r="C440" s="15" t="s">
        <v>1718</v>
      </c>
      <c r="D440" s="15" t="s">
        <v>2510</v>
      </c>
      <c r="E440" s="23" t="s">
        <v>19</v>
      </c>
      <c r="F440" s="16"/>
      <c r="G440" s="16"/>
      <c r="H440" s="19" t="n">
        <f aca="false">LEN(IF(F440&lt;&gt;"",F440,D440))</f>
        <v>17</v>
      </c>
      <c r="I440" s="24" t="str">
        <f aca="false">IF(OR(H440&lt;2,H440&gt;140),"분량 확인","")</f>
        <v/>
      </c>
    </row>
    <row r="441" customFormat="false" ht="61.5" hidden="false" customHeight="true" outlineLevel="0" collapsed="false">
      <c r="A441" s="13" t="s">
        <v>2511</v>
      </c>
      <c r="B441" s="14" t="s">
        <v>707</v>
      </c>
      <c r="C441" s="15" t="s">
        <v>1721</v>
      </c>
      <c r="D441" s="15" t="s">
        <v>2512</v>
      </c>
      <c r="E441" s="23" t="s">
        <v>19</v>
      </c>
      <c r="F441" s="16"/>
      <c r="G441" s="16"/>
      <c r="H441" s="19" t="n">
        <f aca="false">LEN(IF(F441&lt;&gt;"",F441,D441))</f>
        <v>61</v>
      </c>
      <c r="I441" s="24" t="str">
        <f aca="false">IF(OR(H441&lt;2,H441&gt;140),"분량 확인","")</f>
        <v/>
      </c>
    </row>
    <row r="442" customFormat="false" ht="61.5" hidden="false" customHeight="true" outlineLevel="0" collapsed="false">
      <c r="A442" s="13" t="s">
        <v>2513</v>
      </c>
      <c r="B442" s="14" t="s">
        <v>707</v>
      </c>
      <c r="C442" s="15" t="s">
        <v>1724</v>
      </c>
      <c r="D442" s="15" t="s">
        <v>2514</v>
      </c>
      <c r="E442" s="23" t="s">
        <v>19</v>
      </c>
      <c r="F442" s="16"/>
      <c r="G442" s="16"/>
      <c r="H442" s="19" t="n">
        <f aca="false">LEN(IF(F442&lt;&gt;"",F442,D442))</f>
        <v>54</v>
      </c>
      <c r="I442" s="24" t="str">
        <f aca="false">IF(OR(H442&lt;2,H442&gt;140),"분량 확인","")</f>
        <v/>
      </c>
    </row>
    <row r="443" customFormat="false" ht="48" hidden="false" customHeight="true" outlineLevel="0" collapsed="false">
      <c r="A443" s="13" t="s">
        <v>2515</v>
      </c>
      <c r="B443" s="14" t="s">
        <v>707</v>
      </c>
      <c r="C443" s="15" t="s">
        <v>1727</v>
      </c>
      <c r="D443" s="15" t="s">
        <v>2516</v>
      </c>
      <c r="E443" s="23" t="s">
        <v>19</v>
      </c>
      <c r="F443" s="16"/>
      <c r="G443" s="16"/>
      <c r="H443" s="19" t="n">
        <f aca="false">LEN(IF(F443&lt;&gt;"",F443,D443))</f>
        <v>14</v>
      </c>
      <c r="I443" s="24" t="str">
        <f aca="false">IF(OR(H443&lt;2,H443&gt;140),"분량 확인","")</f>
        <v/>
      </c>
    </row>
    <row r="444" customFormat="false" ht="48" hidden="false" customHeight="true" outlineLevel="0" collapsed="false">
      <c r="A444" s="13" t="s">
        <v>2517</v>
      </c>
      <c r="B444" s="14" t="s">
        <v>707</v>
      </c>
      <c r="C444" s="15" t="s">
        <v>1730</v>
      </c>
      <c r="D444" s="15" t="s">
        <v>2518</v>
      </c>
      <c r="E444" s="23" t="s">
        <v>19</v>
      </c>
      <c r="F444" s="16"/>
      <c r="G444" s="16"/>
      <c r="H444" s="19" t="n">
        <f aca="false">LEN(IF(F444&lt;&gt;"",F444,D444))</f>
        <v>50</v>
      </c>
      <c r="I444" s="24" t="str">
        <f aca="false">IF(OR(H444&lt;2,H444&gt;140),"분량 확인","")</f>
        <v/>
      </c>
    </row>
    <row r="445" customFormat="false" ht="48" hidden="false" customHeight="true" outlineLevel="0" collapsed="false">
      <c r="A445" s="13" t="s">
        <v>2519</v>
      </c>
      <c r="B445" s="14" t="s">
        <v>707</v>
      </c>
      <c r="C445" s="15" t="s">
        <v>1733</v>
      </c>
      <c r="D445" s="14" t="s">
        <v>1734</v>
      </c>
      <c r="E445" s="23" t="s">
        <v>19</v>
      </c>
      <c r="F445" s="16"/>
      <c r="G445" s="16"/>
      <c r="H445" s="19" t="n">
        <f aca="false">LEN(IF(F445&lt;&gt;"",F445,D445))</f>
        <v>2</v>
      </c>
      <c r="I445" s="24" t="str">
        <f aca="false">IF(OR(H445&lt;2,H445&gt;140),"분량 확인","")</f>
        <v/>
      </c>
    </row>
    <row r="446" customFormat="false" ht="48" hidden="false" customHeight="true" outlineLevel="0" collapsed="false">
      <c r="A446" s="13" t="s">
        <v>2520</v>
      </c>
      <c r="B446" s="14" t="s">
        <v>707</v>
      </c>
      <c r="C446" s="15" t="s">
        <v>1736</v>
      </c>
      <c r="D446" s="15" t="s">
        <v>2521</v>
      </c>
      <c r="E446" s="23" t="s">
        <v>19</v>
      </c>
      <c r="F446" s="16"/>
      <c r="G446" s="16"/>
      <c r="H446" s="19" t="n">
        <f aca="false">LEN(IF(F446&lt;&gt;"",F446,D446))</f>
        <v>42</v>
      </c>
      <c r="I446" s="24" t="str">
        <f aca="false">IF(OR(H446&lt;2,H446&gt;140),"분량 확인","")</f>
        <v/>
      </c>
    </row>
    <row r="447" customFormat="false" ht="48" hidden="false" customHeight="true" outlineLevel="0" collapsed="false">
      <c r="A447" s="13" t="s">
        <v>2522</v>
      </c>
      <c r="B447" s="14" t="s">
        <v>707</v>
      </c>
      <c r="C447" s="15" t="s">
        <v>1739</v>
      </c>
      <c r="D447" s="15" t="s">
        <v>2523</v>
      </c>
      <c r="E447" s="23" t="s">
        <v>19</v>
      </c>
      <c r="F447" s="16"/>
      <c r="G447" s="16"/>
      <c r="H447" s="19" t="n">
        <f aca="false">LEN(IF(F447&lt;&gt;"",F447,D447))</f>
        <v>17</v>
      </c>
      <c r="I447" s="24" t="str">
        <f aca="false">IF(OR(H447&lt;2,H447&gt;140),"분량 확인","")</f>
        <v/>
      </c>
    </row>
    <row r="448" customFormat="false" ht="48" hidden="false" customHeight="true" outlineLevel="0" collapsed="false">
      <c r="A448" s="13" t="s">
        <v>2524</v>
      </c>
      <c r="B448" s="14" t="s">
        <v>707</v>
      </c>
      <c r="C448" s="15" t="s">
        <v>1742</v>
      </c>
      <c r="D448" s="15" t="s">
        <v>2525</v>
      </c>
      <c r="E448" s="23" t="s">
        <v>19</v>
      </c>
      <c r="F448" s="16"/>
      <c r="G448" s="16"/>
      <c r="H448" s="19" t="n">
        <f aca="false">LEN(IF(F448&lt;&gt;"",F448,D448))</f>
        <v>60</v>
      </c>
      <c r="I448" s="24" t="str">
        <f aca="false">IF(OR(H448&lt;2,H448&gt;140),"분량 확인","")</f>
        <v/>
      </c>
    </row>
    <row r="449" customFormat="false" ht="48" hidden="false" customHeight="true" outlineLevel="0" collapsed="false">
      <c r="A449" s="13" t="s">
        <v>2526</v>
      </c>
      <c r="B449" s="14" t="s">
        <v>707</v>
      </c>
      <c r="C449" s="15" t="s">
        <v>1745</v>
      </c>
      <c r="D449" s="15" t="s">
        <v>1689</v>
      </c>
      <c r="E449" s="23" t="s">
        <v>19</v>
      </c>
      <c r="F449" s="16"/>
      <c r="G449" s="16"/>
      <c r="H449" s="19" t="n">
        <f aca="false">LEN(IF(F449&lt;&gt;"",F449,D449))</f>
        <v>4</v>
      </c>
      <c r="I449" s="24" t="str">
        <f aca="false">IF(OR(H449&lt;2,H449&gt;140),"분량 확인","")</f>
        <v/>
      </c>
    </row>
    <row r="450" customFormat="false" ht="48" hidden="false" customHeight="true" outlineLevel="0" collapsed="false">
      <c r="A450" s="13" t="s">
        <v>2527</v>
      </c>
      <c r="B450" s="14" t="s">
        <v>707</v>
      </c>
      <c r="C450" s="15" t="s">
        <v>1747</v>
      </c>
      <c r="D450" s="15" t="s">
        <v>2528</v>
      </c>
      <c r="E450" s="23" t="s">
        <v>19</v>
      </c>
      <c r="F450" s="16"/>
      <c r="G450" s="16"/>
      <c r="H450" s="19" t="n">
        <f aca="false">LEN(IF(F450&lt;&gt;"",F450,D450))</f>
        <v>58</v>
      </c>
      <c r="I450" s="24" t="str">
        <f aca="false">IF(OR(H450&lt;2,H450&gt;140),"분량 확인","")</f>
        <v/>
      </c>
    </row>
    <row r="451" customFormat="false" ht="61.5" hidden="false" customHeight="true" outlineLevel="0" collapsed="false">
      <c r="A451" s="13" t="s">
        <v>2529</v>
      </c>
      <c r="B451" s="14" t="s">
        <v>707</v>
      </c>
      <c r="C451" s="15" t="s">
        <v>1750</v>
      </c>
      <c r="D451" s="15" t="s">
        <v>2530</v>
      </c>
      <c r="E451" s="23" t="s">
        <v>19</v>
      </c>
      <c r="F451" s="16"/>
      <c r="G451" s="16"/>
      <c r="H451" s="19" t="n">
        <f aca="false">LEN(IF(F451&lt;&gt;"",F451,D451))</f>
        <v>16</v>
      </c>
      <c r="I451" s="24" t="str">
        <f aca="false">IF(OR(H451&lt;2,H451&gt;140),"분량 확인","")</f>
        <v/>
      </c>
    </row>
    <row r="452" customFormat="false" ht="61.5" hidden="false" customHeight="true" outlineLevel="0" collapsed="false">
      <c r="A452" s="13" t="s">
        <v>2531</v>
      </c>
      <c r="B452" s="14" t="s">
        <v>707</v>
      </c>
      <c r="C452" s="15" t="s">
        <v>1753</v>
      </c>
      <c r="D452" s="15" t="s">
        <v>2532</v>
      </c>
      <c r="E452" s="23" t="s">
        <v>19</v>
      </c>
      <c r="F452" s="16"/>
      <c r="G452" s="16"/>
      <c r="H452" s="19" t="n">
        <f aca="false">LEN(IF(F452&lt;&gt;"",F452,D452))</f>
        <v>58</v>
      </c>
      <c r="I452" s="24" t="str">
        <f aca="false">IF(OR(H452&lt;2,H452&gt;140),"분량 확인","")</f>
        <v/>
      </c>
    </row>
    <row r="453" customFormat="false" ht="61.5" hidden="false" customHeight="true" outlineLevel="0" collapsed="false">
      <c r="A453" s="13" t="s">
        <v>2533</v>
      </c>
      <c r="B453" s="14" t="s">
        <v>707</v>
      </c>
      <c r="C453" s="15" t="s">
        <v>1756</v>
      </c>
      <c r="D453" s="15" t="s">
        <v>2534</v>
      </c>
      <c r="E453" s="23" t="s">
        <v>19</v>
      </c>
      <c r="F453" s="16"/>
      <c r="G453" s="16"/>
      <c r="H453" s="19" t="n">
        <f aca="false">LEN(IF(F453&lt;&gt;"",F453,D453))</f>
        <v>55</v>
      </c>
      <c r="I453" s="24" t="str">
        <f aca="false">IF(OR(H453&lt;2,H453&gt;140),"분량 확인","")</f>
        <v/>
      </c>
    </row>
    <row r="454" customFormat="false" ht="48" hidden="false" customHeight="true" outlineLevel="0" collapsed="false">
      <c r="A454" s="13" t="s">
        <v>2535</v>
      </c>
      <c r="B454" s="14" t="s">
        <v>707</v>
      </c>
      <c r="C454" s="15" t="s">
        <v>1759</v>
      </c>
      <c r="D454" s="15" t="s">
        <v>2536</v>
      </c>
      <c r="E454" s="23" t="s">
        <v>19</v>
      </c>
      <c r="F454" s="16"/>
      <c r="G454" s="16"/>
      <c r="H454" s="19" t="n">
        <f aca="false">LEN(IF(F454&lt;&gt;"",F454,D454))</f>
        <v>12</v>
      </c>
      <c r="I454" s="24" t="str">
        <f aca="false">IF(OR(H454&lt;2,H454&gt;140),"분량 확인","")</f>
        <v/>
      </c>
    </row>
    <row r="455" customFormat="false" ht="48" hidden="false" customHeight="true" outlineLevel="0" collapsed="false">
      <c r="A455" s="13" t="s">
        <v>2537</v>
      </c>
      <c r="B455" s="14" t="s">
        <v>707</v>
      </c>
      <c r="C455" s="15" t="s">
        <v>1762</v>
      </c>
      <c r="D455" s="15" t="s">
        <v>2538</v>
      </c>
      <c r="E455" s="23" t="s">
        <v>19</v>
      </c>
      <c r="F455" s="16"/>
      <c r="G455" s="16"/>
      <c r="H455" s="19" t="n">
        <f aca="false">LEN(IF(F455&lt;&gt;"",F455,D455))</f>
        <v>72</v>
      </c>
      <c r="I455" s="24" t="str">
        <f aca="false">IF(OR(H455&lt;2,H455&gt;140),"분량 확인","")</f>
        <v/>
      </c>
    </row>
    <row r="456" customFormat="false" ht="48" hidden="false" customHeight="true" outlineLevel="0" collapsed="false">
      <c r="A456" s="13" t="s">
        <v>2539</v>
      </c>
      <c r="B456" s="14" t="s">
        <v>707</v>
      </c>
      <c r="C456" s="15" t="s">
        <v>1765</v>
      </c>
      <c r="D456" s="14" t="s">
        <v>1710</v>
      </c>
      <c r="E456" s="23" t="s">
        <v>19</v>
      </c>
      <c r="F456" s="16"/>
      <c r="G456" s="16"/>
      <c r="H456" s="19" t="n">
        <f aca="false">LEN(IF(F456&lt;&gt;"",F456,D456))</f>
        <v>3</v>
      </c>
      <c r="I456" s="24" t="str">
        <f aca="false">IF(OR(H456&lt;2,H456&gt;140),"분량 확인","")</f>
        <v/>
      </c>
    </row>
    <row r="457" customFormat="false" ht="48" hidden="false" customHeight="true" outlineLevel="0" collapsed="false">
      <c r="A457" s="13" t="s">
        <v>2540</v>
      </c>
      <c r="B457" s="14" t="s">
        <v>707</v>
      </c>
      <c r="C457" s="15" t="s">
        <v>1768</v>
      </c>
      <c r="D457" s="15" t="s">
        <v>2541</v>
      </c>
      <c r="E457" s="23" t="s">
        <v>19</v>
      </c>
      <c r="F457" s="16"/>
      <c r="G457" s="16"/>
      <c r="H457" s="19" t="n">
        <f aca="false">LEN(IF(F457&lt;&gt;"",F457,D457))</f>
        <v>45</v>
      </c>
      <c r="I457" s="24" t="str">
        <f aca="false">IF(OR(H457&lt;2,H457&gt;140),"분량 확인","")</f>
        <v/>
      </c>
    </row>
    <row r="458" customFormat="false" ht="61.5" hidden="false" customHeight="true" outlineLevel="0" collapsed="false">
      <c r="A458" s="13" t="s">
        <v>2542</v>
      </c>
      <c r="B458" s="14" t="s">
        <v>32</v>
      </c>
      <c r="C458" s="15" t="s">
        <v>1658</v>
      </c>
      <c r="D458" s="15" t="s">
        <v>2543</v>
      </c>
      <c r="E458" s="23" t="s">
        <v>19</v>
      </c>
      <c r="F458" s="16"/>
      <c r="G458" s="16"/>
      <c r="H458" s="19" t="n">
        <f aca="false">LEN(IF(F458&lt;&gt;"",F458,D458))</f>
        <v>14</v>
      </c>
      <c r="I458" s="24" t="str">
        <f aca="false">IF(OR(H458&lt;2,H458&gt;140),"분량 확인","")</f>
        <v/>
      </c>
    </row>
    <row r="459" customFormat="false" ht="61.5" hidden="false" customHeight="true" outlineLevel="0" collapsed="false">
      <c r="A459" s="13" t="s">
        <v>2544</v>
      </c>
      <c r="B459" s="14" t="s">
        <v>32</v>
      </c>
      <c r="C459" s="15" t="s">
        <v>1661</v>
      </c>
      <c r="D459" s="15" t="s">
        <v>2545</v>
      </c>
      <c r="E459" s="23" t="s">
        <v>19</v>
      </c>
      <c r="F459" s="16"/>
      <c r="G459" s="16"/>
      <c r="H459" s="19" t="n">
        <f aca="false">LEN(IF(F459&lt;&gt;"",F459,D459))</f>
        <v>13</v>
      </c>
      <c r="I459" s="24" t="str">
        <f aca="false">IF(OR(H459&lt;2,H459&gt;140),"분량 확인","")</f>
        <v/>
      </c>
    </row>
    <row r="460" customFormat="false" ht="61.5" hidden="false" customHeight="true" outlineLevel="0" collapsed="false">
      <c r="A460" s="13" t="s">
        <v>2546</v>
      </c>
      <c r="B460" s="14" t="s">
        <v>32</v>
      </c>
      <c r="C460" s="15" t="s">
        <v>1664</v>
      </c>
      <c r="D460" s="15" t="s">
        <v>2547</v>
      </c>
      <c r="E460" s="23" t="s">
        <v>19</v>
      </c>
      <c r="F460" s="16"/>
      <c r="G460" s="16"/>
      <c r="H460" s="19" t="n">
        <f aca="false">LEN(IF(F460&lt;&gt;"",F460,D460))</f>
        <v>45</v>
      </c>
      <c r="I460" s="24" t="str">
        <f aca="false">IF(OR(H460&lt;2,H460&gt;140),"분량 확인","")</f>
        <v/>
      </c>
    </row>
    <row r="461" customFormat="false" ht="61.5" hidden="false" customHeight="true" outlineLevel="0" collapsed="false">
      <c r="A461" s="13" t="s">
        <v>2548</v>
      </c>
      <c r="B461" s="14" t="s">
        <v>32</v>
      </c>
      <c r="C461" s="15" t="s">
        <v>1667</v>
      </c>
      <c r="D461" s="15" t="s">
        <v>2549</v>
      </c>
      <c r="E461" s="23" t="s">
        <v>19</v>
      </c>
      <c r="F461" s="16"/>
      <c r="G461" s="16"/>
      <c r="H461" s="19" t="n">
        <f aca="false">LEN(IF(F461&lt;&gt;"",F461,D461))</f>
        <v>58</v>
      </c>
      <c r="I461" s="24" t="str">
        <f aca="false">IF(OR(H461&lt;2,H461&gt;140),"분량 확인","")</f>
        <v/>
      </c>
    </row>
    <row r="462" customFormat="false" ht="48" hidden="false" customHeight="true" outlineLevel="0" collapsed="false">
      <c r="A462" s="13" t="s">
        <v>2550</v>
      </c>
      <c r="B462" s="14" t="s">
        <v>32</v>
      </c>
      <c r="C462" s="15" t="s">
        <v>1670</v>
      </c>
      <c r="D462" s="15" t="s">
        <v>2551</v>
      </c>
      <c r="E462" s="23" t="s">
        <v>19</v>
      </c>
      <c r="F462" s="16"/>
      <c r="G462" s="16"/>
      <c r="H462" s="19" t="n">
        <f aca="false">LEN(IF(F462&lt;&gt;"",F462,D462))</f>
        <v>11</v>
      </c>
      <c r="I462" s="24" t="str">
        <f aca="false">IF(OR(H462&lt;2,H462&gt;140),"분량 확인","")</f>
        <v/>
      </c>
    </row>
    <row r="463" customFormat="false" ht="48" hidden="false" customHeight="true" outlineLevel="0" collapsed="false">
      <c r="A463" s="13" t="s">
        <v>2552</v>
      </c>
      <c r="B463" s="14" t="s">
        <v>32</v>
      </c>
      <c r="C463" s="15" t="s">
        <v>1673</v>
      </c>
      <c r="D463" s="15" t="s">
        <v>2553</v>
      </c>
      <c r="E463" s="23" t="s">
        <v>19</v>
      </c>
      <c r="F463" s="16"/>
      <c r="G463" s="16"/>
      <c r="H463" s="19" t="n">
        <f aca="false">LEN(IF(F463&lt;&gt;"",F463,D463))</f>
        <v>55</v>
      </c>
      <c r="I463" s="24" t="str">
        <f aca="false">IF(OR(H463&lt;2,H463&gt;140),"분량 확인","")</f>
        <v/>
      </c>
    </row>
    <row r="464" customFormat="false" ht="48" hidden="false" customHeight="true" outlineLevel="0" collapsed="false">
      <c r="A464" s="13" t="s">
        <v>2554</v>
      </c>
      <c r="B464" s="14" t="s">
        <v>32</v>
      </c>
      <c r="C464" s="15" t="s">
        <v>1676</v>
      </c>
      <c r="D464" s="14" t="s">
        <v>1677</v>
      </c>
      <c r="E464" s="23" t="s">
        <v>19</v>
      </c>
      <c r="F464" s="16"/>
      <c r="G464" s="16"/>
      <c r="H464" s="19" t="n">
        <f aca="false">LEN(IF(F464&lt;&gt;"",F464,D464))</f>
        <v>2</v>
      </c>
      <c r="I464" s="24" t="str">
        <f aca="false">IF(OR(H464&lt;2,H464&gt;140),"분량 확인","")</f>
        <v/>
      </c>
    </row>
    <row r="465" customFormat="false" ht="48" hidden="false" customHeight="true" outlineLevel="0" collapsed="false">
      <c r="A465" s="13" t="s">
        <v>2555</v>
      </c>
      <c r="B465" s="14" t="s">
        <v>32</v>
      </c>
      <c r="C465" s="15" t="s">
        <v>1679</v>
      </c>
      <c r="D465" s="15" t="s">
        <v>2556</v>
      </c>
      <c r="E465" s="23" t="s">
        <v>19</v>
      </c>
      <c r="F465" s="16"/>
      <c r="G465" s="16"/>
      <c r="H465" s="19" t="n">
        <f aca="false">LEN(IF(F465&lt;&gt;"",F465,D465))</f>
        <v>54</v>
      </c>
      <c r="I465" s="24" t="str">
        <f aca="false">IF(OR(H465&lt;2,H465&gt;140),"분량 확인","")</f>
        <v/>
      </c>
    </row>
    <row r="466" customFormat="false" ht="48" hidden="false" customHeight="true" outlineLevel="0" collapsed="false">
      <c r="A466" s="13" t="s">
        <v>2557</v>
      </c>
      <c r="B466" s="14" t="s">
        <v>32</v>
      </c>
      <c r="C466" s="15" t="s">
        <v>1682</v>
      </c>
      <c r="D466" s="15" t="s">
        <v>2558</v>
      </c>
      <c r="E466" s="23" t="s">
        <v>19</v>
      </c>
      <c r="F466" s="16"/>
      <c r="G466" s="16"/>
      <c r="H466" s="19" t="n">
        <f aca="false">LEN(IF(F466&lt;&gt;"",F466,D466))</f>
        <v>13</v>
      </c>
      <c r="I466" s="24" t="str">
        <f aca="false">IF(OR(H466&lt;2,H466&gt;140),"분량 확인","")</f>
        <v/>
      </c>
    </row>
    <row r="467" customFormat="false" ht="48" hidden="false" customHeight="true" outlineLevel="0" collapsed="false">
      <c r="A467" s="13" t="s">
        <v>2559</v>
      </c>
      <c r="B467" s="14" t="s">
        <v>32</v>
      </c>
      <c r="C467" s="15" t="s">
        <v>1685</v>
      </c>
      <c r="D467" s="15" t="s">
        <v>2560</v>
      </c>
      <c r="E467" s="23" t="s">
        <v>19</v>
      </c>
      <c r="F467" s="16"/>
      <c r="G467" s="16"/>
      <c r="H467" s="19" t="n">
        <f aca="false">LEN(IF(F467&lt;&gt;"",F467,D467))</f>
        <v>58</v>
      </c>
      <c r="I467" s="24" t="str">
        <f aca="false">IF(OR(H467&lt;2,H467&gt;140),"분량 확인","")</f>
        <v/>
      </c>
    </row>
    <row r="468" customFormat="false" ht="48" hidden="false" customHeight="true" outlineLevel="0" collapsed="false">
      <c r="A468" s="13" t="s">
        <v>2561</v>
      </c>
      <c r="B468" s="14" t="s">
        <v>32</v>
      </c>
      <c r="C468" s="15" t="s">
        <v>1688</v>
      </c>
      <c r="D468" s="15" t="s">
        <v>1689</v>
      </c>
      <c r="E468" s="23" t="s">
        <v>19</v>
      </c>
      <c r="F468" s="16"/>
      <c r="G468" s="16"/>
      <c r="H468" s="19" t="n">
        <f aca="false">LEN(IF(F468&lt;&gt;"",F468,D468))</f>
        <v>4</v>
      </c>
      <c r="I468" s="24" t="str">
        <f aca="false">IF(OR(H468&lt;2,H468&gt;140),"분량 확인","")</f>
        <v/>
      </c>
    </row>
    <row r="469" customFormat="false" ht="48" hidden="false" customHeight="true" outlineLevel="0" collapsed="false">
      <c r="A469" s="13" t="s">
        <v>2562</v>
      </c>
      <c r="B469" s="14" t="s">
        <v>32</v>
      </c>
      <c r="C469" s="15" t="s">
        <v>1691</v>
      </c>
      <c r="D469" s="15" t="s">
        <v>2563</v>
      </c>
      <c r="E469" s="23" t="s">
        <v>19</v>
      </c>
      <c r="F469" s="16"/>
      <c r="G469" s="16"/>
      <c r="H469" s="19" t="n">
        <f aca="false">LEN(IF(F469&lt;&gt;"",F469,D469))</f>
        <v>53</v>
      </c>
      <c r="I469" s="24" t="str">
        <f aca="false">IF(OR(H469&lt;2,H469&gt;140),"분량 확인","")</f>
        <v/>
      </c>
    </row>
    <row r="470" customFormat="false" ht="61.5" hidden="false" customHeight="true" outlineLevel="0" collapsed="false">
      <c r="A470" s="13" t="s">
        <v>2564</v>
      </c>
      <c r="B470" s="14" t="s">
        <v>32</v>
      </c>
      <c r="C470" s="15" t="s">
        <v>1694</v>
      </c>
      <c r="D470" s="15" t="s">
        <v>2565</v>
      </c>
      <c r="E470" s="23" t="s">
        <v>19</v>
      </c>
      <c r="F470" s="16"/>
      <c r="G470" s="16"/>
      <c r="H470" s="19" t="n">
        <f aca="false">LEN(IF(F470&lt;&gt;"",F470,D470))</f>
        <v>17</v>
      </c>
      <c r="I470" s="24" t="str">
        <f aca="false">IF(OR(H470&lt;2,H470&gt;140),"분량 확인","")</f>
        <v/>
      </c>
    </row>
    <row r="471" customFormat="false" ht="61.5" hidden="false" customHeight="true" outlineLevel="0" collapsed="false">
      <c r="A471" s="13" t="s">
        <v>2566</v>
      </c>
      <c r="B471" s="14" t="s">
        <v>32</v>
      </c>
      <c r="C471" s="15" t="s">
        <v>1697</v>
      </c>
      <c r="D471" s="15" t="s">
        <v>2567</v>
      </c>
      <c r="E471" s="23" t="s">
        <v>19</v>
      </c>
      <c r="F471" s="16"/>
      <c r="G471" s="16"/>
      <c r="H471" s="19" t="n">
        <f aca="false">LEN(IF(F471&lt;&gt;"",F471,D471))</f>
        <v>44</v>
      </c>
      <c r="I471" s="24" t="str">
        <f aca="false">IF(OR(H471&lt;2,H471&gt;140),"분량 확인","")</f>
        <v/>
      </c>
    </row>
    <row r="472" customFormat="false" ht="61.5" hidden="false" customHeight="true" outlineLevel="0" collapsed="false">
      <c r="A472" s="13" t="s">
        <v>2568</v>
      </c>
      <c r="B472" s="14" t="s">
        <v>32</v>
      </c>
      <c r="C472" s="15" t="s">
        <v>1700</v>
      </c>
      <c r="D472" s="15" t="s">
        <v>2569</v>
      </c>
      <c r="E472" s="23" t="s">
        <v>19</v>
      </c>
      <c r="F472" s="16"/>
      <c r="G472" s="16"/>
      <c r="H472" s="19" t="n">
        <f aca="false">LEN(IF(F472&lt;&gt;"",F472,D472))</f>
        <v>62</v>
      </c>
      <c r="I472" s="24" t="str">
        <f aca="false">IF(OR(H472&lt;2,H472&gt;140),"분량 확인","")</f>
        <v/>
      </c>
    </row>
    <row r="473" customFormat="false" ht="48" hidden="false" customHeight="true" outlineLevel="0" collapsed="false">
      <c r="A473" s="13" t="s">
        <v>2570</v>
      </c>
      <c r="B473" s="14" t="s">
        <v>32</v>
      </c>
      <c r="C473" s="15" t="s">
        <v>1703</v>
      </c>
      <c r="D473" s="15" t="s">
        <v>2571</v>
      </c>
      <c r="E473" s="23" t="s">
        <v>19</v>
      </c>
      <c r="F473" s="16"/>
      <c r="G473" s="16"/>
      <c r="H473" s="19" t="n">
        <f aca="false">LEN(IF(F473&lt;&gt;"",F473,D473))</f>
        <v>16</v>
      </c>
      <c r="I473" s="24" t="str">
        <f aca="false">IF(OR(H473&lt;2,H473&gt;140),"분량 확인","")</f>
        <v/>
      </c>
    </row>
    <row r="474" customFormat="false" ht="48" hidden="false" customHeight="true" outlineLevel="0" collapsed="false">
      <c r="A474" s="13" t="s">
        <v>2572</v>
      </c>
      <c r="B474" s="14" t="s">
        <v>32</v>
      </c>
      <c r="C474" s="15" t="s">
        <v>1706</v>
      </c>
      <c r="D474" s="15" t="s">
        <v>2573</v>
      </c>
      <c r="E474" s="23" t="s">
        <v>19</v>
      </c>
      <c r="F474" s="16"/>
      <c r="G474" s="16"/>
      <c r="H474" s="19" t="n">
        <f aca="false">LEN(IF(F474&lt;&gt;"",F474,D474))</f>
        <v>57</v>
      </c>
      <c r="I474" s="24" t="str">
        <f aca="false">IF(OR(H474&lt;2,H474&gt;140),"분량 확인","")</f>
        <v/>
      </c>
    </row>
    <row r="475" customFormat="false" ht="48" hidden="false" customHeight="true" outlineLevel="0" collapsed="false">
      <c r="A475" s="13" t="s">
        <v>2574</v>
      </c>
      <c r="B475" s="14" t="s">
        <v>32</v>
      </c>
      <c r="C475" s="15" t="s">
        <v>1709</v>
      </c>
      <c r="D475" s="14" t="s">
        <v>1710</v>
      </c>
      <c r="E475" s="23" t="s">
        <v>19</v>
      </c>
      <c r="F475" s="16"/>
      <c r="G475" s="16"/>
      <c r="H475" s="19" t="n">
        <f aca="false">LEN(IF(F475&lt;&gt;"",F475,D475))</f>
        <v>3</v>
      </c>
      <c r="I475" s="24" t="str">
        <f aca="false">IF(OR(H475&lt;2,H475&gt;140),"분량 확인","")</f>
        <v/>
      </c>
    </row>
    <row r="476" customFormat="false" ht="48" hidden="false" customHeight="true" outlineLevel="0" collapsed="false">
      <c r="A476" s="13" t="s">
        <v>2575</v>
      </c>
      <c r="B476" s="14" t="s">
        <v>32</v>
      </c>
      <c r="C476" s="15" t="s">
        <v>1712</v>
      </c>
      <c r="D476" s="15" t="s">
        <v>2576</v>
      </c>
      <c r="E476" s="23" t="s">
        <v>19</v>
      </c>
      <c r="F476" s="16"/>
      <c r="G476" s="16"/>
      <c r="H476" s="19" t="n">
        <f aca="false">LEN(IF(F476&lt;&gt;"",F476,D476))</f>
        <v>50</v>
      </c>
      <c r="I476" s="24" t="str">
        <f aca="false">IF(OR(H476&lt;2,H476&gt;140),"분량 확인","")</f>
        <v/>
      </c>
    </row>
    <row r="477" customFormat="false" ht="61.5" hidden="false" customHeight="true" outlineLevel="0" collapsed="false">
      <c r="A477" s="13" t="s">
        <v>2577</v>
      </c>
      <c r="B477" s="14" t="s">
        <v>32</v>
      </c>
      <c r="C477" s="15" t="s">
        <v>1715</v>
      </c>
      <c r="D477" s="15" t="s">
        <v>2578</v>
      </c>
      <c r="E477" s="23" t="s">
        <v>19</v>
      </c>
      <c r="F477" s="16"/>
      <c r="G477" s="16"/>
      <c r="H477" s="19" t="n">
        <f aca="false">LEN(IF(F477&lt;&gt;"",F477,D477))</f>
        <v>12</v>
      </c>
      <c r="I477" s="24" t="str">
        <f aca="false">IF(OR(H477&lt;2,H477&gt;140),"분량 확인","")</f>
        <v/>
      </c>
    </row>
    <row r="478" customFormat="false" ht="61.5" hidden="false" customHeight="true" outlineLevel="0" collapsed="false">
      <c r="A478" s="13" t="s">
        <v>2579</v>
      </c>
      <c r="B478" s="14" t="s">
        <v>32</v>
      </c>
      <c r="C478" s="15" t="s">
        <v>1718</v>
      </c>
      <c r="D478" s="15" t="s">
        <v>2580</v>
      </c>
      <c r="E478" s="23" t="s">
        <v>19</v>
      </c>
      <c r="F478" s="16"/>
      <c r="G478" s="16"/>
      <c r="H478" s="19" t="n">
        <f aca="false">LEN(IF(F478&lt;&gt;"",F478,D478))</f>
        <v>16</v>
      </c>
      <c r="I478" s="24" t="str">
        <f aca="false">IF(OR(H478&lt;2,H478&gt;140),"분량 확인","")</f>
        <v/>
      </c>
    </row>
    <row r="479" customFormat="false" ht="61.5" hidden="false" customHeight="true" outlineLevel="0" collapsed="false">
      <c r="A479" s="13" t="s">
        <v>2581</v>
      </c>
      <c r="B479" s="14" t="s">
        <v>32</v>
      </c>
      <c r="C479" s="15" t="s">
        <v>1721</v>
      </c>
      <c r="D479" s="15" t="s">
        <v>2582</v>
      </c>
      <c r="E479" s="23" t="s">
        <v>19</v>
      </c>
      <c r="F479" s="16"/>
      <c r="G479" s="16"/>
      <c r="H479" s="19" t="n">
        <f aca="false">LEN(IF(F479&lt;&gt;"",F479,D479))</f>
        <v>58</v>
      </c>
      <c r="I479" s="24" t="str">
        <f aca="false">IF(OR(H479&lt;2,H479&gt;140),"분량 확인","")</f>
        <v/>
      </c>
    </row>
    <row r="480" customFormat="false" ht="61.5" hidden="false" customHeight="true" outlineLevel="0" collapsed="false">
      <c r="A480" s="13" t="s">
        <v>2583</v>
      </c>
      <c r="B480" s="14" t="s">
        <v>32</v>
      </c>
      <c r="C480" s="15" t="s">
        <v>1724</v>
      </c>
      <c r="D480" s="15" t="s">
        <v>2584</v>
      </c>
      <c r="E480" s="23" t="s">
        <v>19</v>
      </c>
      <c r="F480" s="16"/>
      <c r="G480" s="16"/>
      <c r="H480" s="19" t="n">
        <f aca="false">LEN(IF(F480&lt;&gt;"",F480,D480))</f>
        <v>56</v>
      </c>
      <c r="I480" s="24" t="str">
        <f aca="false">IF(OR(H480&lt;2,H480&gt;140),"분량 확인","")</f>
        <v/>
      </c>
    </row>
    <row r="481" customFormat="false" ht="48" hidden="false" customHeight="true" outlineLevel="0" collapsed="false">
      <c r="A481" s="13" t="s">
        <v>2585</v>
      </c>
      <c r="B481" s="14" t="s">
        <v>32</v>
      </c>
      <c r="C481" s="15" t="s">
        <v>1727</v>
      </c>
      <c r="D481" s="15" t="s">
        <v>2586</v>
      </c>
      <c r="E481" s="23" t="s">
        <v>19</v>
      </c>
      <c r="F481" s="16"/>
      <c r="G481" s="16"/>
      <c r="H481" s="19" t="n">
        <f aca="false">LEN(IF(F481&lt;&gt;"",F481,D481))</f>
        <v>11</v>
      </c>
      <c r="I481" s="24" t="str">
        <f aca="false">IF(OR(H481&lt;2,H481&gt;140),"분량 확인","")</f>
        <v/>
      </c>
    </row>
    <row r="482" customFormat="false" ht="48" hidden="false" customHeight="true" outlineLevel="0" collapsed="false">
      <c r="A482" s="13" t="s">
        <v>2587</v>
      </c>
      <c r="B482" s="14" t="s">
        <v>32</v>
      </c>
      <c r="C482" s="15" t="s">
        <v>1730</v>
      </c>
      <c r="D482" s="15" t="s">
        <v>2588</v>
      </c>
      <c r="E482" s="23" t="s">
        <v>19</v>
      </c>
      <c r="F482" s="16"/>
      <c r="G482" s="16"/>
      <c r="H482" s="19" t="n">
        <f aca="false">LEN(IF(F482&lt;&gt;"",F482,D482))</f>
        <v>53</v>
      </c>
      <c r="I482" s="24" t="str">
        <f aca="false">IF(OR(H482&lt;2,H482&gt;140),"분량 확인","")</f>
        <v/>
      </c>
    </row>
    <row r="483" customFormat="false" ht="48" hidden="false" customHeight="true" outlineLevel="0" collapsed="false">
      <c r="A483" s="13" t="s">
        <v>2589</v>
      </c>
      <c r="B483" s="14" t="s">
        <v>32</v>
      </c>
      <c r="C483" s="15" t="s">
        <v>1733</v>
      </c>
      <c r="D483" s="14" t="s">
        <v>1783</v>
      </c>
      <c r="E483" s="23" t="s">
        <v>19</v>
      </c>
      <c r="F483" s="16"/>
      <c r="G483" s="16"/>
      <c r="H483" s="19" t="n">
        <f aca="false">LEN(IF(F483&lt;&gt;"",F483,D483))</f>
        <v>2</v>
      </c>
      <c r="I483" s="24" t="str">
        <f aca="false">IF(OR(H483&lt;2,H483&gt;140),"분량 확인","")</f>
        <v/>
      </c>
    </row>
    <row r="484" customFormat="false" ht="48" hidden="false" customHeight="true" outlineLevel="0" collapsed="false">
      <c r="A484" s="13" t="s">
        <v>2590</v>
      </c>
      <c r="B484" s="14" t="s">
        <v>32</v>
      </c>
      <c r="C484" s="15" t="s">
        <v>1736</v>
      </c>
      <c r="D484" s="15" t="s">
        <v>2591</v>
      </c>
      <c r="E484" s="23" t="s">
        <v>19</v>
      </c>
      <c r="F484" s="16"/>
      <c r="G484" s="16"/>
      <c r="H484" s="19" t="n">
        <f aca="false">LEN(IF(F484&lt;&gt;"",F484,D484))</f>
        <v>45</v>
      </c>
      <c r="I484" s="24" t="str">
        <f aca="false">IF(OR(H484&lt;2,H484&gt;140),"분량 확인","")</f>
        <v/>
      </c>
    </row>
    <row r="485" customFormat="false" ht="48" hidden="false" customHeight="true" outlineLevel="0" collapsed="false">
      <c r="A485" s="13" t="s">
        <v>2592</v>
      </c>
      <c r="B485" s="14" t="s">
        <v>32</v>
      </c>
      <c r="C485" s="15" t="s">
        <v>1739</v>
      </c>
      <c r="D485" s="15" t="s">
        <v>2593</v>
      </c>
      <c r="E485" s="23" t="s">
        <v>19</v>
      </c>
      <c r="F485" s="16"/>
      <c r="G485" s="16"/>
      <c r="H485" s="19" t="n">
        <f aca="false">LEN(IF(F485&lt;&gt;"",F485,D485))</f>
        <v>14</v>
      </c>
      <c r="I485" s="24" t="str">
        <f aca="false">IF(OR(H485&lt;2,H485&gt;140),"분량 확인","")</f>
        <v/>
      </c>
    </row>
    <row r="486" customFormat="false" ht="48" hidden="false" customHeight="true" outlineLevel="0" collapsed="false">
      <c r="A486" s="13" t="s">
        <v>2594</v>
      </c>
      <c r="B486" s="14" t="s">
        <v>32</v>
      </c>
      <c r="C486" s="15" t="s">
        <v>1742</v>
      </c>
      <c r="D486" s="15" t="s">
        <v>2595</v>
      </c>
      <c r="E486" s="23" t="s">
        <v>19</v>
      </c>
      <c r="F486" s="16"/>
      <c r="G486" s="16"/>
      <c r="H486" s="19" t="n">
        <f aca="false">LEN(IF(F486&lt;&gt;"",F486,D486))</f>
        <v>60</v>
      </c>
      <c r="I486" s="24" t="str">
        <f aca="false">IF(OR(H486&lt;2,H486&gt;140),"분량 확인","")</f>
        <v/>
      </c>
    </row>
    <row r="487" customFormat="false" ht="48" hidden="false" customHeight="true" outlineLevel="0" collapsed="false">
      <c r="A487" s="13" t="s">
        <v>2596</v>
      </c>
      <c r="B487" s="14" t="s">
        <v>32</v>
      </c>
      <c r="C487" s="15" t="s">
        <v>1745</v>
      </c>
      <c r="D487" s="15" t="s">
        <v>1689</v>
      </c>
      <c r="E487" s="23" t="s">
        <v>19</v>
      </c>
      <c r="F487" s="16"/>
      <c r="G487" s="16"/>
      <c r="H487" s="19" t="n">
        <f aca="false">LEN(IF(F487&lt;&gt;"",F487,D487))</f>
        <v>4</v>
      </c>
      <c r="I487" s="24" t="str">
        <f aca="false">IF(OR(H487&lt;2,H487&gt;140),"분량 확인","")</f>
        <v/>
      </c>
    </row>
    <row r="488" customFormat="false" ht="48" hidden="false" customHeight="true" outlineLevel="0" collapsed="false">
      <c r="A488" s="13" t="s">
        <v>2597</v>
      </c>
      <c r="B488" s="14" t="s">
        <v>32</v>
      </c>
      <c r="C488" s="15" t="s">
        <v>1747</v>
      </c>
      <c r="D488" s="15" t="s">
        <v>2598</v>
      </c>
      <c r="E488" s="23" t="s">
        <v>19</v>
      </c>
      <c r="F488" s="16"/>
      <c r="G488" s="16"/>
      <c r="H488" s="19" t="n">
        <f aca="false">LEN(IF(F488&lt;&gt;"",F488,D488))</f>
        <v>42</v>
      </c>
      <c r="I488" s="24" t="str">
        <f aca="false">IF(OR(H488&lt;2,H488&gt;140),"분량 확인","")</f>
        <v/>
      </c>
    </row>
    <row r="489" customFormat="false" ht="61.5" hidden="false" customHeight="true" outlineLevel="0" collapsed="false">
      <c r="A489" s="13" t="s">
        <v>2599</v>
      </c>
      <c r="B489" s="14" t="s">
        <v>32</v>
      </c>
      <c r="C489" s="15" t="s">
        <v>1750</v>
      </c>
      <c r="D489" s="15" t="s">
        <v>2600</v>
      </c>
      <c r="E489" s="23" t="s">
        <v>19</v>
      </c>
      <c r="F489" s="16"/>
      <c r="G489" s="16"/>
      <c r="H489" s="19" t="n">
        <f aca="false">LEN(IF(F489&lt;&gt;"",F489,D489))</f>
        <v>12</v>
      </c>
      <c r="I489" s="24" t="str">
        <f aca="false">IF(OR(H489&lt;2,H489&gt;140),"분량 확인","")</f>
        <v/>
      </c>
    </row>
    <row r="490" customFormat="false" ht="61.5" hidden="false" customHeight="true" outlineLevel="0" collapsed="false">
      <c r="A490" s="13" t="s">
        <v>2601</v>
      </c>
      <c r="B490" s="14" t="s">
        <v>32</v>
      </c>
      <c r="C490" s="15" t="s">
        <v>1753</v>
      </c>
      <c r="D490" s="14" t="s">
        <v>2602</v>
      </c>
      <c r="E490" s="23" t="s">
        <v>19</v>
      </c>
      <c r="F490" s="16"/>
      <c r="G490" s="16"/>
      <c r="H490" s="19" t="n">
        <f aca="false">LEN(IF(F490&lt;&gt;"",F490,D490))</f>
        <v>61</v>
      </c>
      <c r="I490" s="24" t="str">
        <f aca="false">IF(OR(H490&lt;2,H490&gt;140),"분량 확인","")</f>
        <v/>
      </c>
    </row>
    <row r="491" customFormat="false" ht="61.5" hidden="false" customHeight="true" outlineLevel="0" collapsed="false">
      <c r="A491" s="13" t="s">
        <v>2603</v>
      </c>
      <c r="B491" s="14" t="s">
        <v>32</v>
      </c>
      <c r="C491" s="15" t="s">
        <v>1756</v>
      </c>
      <c r="D491" s="15" t="s">
        <v>2604</v>
      </c>
      <c r="E491" s="23" t="s">
        <v>19</v>
      </c>
      <c r="F491" s="16"/>
      <c r="G491" s="16"/>
      <c r="H491" s="19" t="n">
        <f aca="false">LEN(IF(F491&lt;&gt;"",F491,D491))</f>
        <v>61</v>
      </c>
      <c r="I491" s="24" t="str">
        <f aca="false">IF(OR(H491&lt;2,H491&gt;140),"분량 확인","")</f>
        <v/>
      </c>
    </row>
    <row r="492" customFormat="false" ht="48" hidden="false" customHeight="true" outlineLevel="0" collapsed="false">
      <c r="A492" s="13" t="s">
        <v>2605</v>
      </c>
      <c r="B492" s="14" t="s">
        <v>32</v>
      </c>
      <c r="C492" s="15" t="s">
        <v>1759</v>
      </c>
      <c r="D492" s="14" t="s">
        <v>2606</v>
      </c>
      <c r="E492" s="23" t="s">
        <v>19</v>
      </c>
      <c r="F492" s="16"/>
      <c r="G492" s="16"/>
      <c r="H492" s="19" t="n">
        <f aca="false">LEN(IF(F492&lt;&gt;"",F492,D492))</f>
        <v>18</v>
      </c>
      <c r="I492" s="24" t="str">
        <f aca="false">IF(OR(H492&lt;2,H492&gt;140),"분량 확인","")</f>
        <v/>
      </c>
    </row>
    <row r="493" customFormat="false" ht="48" hidden="false" customHeight="true" outlineLevel="0" collapsed="false">
      <c r="A493" s="13" t="s">
        <v>2607</v>
      </c>
      <c r="B493" s="14" t="s">
        <v>32</v>
      </c>
      <c r="C493" s="15" t="s">
        <v>1762</v>
      </c>
      <c r="D493" s="14" t="s">
        <v>2608</v>
      </c>
      <c r="E493" s="23" t="s">
        <v>19</v>
      </c>
      <c r="F493" s="16"/>
      <c r="G493" s="16"/>
      <c r="H493" s="19" t="n">
        <f aca="false">LEN(IF(F493&lt;&gt;"",F493,D493))</f>
        <v>61</v>
      </c>
      <c r="I493" s="24" t="str">
        <f aca="false">IF(OR(H493&lt;2,H493&gt;140),"분량 확인","")</f>
        <v/>
      </c>
    </row>
    <row r="494" customFormat="false" ht="48" hidden="false" customHeight="true" outlineLevel="0" collapsed="false">
      <c r="A494" s="13" t="s">
        <v>2609</v>
      </c>
      <c r="B494" s="14" t="s">
        <v>32</v>
      </c>
      <c r="C494" s="15" t="s">
        <v>1765</v>
      </c>
      <c r="D494" s="14" t="s">
        <v>1710</v>
      </c>
      <c r="E494" s="23" t="s">
        <v>19</v>
      </c>
      <c r="F494" s="16"/>
      <c r="G494" s="16"/>
      <c r="H494" s="19" t="n">
        <f aca="false">LEN(IF(F494&lt;&gt;"",F494,D494))</f>
        <v>3</v>
      </c>
      <c r="I494" s="24" t="str">
        <f aca="false">IF(OR(H494&lt;2,H494&gt;140),"분량 확인","")</f>
        <v/>
      </c>
    </row>
    <row r="495" customFormat="false" ht="48" hidden="false" customHeight="true" outlineLevel="0" collapsed="false">
      <c r="A495" s="13" t="s">
        <v>2610</v>
      </c>
      <c r="B495" s="14" t="s">
        <v>32</v>
      </c>
      <c r="C495" s="15" t="s">
        <v>1768</v>
      </c>
      <c r="D495" s="15" t="s">
        <v>2611</v>
      </c>
      <c r="E495" s="23" t="s">
        <v>19</v>
      </c>
      <c r="F495" s="16"/>
      <c r="G495" s="16"/>
      <c r="H495" s="19" t="n">
        <f aca="false">LEN(IF(F495&lt;&gt;"",F495,D495))</f>
        <v>48</v>
      </c>
      <c r="I495" s="24" t="str">
        <f aca="false">IF(OR(H495&lt;2,H495&gt;140),"분량 확인","")</f>
        <v/>
      </c>
    </row>
    <row r="496" customFormat="false" ht="61.5" hidden="false" customHeight="true" outlineLevel="0" collapsed="false">
      <c r="A496" s="13" t="s">
        <v>2612</v>
      </c>
      <c r="B496" s="14" t="s">
        <v>732</v>
      </c>
      <c r="C496" s="15" t="s">
        <v>1658</v>
      </c>
      <c r="D496" s="15" t="s">
        <v>2613</v>
      </c>
      <c r="E496" s="23" t="s">
        <v>19</v>
      </c>
      <c r="F496" s="16"/>
      <c r="G496" s="16"/>
      <c r="H496" s="19" t="n">
        <f aca="false">LEN(IF(F496&lt;&gt;"",F496,D496))</f>
        <v>11</v>
      </c>
      <c r="I496" s="24" t="str">
        <f aca="false">IF(OR(H496&lt;2,H496&gt;140),"분량 확인","")</f>
        <v/>
      </c>
    </row>
    <row r="497" customFormat="false" ht="61.5" hidden="false" customHeight="true" outlineLevel="0" collapsed="false">
      <c r="A497" s="13" t="s">
        <v>2614</v>
      </c>
      <c r="B497" s="14" t="s">
        <v>732</v>
      </c>
      <c r="C497" s="15" t="s">
        <v>1661</v>
      </c>
      <c r="D497" s="15" t="s">
        <v>2615</v>
      </c>
      <c r="E497" s="23" t="s">
        <v>19</v>
      </c>
      <c r="F497" s="16"/>
      <c r="G497" s="16"/>
      <c r="H497" s="19" t="n">
        <f aca="false">LEN(IF(F497&lt;&gt;"",F497,D497))</f>
        <v>19</v>
      </c>
      <c r="I497" s="24" t="str">
        <f aca="false">IF(OR(H497&lt;2,H497&gt;140),"분량 확인","")</f>
        <v/>
      </c>
    </row>
    <row r="498" customFormat="false" ht="61.5" hidden="false" customHeight="true" outlineLevel="0" collapsed="false">
      <c r="A498" s="13" t="s">
        <v>2616</v>
      </c>
      <c r="B498" s="14" t="s">
        <v>732</v>
      </c>
      <c r="C498" s="15" t="s">
        <v>1664</v>
      </c>
      <c r="D498" s="15" t="s">
        <v>2617</v>
      </c>
      <c r="E498" s="23" t="s">
        <v>19</v>
      </c>
      <c r="F498" s="16"/>
      <c r="G498" s="16"/>
      <c r="H498" s="19" t="n">
        <f aca="false">LEN(IF(F498&lt;&gt;"",F498,D498))</f>
        <v>54</v>
      </c>
      <c r="I498" s="24" t="str">
        <f aca="false">IF(OR(H498&lt;2,H498&gt;140),"분량 확인","")</f>
        <v/>
      </c>
    </row>
    <row r="499" customFormat="false" ht="61.5" hidden="false" customHeight="true" outlineLevel="0" collapsed="false">
      <c r="A499" s="13" t="s">
        <v>2618</v>
      </c>
      <c r="B499" s="14" t="s">
        <v>732</v>
      </c>
      <c r="C499" s="15" t="s">
        <v>1667</v>
      </c>
      <c r="D499" s="15" t="s">
        <v>2619</v>
      </c>
      <c r="E499" s="23" t="s">
        <v>19</v>
      </c>
      <c r="F499" s="16"/>
      <c r="G499" s="16"/>
      <c r="H499" s="19" t="n">
        <f aca="false">LEN(IF(F499&lt;&gt;"",F499,D499))</f>
        <v>66</v>
      </c>
      <c r="I499" s="24" t="str">
        <f aca="false">IF(OR(H499&lt;2,H499&gt;140),"분량 확인","")</f>
        <v/>
      </c>
    </row>
    <row r="500" customFormat="false" ht="48" hidden="false" customHeight="true" outlineLevel="0" collapsed="false">
      <c r="A500" s="13" t="s">
        <v>2620</v>
      </c>
      <c r="B500" s="14" t="s">
        <v>732</v>
      </c>
      <c r="C500" s="15" t="s">
        <v>1670</v>
      </c>
      <c r="D500" s="15" t="s">
        <v>2621</v>
      </c>
      <c r="E500" s="23" t="s">
        <v>19</v>
      </c>
      <c r="F500" s="16"/>
      <c r="G500" s="16"/>
      <c r="H500" s="19" t="n">
        <f aca="false">LEN(IF(F500&lt;&gt;"",F500,D500))</f>
        <v>11</v>
      </c>
      <c r="I500" s="24" t="str">
        <f aca="false">IF(OR(H500&lt;2,H500&gt;140),"분량 확인","")</f>
        <v/>
      </c>
    </row>
    <row r="501" customFormat="false" ht="48" hidden="false" customHeight="true" outlineLevel="0" collapsed="false">
      <c r="A501" s="13" t="s">
        <v>2622</v>
      </c>
      <c r="B501" s="14" t="s">
        <v>732</v>
      </c>
      <c r="C501" s="15" t="s">
        <v>1673</v>
      </c>
      <c r="D501" s="15" t="s">
        <v>2623</v>
      </c>
      <c r="E501" s="23" t="s">
        <v>19</v>
      </c>
      <c r="F501" s="16"/>
      <c r="G501" s="16"/>
      <c r="H501" s="19" t="n">
        <f aca="false">LEN(IF(F501&lt;&gt;"",F501,D501))</f>
        <v>57</v>
      </c>
      <c r="I501" s="24" t="str">
        <f aca="false">IF(OR(H501&lt;2,H501&gt;140),"분량 확인","")</f>
        <v/>
      </c>
    </row>
    <row r="502" customFormat="false" ht="48" hidden="false" customHeight="true" outlineLevel="0" collapsed="false">
      <c r="A502" s="13" t="s">
        <v>2624</v>
      </c>
      <c r="B502" s="14" t="s">
        <v>732</v>
      </c>
      <c r="C502" s="15" t="s">
        <v>1676</v>
      </c>
      <c r="D502" s="14" t="s">
        <v>1677</v>
      </c>
      <c r="E502" s="23" t="s">
        <v>19</v>
      </c>
      <c r="F502" s="16"/>
      <c r="G502" s="16"/>
      <c r="H502" s="19" t="n">
        <f aca="false">LEN(IF(F502&lt;&gt;"",F502,D502))</f>
        <v>2</v>
      </c>
      <c r="I502" s="24" t="str">
        <f aca="false">IF(OR(H502&lt;2,H502&gt;140),"분량 확인","")</f>
        <v/>
      </c>
    </row>
    <row r="503" customFormat="false" ht="48" hidden="false" customHeight="true" outlineLevel="0" collapsed="false">
      <c r="A503" s="13" t="s">
        <v>2625</v>
      </c>
      <c r="B503" s="14" t="s">
        <v>732</v>
      </c>
      <c r="C503" s="15" t="s">
        <v>1679</v>
      </c>
      <c r="D503" s="15" t="s">
        <v>2626</v>
      </c>
      <c r="E503" s="23" t="s">
        <v>19</v>
      </c>
      <c r="F503" s="16"/>
      <c r="G503" s="16"/>
      <c r="H503" s="19" t="n">
        <f aca="false">LEN(IF(F503&lt;&gt;"",F503,D503))</f>
        <v>45</v>
      </c>
      <c r="I503" s="24" t="str">
        <f aca="false">IF(OR(H503&lt;2,H503&gt;140),"분량 확인","")</f>
        <v/>
      </c>
    </row>
    <row r="504" customFormat="false" ht="48" hidden="false" customHeight="true" outlineLevel="0" collapsed="false">
      <c r="A504" s="13" t="s">
        <v>2627</v>
      </c>
      <c r="B504" s="14" t="s">
        <v>732</v>
      </c>
      <c r="C504" s="15" t="s">
        <v>1682</v>
      </c>
      <c r="D504" s="15" t="s">
        <v>2628</v>
      </c>
      <c r="E504" s="23" t="s">
        <v>19</v>
      </c>
      <c r="F504" s="16"/>
      <c r="G504" s="16"/>
      <c r="H504" s="19" t="n">
        <f aca="false">LEN(IF(F504&lt;&gt;"",F504,D504))</f>
        <v>13</v>
      </c>
      <c r="I504" s="24" t="str">
        <f aca="false">IF(OR(H504&lt;2,H504&gt;140),"분량 확인","")</f>
        <v/>
      </c>
    </row>
    <row r="505" customFormat="false" ht="48" hidden="false" customHeight="true" outlineLevel="0" collapsed="false">
      <c r="A505" s="13" t="s">
        <v>2629</v>
      </c>
      <c r="B505" s="14" t="s">
        <v>732</v>
      </c>
      <c r="C505" s="15" t="s">
        <v>1685</v>
      </c>
      <c r="D505" s="15" t="s">
        <v>2630</v>
      </c>
      <c r="E505" s="23" t="s">
        <v>19</v>
      </c>
      <c r="F505" s="16"/>
      <c r="G505" s="16"/>
      <c r="H505" s="19" t="n">
        <f aca="false">LEN(IF(F505&lt;&gt;"",F505,D505))</f>
        <v>56</v>
      </c>
      <c r="I505" s="24" t="str">
        <f aca="false">IF(OR(H505&lt;2,H505&gt;140),"분량 확인","")</f>
        <v/>
      </c>
    </row>
    <row r="506" customFormat="false" ht="48" hidden="false" customHeight="true" outlineLevel="0" collapsed="false">
      <c r="A506" s="13" t="s">
        <v>2631</v>
      </c>
      <c r="B506" s="14" t="s">
        <v>732</v>
      </c>
      <c r="C506" s="15" t="s">
        <v>1688</v>
      </c>
      <c r="D506" s="15" t="s">
        <v>1689</v>
      </c>
      <c r="E506" s="23" t="s">
        <v>19</v>
      </c>
      <c r="F506" s="16"/>
      <c r="G506" s="16"/>
      <c r="H506" s="19" t="n">
        <f aca="false">LEN(IF(F506&lt;&gt;"",F506,D506))</f>
        <v>4</v>
      </c>
      <c r="I506" s="24" t="str">
        <f aca="false">IF(OR(H506&lt;2,H506&gt;140),"분량 확인","")</f>
        <v/>
      </c>
    </row>
    <row r="507" customFormat="false" ht="48" hidden="false" customHeight="true" outlineLevel="0" collapsed="false">
      <c r="A507" s="13" t="s">
        <v>2632</v>
      </c>
      <c r="B507" s="14" t="s">
        <v>732</v>
      </c>
      <c r="C507" s="15" t="s">
        <v>1691</v>
      </c>
      <c r="D507" s="15" t="s">
        <v>2633</v>
      </c>
      <c r="E507" s="23" t="s">
        <v>19</v>
      </c>
      <c r="F507" s="16"/>
      <c r="G507" s="16"/>
      <c r="H507" s="19" t="n">
        <f aca="false">LEN(IF(F507&lt;&gt;"",F507,D507))</f>
        <v>37</v>
      </c>
      <c r="I507" s="24" t="str">
        <f aca="false">IF(OR(H507&lt;2,H507&gt;140),"분량 확인","")</f>
        <v/>
      </c>
    </row>
    <row r="508" customFormat="false" ht="61.5" hidden="false" customHeight="true" outlineLevel="0" collapsed="false">
      <c r="A508" s="13" t="s">
        <v>2634</v>
      </c>
      <c r="B508" s="14" t="s">
        <v>732</v>
      </c>
      <c r="C508" s="15" t="s">
        <v>1694</v>
      </c>
      <c r="D508" s="15" t="s">
        <v>2635</v>
      </c>
      <c r="E508" s="23" t="s">
        <v>19</v>
      </c>
      <c r="F508" s="16"/>
      <c r="G508" s="16"/>
      <c r="H508" s="19" t="n">
        <f aca="false">LEN(IF(F508&lt;&gt;"",F508,D508))</f>
        <v>14</v>
      </c>
      <c r="I508" s="24" t="str">
        <f aca="false">IF(OR(H508&lt;2,H508&gt;140),"분량 확인","")</f>
        <v/>
      </c>
    </row>
    <row r="509" customFormat="false" ht="61.5" hidden="false" customHeight="true" outlineLevel="0" collapsed="false">
      <c r="A509" s="13" t="s">
        <v>2636</v>
      </c>
      <c r="B509" s="14" t="s">
        <v>732</v>
      </c>
      <c r="C509" s="15" t="s">
        <v>1697</v>
      </c>
      <c r="D509" s="15" t="s">
        <v>2637</v>
      </c>
      <c r="E509" s="23" t="s">
        <v>19</v>
      </c>
      <c r="F509" s="16"/>
      <c r="G509" s="16"/>
      <c r="H509" s="19" t="n">
        <f aca="false">LEN(IF(F509&lt;&gt;"",F509,D509))</f>
        <v>40</v>
      </c>
      <c r="I509" s="24" t="str">
        <f aca="false">IF(OR(H509&lt;2,H509&gt;140),"분량 확인","")</f>
        <v/>
      </c>
    </row>
    <row r="510" customFormat="false" ht="61.5" hidden="false" customHeight="true" outlineLevel="0" collapsed="false">
      <c r="A510" s="13" t="s">
        <v>2638</v>
      </c>
      <c r="B510" s="14" t="s">
        <v>732</v>
      </c>
      <c r="C510" s="15" t="s">
        <v>1700</v>
      </c>
      <c r="D510" s="15" t="s">
        <v>2639</v>
      </c>
      <c r="E510" s="23" t="s">
        <v>19</v>
      </c>
      <c r="F510" s="16"/>
      <c r="G510" s="16"/>
      <c r="H510" s="19" t="n">
        <f aca="false">LEN(IF(F510&lt;&gt;"",F510,D510))</f>
        <v>61</v>
      </c>
      <c r="I510" s="24" t="str">
        <f aca="false">IF(OR(H510&lt;2,H510&gt;140),"분량 확인","")</f>
        <v/>
      </c>
    </row>
    <row r="511" customFormat="false" ht="48" hidden="false" customHeight="true" outlineLevel="0" collapsed="false">
      <c r="A511" s="13" t="s">
        <v>2640</v>
      </c>
      <c r="B511" s="14" t="s">
        <v>732</v>
      </c>
      <c r="C511" s="15" t="s">
        <v>1703</v>
      </c>
      <c r="D511" s="15" t="s">
        <v>2641</v>
      </c>
      <c r="E511" s="23" t="s">
        <v>19</v>
      </c>
      <c r="F511" s="16"/>
      <c r="G511" s="16"/>
      <c r="H511" s="19" t="n">
        <f aca="false">LEN(IF(F511&lt;&gt;"",F511,D511))</f>
        <v>17</v>
      </c>
      <c r="I511" s="24" t="str">
        <f aca="false">IF(OR(H511&lt;2,H511&gt;140),"분량 확인","")</f>
        <v/>
      </c>
    </row>
    <row r="512" customFormat="false" ht="48" hidden="false" customHeight="true" outlineLevel="0" collapsed="false">
      <c r="A512" s="13" t="s">
        <v>2642</v>
      </c>
      <c r="B512" s="14" t="s">
        <v>732</v>
      </c>
      <c r="C512" s="15" t="s">
        <v>1706</v>
      </c>
      <c r="D512" s="15" t="s">
        <v>2643</v>
      </c>
      <c r="E512" s="23" t="s">
        <v>19</v>
      </c>
      <c r="F512" s="16"/>
      <c r="G512" s="16"/>
      <c r="H512" s="19" t="n">
        <f aca="false">LEN(IF(F512&lt;&gt;"",F512,D512))</f>
        <v>41</v>
      </c>
      <c r="I512" s="24" t="str">
        <f aca="false">IF(OR(H512&lt;2,H512&gt;140),"분량 확인","")</f>
        <v/>
      </c>
    </row>
    <row r="513" customFormat="false" ht="48" hidden="false" customHeight="true" outlineLevel="0" collapsed="false">
      <c r="A513" s="13" t="s">
        <v>2644</v>
      </c>
      <c r="B513" s="14" t="s">
        <v>732</v>
      </c>
      <c r="C513" s="15" t="s">
        <v>1709</v>
      </c>
      <c r="D513" s="14" t="s">
        <v>1766</v>
      </c>
      <c r="E513" s="23" t="s">
        <v>19</v>
      </c>
      <c r="F513" s="16"/>
      <c r="G513" s="16"/>
      <c r="H513" s="19" t="n">
        <f aca="false">LEN(IF(F513&lt;&gt;"",F513,D513))</f>
        <v>3</v>
      </c>
      <c r="I513" s="24" t="str">
        <f aca="false">IF(OR(H513&lt;2,H513&gt;140),"분량 확인","")</f>
        <v/>
      </c>
    </row>
    <row r="514" customFormat="false" ht="48" hidden="false" customHeight="true" outlineLevel="0" collapsed="false">
      <c r="A514" s="13" t="s">
        <v>2645</v>
      </c>
      <c r="B514" s="14" t="s">
        <v>732</v>
      </c>
      <c r="C514" s="15" t="s">
        <v>1712</v>
      </c>
      <c r="D514" s="15" t="s">
        <v>2646</v>
      </c>
      <c r="E514" s="23" t="s">
        <v>19</v>
      </c>
      <c r="F514" s="16"/>
      <c r="G514" s="16"/>
      <c r="H514" s="19" t="n">
        <f aca="false">LEN(IF(F514&lt;&gt;"",F514,D514))</f>
        <v>43</v>
      </c>
      <c r="I514" s="24" t="str">
        <f aca="false">IF(OR(H514&lt;2,H514&gt;140),"분량 확인","")</f>
        <v/>
      </c>
    </row>
    <row r="515" customFormat="false" ht="61.5" hidden="false" customHeight="true" outlineLevel="0" collapsed="false">
      <c r="A515" s="13" t="s">
        <v>2647</v>
      </c>
      <c r="B515" s="14" t="s">
        <v>732</v>
      </c>
      <c r="C515" s="15" t="s">
        <v>1715</v>
      </c>
      <c r="D515" s="15" t="s">
        <v>2648</v>
      </c>
      <c r="E515" s="23" t="s">
        <v>19</v>
      </c>
      <c r="F515" s="16"/>
      <c r="G515" s="16"/>
      <c r="H515" s="19" t="n">
        <f aca="false">LEN(IF(F515&lt;&gt;"",F515,D515))</f>
        <v>12</v>
      </c>
      <c r="I515" s="24" t="str">
        <f aca="false">IF(OR(H515&lt;2,H515&gt;140),"분량 확인","")</f>
        <v/>
      </c>
    </row>
    <row r="516" customFormat="false" ht="61.5" hidden="false" customHeight="true" outlineLevel="0" collapsed="false">
      <c r="A516" s="13" t="s">
        <v>2649</v>
      </c>
      <c r="B516" s="14" t="s">
        <v>732</v>
      </c>
      <c r="C516" s="15" t="s">
        <v>1718</v>
      </c>
      <c r="D516" s="15" t="s">
        <v>2650</v>
      </c>
      <c r="E516" s="23" t="s">
        <v>19</v>
      </c>
      <c r="F516" s="16"/>
      <c r="G516" s="16"/>
      <c r="H516" s="19" t="n">
        <f aca="false">LEN(IF(F516&lt;&gt;"",F516,D516))</f>
        <v>17</v>
      </c>
      <c r="I516" s="24" t="str">
        <f aca="false">IF(OR(H516&lt;2,H516&gt;140),"분량 확인","")</f>
        <v/>
      </c>
    </row>
    <row r="517" customFormat="false" ht="61.5" hidden="false" customHeight="true" outlineLevel="0" collapsed="false">
      <c r="A517" s="13" t="s">
        <v>2651</v>
      </c>
      <c r="B517" s="14" t="s">
        <v>732</v>
      </c>
      <c r="C517" s="15" t="s">
        <v>1721</v>
      </c>
      <c r="D517" s="15" t="s">
        <v>2652</v>
      </c>
      <c r="E517" s="23" t="s">
        <v>19</v>
      </c>
      <c r="F517" s="16"/>
      <c r="G517" s="16"/>
      <c r="H517" s="19" t="n">
        <f aca="false">LEN(IF(F517&lt;&gt;"",F517,D517))</f>
        <v>55</v>
      </c>
      <c r="I517" s="24" t="str">
        <f aca="false">IF(OR(H517&lt;2,H517&gt;140),"분량 확인","")</f>
        <v/>
      </c>
    </row>
    <row r="518" customFormat="false" ht="61.5" hidden="false" customHeight="true" outlineLevel="0" collapsed="false">
      <c r="A518" s="13" t="s">
        <v>2653</v>
      </c>
      <c r="B518" s="14" t="s">
        <v>732</v>
      </c>
      <c r="C518" s="15" t="s">
        <v>1724</v>
      </c>
      <c r="D518" s="15" t="s">
        <v>2654</v>
      </c>
      <c r="E518" s="23" t="s">
        <v>19</v>
      </c>
      <c r="F518" s="16"/>
      <c r="G518" s="16"/>
      <c r="H518" s="19" t="n">
        <f aca="false">LEN(IF(F518&lt;&gt;"",F518,D518))</f>
        <v>61</v>
      </c>
      <c r="I518" s="24" t="str">
        <f aca="false">IF(OR(H518&lt;2,H518&gt;140),"분량 확인","")</f>
        <v/>
      </c>
    </row>
    <row r="519" customFormat="false" ht="48" hidden="false" customHeight="true" outlineLevel="0" collapsed="false">
      <c r="A519" s="13" t="s">
        <v>2655</v>
      </c>
      <c r="B519" s="14" t="s">
        <v>732</v>
      </c>
      <c r="C519" s="15" t="s">
        <v>1727</v>
      </c>
      <c r="D519" s="15" t="s">
        <v>2656</v>
      </c>
      <c r="E519" s="23" t="s">
        <v>19</v>
      </c>
      <c r="F519" s="16"/>
      <c r="G519" s="16"/>
      <c r="H519" s="19" t="n">
        <f aca="false">LEN(IF(F519&lt;&gt;"",F519,D519))</f>
        <v>13</v>
      </c>
      <c r="I519" s="24" t="str">
        <f aca="false">IF(OR(H519&lt;2,H519&gt;140),"분량 확인","")</f>
        <v/>
      </c>
    </row>
    <row r="520" customFormat="false" ht="48" hidden="false" customHeight="true" outlineLevel="0" collapsed="false">
      <c r="A520" s="13" t="s">
        <v>2657</v>
      </c>
      <c r="B520" s="14" t="s">
        <v>732</v>
      </c>
      <c r="C520" s="15" t="s">
        <v>1730</v>
      </c>
      <c r="D520" s="15" t="s">
        <v>2658</v>
      </c>
      <c r="E520" s="23" t="s">
        <v>19</v>
      </c>
      <c r="F520" s="16"/>
      <c r="G520" s="16"/>
      <c r="H520" s="19" t="n">
        <f aca="false">LEN(IF(F520&lt;&gt;"",F520,D520))</f>
        <v>36</v>
      </c>
      <c r="I520" s="24" t="str">
        <f aca="false">IF(OR(H520&lt;2,H520&gt;140),"분량 확인","")</f>
        <v/>
      </c>
    </row>
    <row r="521" customFormat="false" ht="48" hidden="false" customHeight="true" outlineLevel="0" collapsed="false">
      <c r="A521" s="13" t="s">
        <v>2659</v>
      </c>
      <c r="B521" s="14" t="s">
        <v>732</v>
      </c>
      <c r="C521" s="15" t="s">
        <v>1733</v>
      </c>
      <c r="D521" s="14" t="s">
        <v>1734</v>
      </c>
      <c r="E521" s="23" t="s">
        <v>19</v>
      </c>
      <c r="F521" s="16"/>
      <c r="G521" s="16"/>
      <c r="H521" s="19" t="n">
        <f aca="false">LEN(IF(F521&lt;&gt;"",F521,D521))</f>
        <v>2</v>
      </c>
      <c r="I521" s="24" t="str">
        <f aca="false">IF(OR(H521&lt;2,H521&gt;140),"분량 확인","")</f>
        <v/>
      </c>
    </row>
    <row r="522" customFormat="false" ht="48" hidden="false" customHeight="true" outlineLevel="0" collapsed="false">
      <c r="A522" s="13" t="s">
        <v>2660</v>
      </c>
      <c r="B522" s="14" t="s">
        <v>732</v>
      </c>
      <c r="C522" s="15" t="s">
        <v>1736</v>
      </c>
      <c r="D522" s="15" t="s">
        <v>2661</v>
      </c>
      <c r="E522" s="23" t="s">
        <v>19</v>
      </c>
      <c r="F522" s="16"/>
      <c r="G522" s="16"/>
      <c r="H522" s="19" t="n">
        <f aca="false">LEN(IF(F522&lt;&gt;"",F522,D522))</f>
        <v>48</v>
      </c>
      <c r="I522" s="24" t="str">
        <f aca="false">IF(OR(H522&lt;2,H522&gt;140),"분량 확인","")</f>
        <v/>
      </c>
    </row>
    <row r="523" customFormat="false" ht="48" hidden="false" customHeight="true" outlineLevel="0" collapsed="false">
      <c r="A523" s="13" t="s">
        <v>2662</v>
      </c>
      <c r="B523" s="14" t="s">
        <v>732</v>
      </c>
      <c r="C523" s="15" t="s">
        <v>1739</v>
      </c>
      <c r="D523" s="15" t="s">
        <v>2663</v>
      </c>
      <c r="E523" s="23" t="s">
        <v>19</v>
      </c>
      <c r="F523" s="16"/>
      <c r="G523" s="16"/>
      <c r="H523" s="19" t="n">
        <f aca="false">LEN(IF(F523&lt;&gt;"",F523,D523))</f>
        <v>15</v>
      </c>
      <c r="I523" s="24" t="str">
        <f aca="false">IF(OR(H523&lt;2,H523&gt;140),"분량 확인","")</f>
        <v/>
      </c>
    </row>
    <row r="524" customFormat="false" ht="48" hidden="false" customHeight="true" outlineLevel="0" collapsed="false">
      <c r="A524" s="13" t="s">
        <v>2664</v>
      </c>
      <c r="B524" s="14" t="s">
        <v>732</v>
      </c>
      <c r="C524" s="15" t="s">
        <v>1742</v>
      </c>
      <c r="D524" s="15" t="s">
        <v>2665</v>
      </c>
      <c r="E524" s="23" t="s">
        <v>19</v>
      </c>
      <c r="F524" s="16"/>
      <c r="G524" s="16"/>
      <c r="H524" s="19" t="n">
        <f aca="false">LEN(IF(F524&lt;&gt;"",F524,D524))</f>
        <v>61</v>
      </c>
      <c r="I524" s="24" t="str">
        <f aca="false">IF(OR(H524&lt;2,H524&gt;140),"분량 확인","")</f>
        <v/>
      </c>
    </row>
    <row r="525" customFormat="false" ht="48" hidden="false" customHeight="true" outlineLevel="0" collapsed="false">
      <c r="A525" s="13" t="s">
        <v>2666</v>
      </c>
      <c r="B525" s="14" t="s">
        <v>732</v>
      </c>
      <c r="C525" s="15" t="s">
        <v>1745</v>
      </c>
      <c r="D525" s="15" t="s">
        <v>1689</v>
      </c>
      <c r="E525" s="23" t="s">
        <v>19</v>
      </c>
      <c r="F525" s="16"/>
      <c r="G525" s="16"/>
      <c r="H525" s="19" t="n">
        <f aca="false">LEN(IF(F525&lt;&gt;"",F525,D525))</f>
        <v>4</v>
      </c>
      <c r="I525" s="24" t="str">
        <f aca="false">IF(OR(H525&lt;2,H525&gt;140),"분량 확인","")</f>
        <v/>
      </c>
    </row>
    <row r="526" customFormat="false" ht="48" hidden="false" customHeight="true" outlineLevel="0" collapsed="false">
      <c r="A526" s="13" t="s">
        <v>2667</v>
      </c>
      <c r="B526" s="14" t="s">
        <v>732</v>
      </c>
      <c r="C526" s="15" t="s">
        <v>1747</v>
      </c>
      <c r="D526" s="15" t="s">
        <v>2668</v>
      </c>
      <c r="E526" s="23" t="s">
        <v>19</v>
      </c>
      <c r="F526" s="16"/>
      <c r="G526" s="16"/>
      <c r="H526" s="19" t="n">
        <f aca="false">LEN(IF(F526&lt;&gt;"",F526,D526))</f>
        <v>37</v>
      </c>
      <c r="I526" s="24" t="str">
        <f aca="false">IF(OR(H526&lt;2,H526&gt;140),"분량 확인","")</f>
        <v/>
      </c>
    </row>
    <row r="527" customFormat="false" ht="61.5" hidden="false" customHeight="true" outlineLevel="0" collapsed="false">
      <c r="A527" s="13" t="s">
        <v>2669</v>
      </c>
      <c r="B527" s="14" t="s">
        <v>732</v>
      </c>
      <c r="C527" s="15" t="s">
        <v>1750</v>
      </c>
      <c r="D527" s="15" t="s">
        <v>2670</v>
      </c>
      <c r="E527" s="23" t="s">
        <v>19</v>
      </c>
      <c r="F527" s="16"/>
      <c r="G527" s="16"/>
      <c r="H527" s="19" t="n">
        <f aca="false">LEN(IF(F527&lt;&gt;"",F527,D527))</f>
        <v>16</v>
      </c>
      <c r="I527" s="24" t="str">
        <f aca="false">IF(OR(H527&lt;2,H527&gt;140),"분량 확인","")</f>
        <v/>
      </c>
    </row>
    <row r="528" customFormat="false" ht="61.5" hidden="false" customHeight="true" outlineLevel="0" collapsed="false">
      <c r="A528" s="13" t="s">
        <v>2671</v>
      </c>
      <c r="B528" s="14" t="s">
        <v>732</v>
      </c>
      <c r="C528" s="15" t="s">
        <v>1753</v>
      </c>
      <c r="D528" s="15" t="s">
        <v>2672</v>
      </c>
      <c r="E528" s="23" t="s">
        <v>19</v>
      </c>
      <c r="F528" s="16"/>
      <c r="G528" s="16"/>
      <c r="H528" s="19" t="n">
        <f aca="false">LEN(IF(F528&lt;&gt;"",F528,D528))</f>
        <v>40</v>
      </c>
      <c r="I528" s="24" t="str">
        <f aca="false">IF(OR(H528&lt;2,H528&gt;140),"분량 확인","")</f>
        <v/>
      </c>
    </row>
    <row r="529" customFormat="false" ht="61.5" hidden="false" customHeight="true" outlineLevel="0" collapsed="false">
      <c r="A529" s="13" t="s">
        <v>2673</v>
      </c>
      <c r="B529" s="14" t="s">
        <v>732</v>
      </c>
      <c r="C529" s="15" t="s">
        <v>1756</v>
      </c>
      <c r="D529" s="15" t="s">
        <v>2674</v>
      </c>
      <c r="E529" s="23" t="s">
        <v>19</v>
      </c>
      <c r="F529" s="16"/>
      <c r="G529" s="16"/>
      <c r="H529" s="19" t="n">
        <f aca="false">LEN(IF(F529&lt;&gt;"",F529,D529))</f>
        <v>57</v>
      </c>
      <c r="I529" s="24" t="str">
        <f aca="false">IF(OR(H529&lt;2,H529&gt;140),"분량 확인","")</f>
        <v/>
      </c>
    </row>
    <row r="530" customFormat="false" ht="48" hidden="false" customHeight="true" outlineLevel="0" collapsed="false">
      <c r="A530" s="13" t="s">
        <v>2675</v>
      </c>
      <c r="B530" s="14" t="s">
        <v>732</v>
      </c>
      <c r="C530" s="15" t="s">
        <v>1759</v>
      </c>
      <c r="D530" s="15" t="s">
        <v>2676</v>
      </c>
      <c r="E530" s="23" t="s">
        <v>19</v>
      </c>
      <c r="F530" s="16"/>
      <c r="G530" s="16"/>
      <c r="H530" s="19" t="n">
        <f aca="false">LEN(IF(F530&lt;&gt;"",F530,D530))</f>
        <v>16</v>
      </c>
      <c r="I530" s="24" t="str">
        <f aca="false">IF(OR(H530&lt;2,H530&gt;140),"분량 확인","")</f>
        <v/>
      </c>
    </row>
    <row r="531" customFormat="false" ht="48" hidden="false" customHeight="true" outlineLevel="0" collapsed="false">
      <c r="A531" s="13" t="s">
        <v>2677</v>
      </c>
      <c r="B531" s="14" t="s">
        <v>732</v>
      </c>
      <c r="C531" s="15" t="s">
        <v>1762</v>
      </c>
      <c r="D531" s="15" t="s">
        <v>2678</v>
      </c>
      <c r="E531" s="23" t="s">
        <v>19</v>
      </c>
      <c r="F531" s="16"/>
      <c r="G531" s="16"/>
      <c r="H531" s="19" t="n">
        <f aca="false">LEN(IF(F531&lt;&gt;"",F531,D531))</f>
        <v>51</v>
      </c>
      <c r="I531" s="24" t="str">
        <f aca="false">IF(OR(H531&lt;2,H531&gt;140),"분량 확인","")</f>
        <v/>
      </c>
    </row>
    <row r="532" customFormat="false" ht="48" hidden="false" customHeight="true" outlineLevel="0" collapsed="false">
      <c r="A532" s="13" t="s">
        <v>2679</v>
      </c>
      <c r="B532" s="14" t="s">
        <v>732</v>
      </c>
      <c r="C532" s="15" t="s">
        <v>1765</v>
      </c>
      <c r="D532" s="14" t="s">
        <v>1710</v>
      </c>
      <c r="E532" s="23" t="s">
        <v>19</v>
      </c>
      <c r="F532" s="16"/>
      <c r="G532" s="16"/>
      <c r="H532" s="19" t="n">
        <f aca="false">LEN(IF(F532&lt;&gt;"",F532,D532))</f>
        <v>3</v>
      </c>
      <c r="I532" s="24" t="str">
        <f aca="false">IF(OR(H532&lt;2,H532&gt;140),"분량 확인","")</f>
        <v/>
      </c>
    </row>
    <row r="533" customFormat="false" ht="48" hidden="false" customHeight="true" outlineLevel="0" collapsed="false">
      <c r="A533" s="13" t="s">
        <v>2680</v>
      </c>
      <c r="B533" s="14" t="s">
        <v>732</v>
      </c>
      <c r="C533" s="15" t="s">
        <v>1768</v>
      </c>
      <c r="D533" s="15" t="s">
        <v>2681</v>
      </c>
      <c r="E533" s="23" t="s">
        <v>19</v>
      </c>
      <c r="F533" s="16"/>
      <c r="G533" s="16"/>
      <c r="H533" s="19" t="n">
        <f aca="false">LEN(IF(F533&lt;&gt;"",F533,D533))</f>
        <v>47</v>
      </c>
      <c r="I533" s="24" t="str">
        <f aca="false">IF(OR(H533&lt;2,H533&gt;140),"분량 확인","")</f>
        <v/>
      </c>
    </row>
    <row r="534" customFormat="false" ht="61.5" hidden="false" customHeight="true" outlineLevel="0" collapsed="false">
      <c r="A534" s="13" t="s">
        <v>2682</v>
      </c>
      <c r="B534" s="14" t="s">
        <v>745</v>
      </c>
      <c r="C534" s="15" t="s">
        <v>1658</v>
      </c>
      <c r="D534" s="15" t="s">
        <v>2683</v>
      </c>
      <c r="E534" s="23" t="s">
        <v>19</v>
      </c>
      <c r="F534" s="16"/>
      <c r="G534" s="16"/>
      <c r="H534" s="19" t="n">
        <f aca="false">LEN(IF(F534&lt;&gt;"",F534,D534))</f>
        <v>16</v>
      </c>
      <c r="I534" s="24" t="str">
        <f aca="false">IF(OR(H534&lt;2,H534&gt;140),"분량 확인","")</f>
        <v/>
      </c>
    </row>
    <row r="535" customFormat="false" ht="61.5" hidden="false" customHeight="true" outlineLevel="0" collapsed="false">
      <c r="A535" s="13" t="s">
        <v>2684</v>
      </c>
      <c r="B535" s="14" t="s">
        <v>745</v>
      </c>
      <c r="C535" s="15" t="s">
        <v>1661</v>
      </c>
      <c r="D535" s="15" t="s">
        <v>2685</v>
      </c>
      <c r="E535" s="23" t="s">
        <v>19</v>
      </c>
      <c r="F535" s="16"/>
      <c r="G535" s="16"/>
      <c r="H535" s="19" t="n">
        <f aca="false">LEN(IF(F535&lt;&gt;"",F535,D535))</f>
        <v>12</v>
      </c>
      <c r="I535" s="24" t="str">
        <f aca="false">IF(OR(H535&lt;2,H535&gt;140),"분량 확인","")</f>
        <v/>
      </c>
    </row>
    <row r="536" customFormat="false" ht="61.5" hidden="false" customHeight="true" outlineLevel="0" collapsed="false">
      <c r="A536" s="13" t="s">
        <v>2686</v>
      </c>
      <c r="B536" s="14" t="s">
        <v>745</v>
      </c>
      <c r="C536" s="15" t="s">
        <v>1664</v>
      </c>
      <c r="D536" s="15" t="s">
        <v>2687</v>
      </c>
      <c r="E536" s="23" t="s">
        <v>19</v>
      </c>
      <c r="F536" s="16"/>
      <c r="G536" s="16"/>
      <c r="H536" s="19" t="n">
        <f aca="false">LEN(IF(F536&lt;&gt;"",F536,D536))</f>
        <v>50</v>
      </c>
      <c r="I536" s="24" t="str">
        <f aca="false">IF(OR(H536&lt;2,H536&gt;140),"분량 확인","")</f>
        <v/>
      </c>
    </row>
    <row r="537" customFormat="false" ht="61.5" hidden="false" customHeight="true" outlineLevel="0" collapsed="false">
      <c r="A537" s="13" t="s">
        <v>2688</v>
      </c>
      <c r="B537" s="14" t="s">
        <v>745</v>
      </c>
      <c r="C537" s="15" t="s">
        <v>1667</v>
      </c>
      <c r="D537" s="15" t="s">
        <v>2689</v>
      </c>
      <c r="E537" s="23" t="s">
        <v>19</v>
      </c>
      <c r="F537" s="16"/>
      <c r="G537" s="16"/>
      <c r="H537" s="19" t="n">
        <f aca="false">LEN(IF(F537&lt;&gt;"",F537,D537))</f>
        <v>59</v>
      </c>
      <c r="I537" s="24" t="str">
        <f aca="false">IF(OR(H537&lt;2,H537&gt;140),"분량 확인","")</f>
        <v/>
      </c>
    </row>
    <row r="538" customFormat="false" ht="48" hidden="false" customHeight="true" outlineLevel="0" collapsed="false">
      <c r="A538" s="13" t="s">
        <v>2690</v>
      </c>
      <c r="B538" s="14" t="s">
        <v>745</v>
      </c>
      <c r="C538" s="15" t="s">
        <v>1670</v>
      </c>
      <c r="D538" s="15" t="s">
        <v>2691</v>
      </c>
      <c r="E538" s="23" t="s">
        <v>19</v>
      </c>
      <c r="F538" s="16"/>
      <c r="G538" s="16"/>
      <c r="H538" s="19" t="n">
        <f aca="false">LEN(IF(F538&lt;&gt;"",F538,D538))</f>
        <v>9</v>
      </c>
      <c r="I538" s="24" t="str">
        <f aca="false">IF(OR(H538&lt;2,H538&gt;140),"분량 확인","")</f>
        <v/>
      </c>
    </row>
    <row r="539" customFormat="false" ht="48" hidden="false" customHeight="true" outlineLevel="0" collapsed="false">
      <c r="A539" s="13" t="s">
        <v>2692</v>
      </c>
      <c r="B539" s="14" t="s">
        <v>745</v>
      </c>
      <c r="C539" s="15" t="s">
        <v>1673</v>
      </c>
      <c r="D539" s="15" t="s">
        <v>2693</v>
      </c>
      <c r="E539" s="23" t="s">
        <v>19</v>
      </c>
      <c r="F539" s="16"/>
      <c r="G539" s="16"/>
      <c r="H539" s="19" t="n">
        <f aca="false">LEN(IF(F539&lt;&gt;"",F539,D539))</f>
        <v>50</v>
      </c>
      <c r="I539" s="24" t="str">
        <f aca="false">IF(OR(H539&lt;2,H539&gt;140),"분량 확인","")</f>
        <v/>
      </c>
    </row>
    <row r="540" customFormat="false" ht="48" hidden="false" customHeight="true" outlineLevel="0" collapsed="false">
      <c r="A540" s="13" t="s">
        <v>2694</v>
      </c>
      <c r="B540" s="14" t="s">
        <v>745</v>
      </c>
      <c r="C540" s="15" t="s">
        <v>1676</v>
      </c>
      <c r="D540" s="14" t="s">
        <v>1734</v>
      </c>
      <c r="E540" s="23" t="s">
        <v>19</v>
      </c>
      <c r="F540" s="16"/>
      <c r="G540" s="16"/>
      <c r="H540" s="19" t="n">
        <f aca="false">LEN(IF(F540&lt;&gt;"",F540,D540))</f>
        <v>2</v>
      </c>
      <c r="I540" s="24" t="str">
        <f aca="false">IF(OR(H540&lt;2,H540&gt;140),"분량 확인","")</f>
        <v/>
      </c>
    </row>
    <row r="541" customFormat="false" ht="48" hidden="false" customHeight="true" outlineLevel="0" collapsed="false">
      <c r="A541" s="13" t="s">
        <v>2695</v>
      </c>
      <c r="B541" s="14" t="s">
        <v>745</v>
      </c>
      <c r="C541" s="15" t="s">
        <v>1679</v>
      </c>
      <c r="D541" s="15" t="s">
        <v>2696</v>
      </c>
      <c r="E541" s="23" t="s">
        <v>19</v>
      </c>
      <c r="F541" s="16"/>
      <c r="G541" s="16"/>
      <c r="H541" s="19" t="n">
        <f aca="false">LEN(IF(F541&lt;&gt;"",F541,D541))</f>
        <v>45</v>
      </c>
      <c r="I541" s="24" t="str">
        <f aca="false">IF(OR(H541&lt;2,H541&gt;140),"분량 확인","")</f>
        <v/>
      </c>
    </row>
    <row r="542" customFormat="false" ht="48" hidden="false" customHeight="true" outlineLevel="0" collapsed="false">
      <c r="A542" s="13" t="s">
        <v>2697</v>
      </c>
      <c r="B542" s="14" t="s">
        <v>745</v>
      </c>
      <c r="C542" s="15" t="s">
        <v>1682</v>
      </c>
      <c r="D542" s="15" t="s">
        <v>2698</v>
      </c>
      <c r="E542" s="23" t="s">
        <v>19</v>
      </c>
      <c r="F542" s="16"/>
      <c r="G542" s="16"/>
      <c r="H542" s="19" t="n">
        <f aca="false">LEN(IF(F542&lt;&gt;"",F542,D542))</f>
        <v>15</v>
      </c>
      <c r="I542" s="24" t="str">
        <f aca="false">IF(OR(H542&lt;2,H542&gt;140),"분량 확인","")</f>
        <v/>
      </c>
    </row>
    <row r="543" customFormat="false" ht="48" hidden="false" customHeight="true" outlineLevel="0" collapsed="false">
      <c r="A543" s="13" t="s">
        <v>2699</v>
      </c>
      <c r="B543" s="14" t="s">
        <v>745</v>
      </c>
      <c r="C543" s="15" t="s">
        <v>1685</v>
      </c>
      <c r="D543" s="15" t="s">
        <v>2700</v>
      </c>
      <c r="E543" s="23" t="s">
        <v>19</v>
      </c>
      <c r="F543" s="16"/>
      <c r="G543" s="16"/>
      <c r="H543" s="19" t="n">
        <f aca="false">LEN(IF(F543&lt;&gt;"",F543,D543))</f>
        <v>55</v>
      </c>
      <c r="I543" s="24" t="str">
        <f aca="false">IF(OR(H543&lt;2,H543&gt;140),"분량 확인","")</f>
        <v/>
      </c>
    </row>
    <row r="544" customFormat="false" ht="48" hidden="false" customHeight="true" outlineLevel="0" collapsed="false">
      <c r="A544" s="13" t="s">
        <v>2701</v>
      </c>
      <c r="B544" s="14" t="s">
        <v>745</v>
      </c>
      <c r="C544" s="15" t="s">
        <v>1688</v>
      </c>
      <c r="D544" s="15" t="s">
        <v>1689</v>
      </c>
      <c r="E544" s="23" t="s">
        <v>19</v>
      </c>
      <c r="F544" s="16"/>
      <c r="G544" s="16"/>
      <c r="H544" s="19" t="n">
        <f aca="false">LEN(IF(F544&lt;&gt;"",F544,D544))</f>
        <v>4</v>
      </c>
      <c r="I544" s="24" t="str">
        <f aca="false">IF(OR(H544&lt;2,H544&gt;140),"분량 확인","")</f>
        <v/>
      </c>
    </row>
    <row r="545" customFormat="false" ht="48" hidden="false" customHeight="true" outlineLevel="0" collapsed="false">
      <c r="A545" s="13" t="s">
        <v>2702</v>
      </c>
      <c r="B545" s="14" t="s">
        <v>745</v>
      </c>
      <c r="C545" s="15" t="s">
        <v>1691</v>
      </c>
      <c r="D545" s="15" t="s">
        <v>2703</v>
      </c>
      <c r="E545" s="23" t="s">
        <v>19</v>
      </c>
      <c r="F545" s="16"/>
      <c r="G545" s="16"/>
      <c r="H545" s="19" t="n">
        <f aca="false">LEN(IF(F545&lt;&gt;"",F545,D545))</f>
        <v>46</v>
      </c>
      <c r="I545" s="24" t="str">
        <f aca="false">IF(OR(H545&lt;2,H545&gt;140),"분량 확인","")</f>
        <v/>
      </c>
    </row>
    <row r="546" customFormat="false" ht="61.5" hidden="false" customHeight="true" outlineLevel="0" collapsed="false">
      <c r="A546" s="13" t="s">
        <v>2704</v>
      </c>
      <c r="B546" s="14" t="s">
        <v>745</v>
      </c>
      <c r="C546" s="15" t="s">
        <v>1694</v>
      </c>
      <c r="D546" s="15" t="s">
        <v>2705</v>
      </c>
      <c r="E546" s="23" t="s">
        <v>19</v>
      </c>
      <c r="F546" s="16"/>
      <c r="G546" s="16"/>
      <c r="H546" s="19" t="n">
        <f aca="false">LEN(IF(F546&lt;&gt;"",F546,D546))</f>
        <v>15</v>
      </c>
      <c r="I546" s="24" t="str">
        <f aca="false">IF(OR(H546&lt;2,H546&gt;140),"분량 확인","")</f>
        <v/>
      </c>
    </row>
    <row r="547" customFormat="false" ht="61.5" hidden="false" customHeight="true" outlineLevel="0" collapsed="false">
      <c r="A547" s="13" t="s">
        <v>2706</v>
      </c>
      <c r="B547" s="14" t="s">
        <v>745</v>
      </c>
      <c r="C547" s="15" t="s">
        <v>1697</v>
      </c>
      <c r="D547" s="15" t="s">
        <v>2707</v>
      </c>
      <c r="E547" s="23" t="s">
        <v>19</v>
      </c>
      <c r="F547" s="16"/>
      <c r="G547" s="16"/>
      <c r="H547" s="19" t="n">
        <f aca="false">LEN(IF(F547&lt;&gt;"",F547,D547))</f>
        <v>52</v>
      </c>
      <c r="I547" s="24" t="str">
        <f aca="false">IF(OR(H547&lt;2,H547&gt;140),"분량 확인","")</f>
        <v/>
      </c>
    </row>
    <row r="548" customFormat="false" ht="61.5" hidden="false" customHeight="true" outlineLevel="0" collapsed="false">
      <c r="A548" s="13" t="s">
        <v>2708</v>
      </c>
      <c r="B548" s="14" t="s">
        <v>745</v>
      </c>
      <c r="C548" s="15" t="s">
        <v>1700</v>
      </c>
      <c r="D548" s="15" t="s">
        <v>2709</v>
      </c>
      <c r="E548" s="23" t="s">
        <v>19</v>
      </c>
      <c r="F548" s="16"/>
      <c r="G548" s="16"/>
      <c r="H548" s="19" t="n">
        <f aca="false">LEN(IF(F548&lt;&gt;"",F548,D548))</f>
        <v>57</v>
      </c>
      <c r="I548" s="24" t="str">
        <f aca="false">IF(OR(H548&lt;2,H548&gt;140),"분량 확인","")</f>
        <v/>
      </c>
    </row>
    <row r="549" customFormat="false" ht="48" hidden="false" customHeight="true" outlineLevel="0" collapsed="false">
      <c r="A549" s="13" t="s">
        <v>2710</v>
      </c>
      <c r="B549" s="14" t="s">
        <v>745</v>
      </c>
      <c r="C549" s="15" t="s">
        <v>1703</v>
      </c>
      <c r="D549" s="15" t="s">
        <v>2711</v>
      </c>
      <c r="E549" s="23" t="s">
        <v>19</v>
      </c>
      <c r="F549" s="16"/>
      <c r="G549" s="16"/>
      <c r="H549" s="19" t="n">
        <f aca="false">LEN(IF(F549&lt;&gt;"",F549,D549))</f>
        <v>16</v>
      </c>
      <c r="I549" s="24" t="str">
        <f aca="false">IF(OR(H549&lt;2,H549&gt;140),"분량 확인","")</f>
        <v/>
      </c>
    </row>
    <row r="550" customFormat="false" ht="48" hidden="false" customHeight="true" outlineLevel="0" collapsed="false">
      <c r="A550" s="13" t="s">
        <v>2712</v>
      </c>
      <c r="B550" s="14" t="s">
        <v>745</v>
      </c>
      <c r="C550" s="15" t="s">
        <v>1706</v>
      </c>
      <c r="D550" s="15" t="s">
        <v>2713</v>
      </c>
      <c r="E550" s="23" t="s">
        <v>19</v>
      </c>
      <c r="F550" s="16"/>
      <c r="G550" s="16"/>
      <c r="H550" s="19" t="n">
        <f aca="false">LEN(IF(F550&lt;&gt;"",F550,D550))</f>
        <v>72</v>
      </c>
      <c r="I550" s="24" t="str">
        <f aca="false">IF(OR(H550&lt;2,H550&gt;140),"분량 확인","")</f>
        <v/>
      </c>
    </row>
    <row r="551" customFormat="false" ht="48" hidden="false" customHeight="true" outlineLevel="0" collapsed="false">
      <c r="A551" s="13" t="s">
        <v>2714</v>
      </c>
      <c r="B551" s="14" t="s">
        <v>745</v>
      </c>
      <c r="C551" s="15" t="s">
        <v>1709</v>
      </c>
      <c r="D551" s="14" t="s">
        <v>1766</v>
      </c>
      <c r="E551" s="23" t="s">
        <v>19</v>
      </c>
      <c r="F551" s="16"/>
      <c r="G551" s="16"/>
      <c r="H551" s="19" t="n">
        <f aca="false">LEN(IF(F551&lt;&gt;"",F551,D551))</f>
        <v>3</v>
      </c>
      <c r="I551" s="24" t="str">
        <f aca="false">IF(OR(H551&lt;2,H551&gt;140),"분량 확인","")</f>
        <v/>
      </c>
    </row>
    <row r="552" customFormat="false" ht="48" hidden="false" customHeight="true" outlineLevel="0" collapsed="false">
      <c r="A552" s="13" t="s">
        <v>2715</v>
      </c>
      <c r="B552" s="14" t="s">
        <v>745</v>
      </c>
      <c r="C552" s="15" t="s">
        <v>1712</v>
      </c>
      <c r="D552" s="15" t="s">
        <v>2716</v>
      </c>
      <c r="E552" s="23" t="s">
        <v>19</v>
      </c>
      <c r="F552" s="16"/>
      <c r="G552" s="16"/>
      <c r="H552" s="19" t="n">
        <f aca="false">LEN(IF(F552&lt;&gt;"",F552,D552))</f>
        <v>54</v>
      </c>
      <c r="I552" s="24" t="str">
        <f aca="false">IF(OR(H552&lt;2,H552&gt;140),"분량 확인","")</f>
        <v/>
      </c>
    </row>
    <row r="553" customFormat="false" ht="61.5" hidden="false" customHeight="true" outlineLevel="0" collapsed="false">
      <c r="A553" s="13" t="s">
        <v>2717</v>
      </c>
      <c r="B553" s="14" t="s">
        <v>745</v>
      </c>
      <c r="C553" s="15" t="s">
        <v>1715</v>
      </c>
      <c r="D553" s="15" t="s">
        <v>2718</v>
      </c>
      <c r="E553" s="23" t="s">
        <v>19</v>
      </c>
      <c r="F553" s="16"/>
      <c r="G553" s="16"/>
      <c r="H553" s="19" t="n">
        <f aca="false">LEN(IF(F553&lt;&gt;"",F553,D553))</f>
        <v>13</v>
      </c>
      <c r="I553" s="24" t="str">
        <f aca="false">IF(OR(H553&lt;2,H553&gt;140),"분량 확인","")</f>
        <v/>
      </c>
    </row>
    <row r="554" customFormat="false" ht="61.5" hidden="false" customHeight="true" outlineLevel="0" collapsed="false">
      <c r="A554" s="13" t="s">
        <v>2719</v>
      </c>
      <c r="B554" s="14" t="s">
        <v>745</v>
      </c>
      <c r="C554" s="15" t="s">
        <v>1718</v>
      </c>
      <c r="D554" s="15" t="s">
        <v>2720</v>
      </c>
      <c r="E554" s="23" t="s">
        <v>19</v>
      </c>
      <c r="F554" s="16"/>
      <c r="G554" s="16"/>
      <c r="H554" s="19" t="n">
        <f aca="false">LEN(IF(F554&lt;&gt;"",F554,D554))</f>
        <v>14</v>
      </c>
      <c r="I554" s="24" t="str">
        <f aca="false">IF(OR(H554&lt;2,H554&gt;140),"분량 확인","")</f>
        <v/>
      </c>
    </row>
    <row r="555" customFormat="false" ht="61.5" hidden="false" customHeight="true" outlineLevel="0" collapsed="false">
      <c r="A555" s="13" t="s">
        <v>2721</v>
      </c>
      <c r="B555" s="14" t="s">
        <v>745</v>
      </c>
      <c r="C555" s="15" t="s">
        <v>1721</v>
      </c>
      <c r="D555" s="15" t="s">
        <v>2722</v>
      </c>
      <c r="E555" s="23" t="s">
        <v>19</v>
      </c>
      <c r="F555" s="16"/>
      <c r="G555" s="16"/>
      <c r="H555" s="19" t="n">
        <f aca="false">LEN(IF(F555&lt;&gt;"",F555,D555))</f>
        <v>54</v>
      </c>
      <c r="I555" s="24" t="str">
        <f aca="false">IF(OR(H555&lt;2,H555&gt;140),"분량 확인","")</f>
        <v/>
      </c>
    </row>
    <row r="556" customFormat="false" ht="61.5" hidden="false" customHeight="true" outlineLevel="0" collapsed="false">
      <c r="A556" s="13" t="s">
        <v>2723</v>
      </c>
      <c r="B556" s="14" t="s">
        <v>745</v>
      </c>
      <c r="C556" s="15" t="s">
        <v>1724</v>
      </c>
      <c r="D556" s="15" t="s">
        <v>2724</v>
      </c>
      <c r="E556" s="23" t="s">
        <v>19</v>
      </c>
      <c r="F556" s="16"/>
      <c r="G556" s="16"/>
      <c r="H556" s="19" t="n">
        <f aca="false">LEN(IF(F556&lt;&gt;"",F556,D556))</f>
        <v>62</v>
      </c>
      <c r="I556" s="24" t="str">
        <f aca="false">IF(OR(H556&lt;2,H556&gt;140),"분량 확인","")</f>
        <v/>
      </c>
    </row>
    <row r="557" customFormat="false" ht="48" hidden="false" customHeight="true" outlineLevel="0" collapsed="false">
      <c r="A557" s="13" t="s">
        <v>2725</v>
      </c>
      <c r="B557" s="14" t="s">
        <v>745</v>
      </c>
      <c r="C557" s="15" t="s">
        <v>1727</v>
      </c>
      <c r="D557" s="15" t="s">
        <v>2726</v>
      </c>
      <c r="E557" s="23" t="s">
        <v>19</v>
      </c>
      <c r="F557" s="16"/>
      <c r="G557" s="16"/>
      <c r="H557" s="19" t="n">
        <f aca="false">LEN(IF(F557&lt;&gt;"",F557,D557))</f>
        <v>13</v>
      </c>
      <c r="I557" s="24" t="str">
        <f aca="false">IF(OR(H557&lt;2,H557&gt;140),"분량 확인","")</f>
        <v/>
      </c>
    </row>
    <row r="558" customFormat="false" ht="48" hidden="false" customHeight="true" outlineLevel="0" collapsed="false">
      <c r="A558" s="13" t="s">
        <v>2727</v>
      </c>
      <c r="B558" s="14" t="s">
        <v>745</v>
      </c>
      <c r="C558" s="15" t="s">
        <v>1730</v>
      </c>
      <c r="D558" s="15" t="s">
        <v>2728</v>
      </c>
      <c r="E558" s="23" t="s">
        <v>19</v>
      </c>
      <c r="F558" s="16"/>
      <c r="G558" s="16"/>
      <c r="H558" s="19" t="n">
        <f aca="false">LEN(IF(F558&lt;&gt;"",F558,D558))</f>
        <v>28</v>
      </c>
      <c r="I558" s="24" t="str">
        <f aca="false">IF(OR(H558&lt;2,H558&gt;140),"분량 확인","")</f>
        <v/>
      </c>
    </row>
    <row r="559" customFormat="false" ht="48" hidden="false" customHeight="true" outlineLevel="0" collapsed="false">
      <c r="A559" s="13" t="s">
        <v>2729</v>
      </c>
      <c r="B559" s="14" t="s">
        <v>745</v>
      </c>
      <c r="C559" s="15" t="s">
        <v>1733</v>
      </c>
      <c r="D559" s="14" t="s">
        <v>1677</v>
      </c>
      <c r="E559" s="23" t="s">
        <v>19</v>
      </c>
      <c r="F559" s="16"/>
      <c r="G559" s="16"/>
      <c r="H559" s="19" t="n">
        <f aca="false">LEN(IF(F559&lt;&gt;"",F559,D559))</f>
        <v>2</v>
      </c>
      <c r="I559" s="24" t="str">
        <f aca="false">IF(OR(H559&lt;2,H559&gt;140),"분량 확인","")</f>
        <v/>
      </c>
    </row>
    <row r="560" customFormat="false" ht="48" hidden="false" customHeight="true" outlineLevel="0" collapsed="false">
      <c r="A560" s="13" t="s">
        <v>2730</v>
      </c>
      <c r="B560" s="14" t="s">
        <v>745</v>
      </c>
      <c r="C560" s="15" t="s">
        <v>1736</v>
      </c>
      <c r="D560" s="15" t="s">
        <v>2731</v>
      </c>
      <c r="E560" s="23" t="s">
        <v>19</v>
      </c>
      <c r="F560" s="16"/>
      <c r="G560" s="16"/>
      <c r="H560" s="19" t="n">
        <f aca="false">LEN(IF(F560&lt;&gt;"",F560,D560))</f>
        <v>37</v>
      </c>
      <c r="I560" s="24" t="str">
        <f aca="false">IF(OR(H560&lt;2,H560&gt;140),"분량 확인","")</f>
        <v/>
      </c>
    </row>
    <row r="561" customFormat="false" ht="48" hidden="false" customHeight="true" outlineLevel="0" collapsed="false">
      <c r="A561" s="13" t="s">
        <v>2732</v>
      </c>
      <c r="B561" s="14" t="s">
        <v>745</v>
      </c>
      <c r="C561" s="15" t="s">
        <v>1739</v>
      </c>
      <c r="D561" s="15" t="s">
        <v>2733</v>
      </c>
      <c r="E561" s="23" t="s">
        <v>19</v>
      </c>
      <c r="F561" s="16"/>
      <c r="G561" s="16"/>
      <c r="H561" s="19" t="n">
        <f aca="false">LEN(IF(F561&lt;&gt;"",F561,D561))</f>
        <v>14</v>
      </c>
      <c r="I561" s="24" t="str">
        <f aca="false">IF(OR(H561&lt;2,H561&gt;140),"분량 확인","")</f>
        <v/>
      </c>
    </row>
    <row r="562" customFormat="false" ht="48" hidden="false" customHeight="true" outlineLevel="0" collapsed="false">
      <c r="A562" s="13" t="s">
        <v>2734</v>
      </c>
      <c r="B562" s="14" t="s">
        <v>745</v>
      </c>
      <c r="C562" s="15" t="s">
        <v>1742</v>
      </c>
      <c r="D562" s="15" t="s">
        <v>2735</v>
      </c>
      <c r="E562" s="23" t="s">
        <v>19</v>
      </c>
      <c r="F562" s="16"/>
      <c r="G562" s="16"/>
      <c r="H562" s="19" t="n">
        <f aca="false">LEN(IF(F562&lt;&gt;"",F562,D562))</f>
        <v>56</v>
      </c>
      <c r="I562" s="24" t="str">
        <f aca="false">IF(OR(H562&lt;2,H562&gt;140),"분량 확인","")</f>
        <v/>
      </c>
    </row>
    <row r="563" customFormat="false" ht="48" hidden="false" customHeight="true" outlineLevel="0" collapsed="false">
      <c r="A563" s="13" t="s">
        <v>2736</v>
      </c>
      <c r="B563" s="14" t="s">
        <v>745</v>
      </c>
      <c r="C563" s="15" t="s">
        <v>1745</v>
      </c>
      <c r="D563" s="15" t="s">
        <v>1689</v>
      </c>
      <c r="E563" s="23" t="s">
        <v>19</v>
      </c>
      <c r="F563" s="16"/>
      <c r="G563" s="16"/>
      <c r="H563" s="19" t="n">
        <f aca="false">LEN(IF(F563&lt;&gt;"",F563,D563))</f>
        <v>4</v>
      </c>
      <c r="I563" s="24" t="str">
        <f aca="false">IF(OR(H563&lt;2,H563&gt;140),"분량 확인","")</f>
        <v/>
      </c>
    </row>
    <row r="564" customFormat="false" ht="48" hidden="false" customHeight="true" outlineLevel="0" collapsed="false">
      <c r="A564" s="13" t="s">
        <v>2737</v>
      </c>
      <c r="B564" s="14" t="s">
        <v>745</v>
      </c>
      <c r="C564" s="15" t="s">
        <v>1747</v>
      </c>
      <c r="D564" s="15" t="s">
        <v>2738</v>
      </c>
      <c r="E564" s="23" t="s">
        <v>19</v>
      </c>
      <c r="F564" s="16"/>
      <c r="G564" s="16"/>
      <c r="H564" s="19" t="n">
        <f aca="false">LEN(IF(F564&lt;&gt;"",F564,D564))</f>
        <v>43</v>
      </c>
      <c r="I564" s="24" t="str">
        <f aca="false">IF(OR(H564&lt;2,H564&gt;140),"분량 확인","")</f>
        <v/>
      </c>
    </row>
    <row r="565" customFormat="false" ht="61.5" hidden="false" customHeight="true" outlineLevel="0" collapsed="false">
      <c r="A565" s="13" t="s">
        <v>2739</v>
      </c>
      <c r="B565" s="14" t="s">
        <v>745</v>
      </c>
      <c r="C565" s="15" t="s">
        <v>1750</v>
      </c>
      <c r="D565" s="15" t="s">
        <v>2740</v>
      </c>
      <c r="E565" s="23" t="s">
        <v>19</v>
      </c>
      <c r="F565" s="16"/>
      <c r="G565" s="16"/>
      <c r="H565" s="19" t="n">
        <f aca="false">LEN(IF(F565&lt;&gt;"",F565,D565))</f>
        <v>14</v>
      </c>
      <c r="I565" s="24" t="str">
        <f aca="false">IF(OR(H565&lt;2,H565&gt;140),"분량 확인","")</f>
        <v/>
      </c>
    </row>
    <row r="566" customFormat="false" ht="61.5" hidden="false" customHeight="true" outlineLevel="0" collapsed="false">
      <c r="A566" s="13" t="s">
        <v>2741</v>
      </c>
      <c r="B566" s="14" t="s">
        <v>745</v>
      </c>
      <c r="C566" s="15" t="s">
        <v>1753</v>
      </c>
      <c r="D566" s="15" t="s">
        <v>2742</v>
      </c>
      <c r="E566" s="23" t="s">
        <v>19</v>
      </c>
      <c r="F566" s="16"/>
      <c r="G566" s="16"/>
      <c r="H566" s="19" t="n">
        <f aca="false">LEN(IF(F566&lt;&gt;"",F566,D566))</f>
        <v>50</v>
      </c>
      <c r="I566" s="24" t="str">
        <f aca="false">IF(OR(H566&lt;2,H566&gt;140),"분량 확인","")</f>
        <v/>
      </c>
    </row>
    <row r="567" customFormat="false" ht="61.5" hidden="false" customHeight="true" outlineLevel="0" collapsed="false">
      <c r="A567" s="13" t="s">
        <v>2743</v>
      </c>
      <c r="B567" s="14" t="s">
        <v>745</v>
      </c>
      <c r="C567" s="15" t="s">
        <v>1756</v>
      </c>
      <c r="D567" s="15" t="s">
        <v>2744</v>
      </c>
      <c r="E567" s="23" t="s">
        <v>19</v>
      </c>
      <c r="F567" s="16"/>
      <c r="G567" s="16"/>
      <c r="H567" s="19" t="n">
        <f aca="false">LEN(IF(F567&lt;&gt;"",F567,D567))</f>
        <v>58</v>
      </c>
      <c r="I567" s="24" t="str">
        <f aca="false">IF(OR(H567&lt;2,H567&gt;140),"분량 확인","")</f>
        <v/>
      </c>
    </row>
    <row r="568" customFormat="false" ht="48" hidden="false" customHeight="true" outlineLevel="0" collapsed="false">
      <c r="A568" s="13" t="s">
        <v>2745</v>
      </c>
      <c r="B568" s="14" t="s">
        <v>745</v>
      </c>
      <c r="C568" s="15" t="s">
        <v>1759</v>
      </c>
      <c r="D568" s="15" t="s">
        <v>2746</v>
      </c>
      <c r="E568" s="23" t="s">
        <v>19</v>
      </c>
      <c r="F568" s="16"/>
      <c r="G568" s="16"/>
      <c r="H568" s="19" t="n">
        <f aca="false">LEN(IF(F568&lt;&gt;"",F568,D568))</f>
        <v>13</v>
      </c>
      <c r="I568" s="24" t="str">
        <f aca="false">IF(OR(H568&lt;2,H568&gt;140),"분량 확인","")</f>
        <v/>
      </c>
    </row>
    <row r="569" customFormat="false" ht="48" hidden="false" customHeight="true" outlineLevel="0" collapsed="false">
      <c r="A569" s="13" t="s">
        <v>2747</v>
      </c>
      <c r="B569" s="14" t="s">
        <v>745</v>
      </c>
      <c r="C569" s="15" t="s">
        <v>1762</v>
      </c>
      <c r="D569" s="15" t="s">
        <v>2748</v>
      </c>
      <c r="E569" s="23" t="s">
        <v>19</v>
      </c>
      <c r="F569" s="16"/>
      <c r="G569" s="16"/>
      <c r="H569" s="19" t="n">
        <f aca="false">LEN(IF(F569&lt;&gt;"",F569,D569))</f>
        <v>69</v>
      </c>
      <c r="I569" s="24" t="str">
        <f aca="false">IF(OR(H569&lt;2,H569&gt;140),"분량 확인","")</f>
        <v/>
      </c>
    </row>
    <row r="570" customFormat="false" ht="48" hidden="false" customHeight="true" outlineLevel="0" collapsed="false">
      <c r="A570" s="13" t="s">
        <v>2749</v>
      </c>
      <c r="B570" s="14" t="s">
        <v>745</v>
      </c>
      <c r="C570" s="15" t="s">
        <v>1765</v>
      </c>
      <c r="D570" s="14" t="s">
        <v>1710</v>
      </c>
      <c r="E570" s="23" t="s">
        <v>19</v>
      </c>
      <c r="F570" s="16"/>
      <c r="G570" s="16"/>
      <c r="H570" s="19" t="n">
        <f aca="false">LEN(IF(F570&lt;&gt;"",F570,D570))</f>
        <v>3</v>
      </c>
      <c r="I570" s="24" t="str">
        <f aca="false">IF(OR(H570&lt;2,H570&gt;140),"분량 확인","")</f>
        <v/>
      </c>
    </row>
    <row r="571" customFormat="false" ht="48" hidden="false" customHeight="true" outlineLevel="0" collapsed="false">
      <c r="A571" s="13" t="s">
        <v>2750</v>
      </c>
      <c r="B571" s="14" t="s">
        <v>745</v>
      </c>
      <c r="C571" s="15" t="s">
        <v>1768</v>
      </c>
      <c r="D571" s="15" t="s">
        <v>2751</v>
      </c>
      <c r="E571" s="23" t="s">
        <v>19</v>
      </c>
      <c r="F571" s="16"/>
      <c r="G571" s="16"/>
      <c r="H571" s="19" t="n">
        <f aca="false">LEN(IF(F571&lt;&gt;"",F571,D571))</f>
        <v>51</v>
      </c>
      <c r="I571" s="24" t="str">
        <f aca="false">IF(OR(H571&lt;2,H571&gt;140),"분량 확인","")</f>
        <v/>
      </c>
    </row>
    <row r="572" customFormat="false" ht="61.5" hidden="false" customHeight="true" outlineLevel="0" collapsed="false">
      <c r="A572" s="13" t="s">
        <v>2752</v>
      </c>
      <c r="B572" s="14" t="s">
        <v>758</v>
      </c>
      <c r="C572" s="15" t="s">
        <v>1658</v>
      </c>
      <c r="D572" s="15" t="s">
        <v>2753</v>
      </c>
      <c r="E572" s="23" t="s">
        <v>19</v>
      </c>
      <c r="F572" s="16"/>
      <c r="G572" s="16"/>
      <c r="H572" s="19" t="n">
        <f aca="false">LEN(IF(F572&lt;&gt;"",F572,D572))</f>
        <v>16</v>
      </c>
      <c r="I572" s="24" t="str">
        <f aca="false">IF(OR(H572&lt;2,H572&gt;140),"분량 확인","")</f>
        <v/>
      </c>
    </row>
    <row r="573" customFormat="false" ht="61.5" hidden="false" customHeight="true" outlineLevel="0" collapsed="false">
      <c r="A573" s="13" t="s">
        <v>2754</v>
      </c>
      <c r="B573" s="14" t="s">
        <v>758</v>
      </c>
      <c r="C573" s="15" t="s">
        <v>1661</v>
      </c>
      <c r="D573" s="15" t="s">
        <v>2755</v>
      </c>
      <c r="E573" s="23" t="s">
        <v>19</v>
      </c>
      <c r="F573" s="16"/>
      <c r="G573" s="16"/>
      <c r="H573" s="19" t="n">
        <f aca="false">LEN(IF(F573&lt;&gt;"",F573,D573))</f>
        <v>16</v>
      </c>
      <c r="I573" s="24" t="str">
        <f aca="false">IF(OR(H573&lt;2,H573&gt;140),"분량 확인","")</f>
        <v/>
      </c>
    </row>
    <row r="574" customFormat="false" ht="61.5" hidden="false" customHeight="true" outlineLevel="0" collapsed="false">
      <c r="A574" s="13" t="s">
        <v>2756</v>
      </c>
      <c r="B574" s="14" t="s">
        <v>758</v>
      </c>
      <c r="C574" s="15" t="s">
        <v>1664</v>
      </c>
      <c r="D574" s="15" t="s">
        <v>2757</v>
      </c>
      <c r="E574" s="23" t="s">
        <v>19</v>
      </c>
      <c r="F574" s="16"/>
      <c r="G574" s="16"/>
      <c r="H574" s="19" t="n">
        <f aca="false">LEN(IF(F574&lt;&gt;"",F574,D574))</f>
        <v>58</v>
      </c>
      <c r="I574" s="24" t="str">
        <f aca="false">IF(OR(H574&lt;2,H574&gt;140),"분량 확인","")</f>
        <v/>
      </c>
    </row>
    <row r="575" customFormat="false" ht="61.5" hidden="false" customHeight="true" outlineLevel="0" collapsed="false">
      <c r="A575" s="13" t="s">
        <v>2758</v>
      </c>
      <c r="B575" s="14" t="s">
        <v>758</v>
      </c>
      <c r="C575" s="15" t="s">
        <v>1667</v>
      </c>
      <c r="D575" s="15" t="s">
        <v>2759</v>
      </c>
      <c r="E575" s="23" t="s">
        <v>19</v>
      </c>
      <c r="F575" s="16"/>
      <c r="G575" s="16"/>
      <c r="H575" s="19" t="n">
        <f aca="false">LEN(IF(F575&lt;&gt;"",F575,D575))</f>
        <v>58</v>
      </c>
      <c r="I575" s="24" t="str">
        <f aca="false">IF(OR(H575&lt;2,H575&gt;140),"분량 확인","")</f>
        <v/>
      </c>
    </row>
    <row r="576" customFormat="false" ht="48" hidden="false" customHeight="true" outlineLevel="0" collapsed="false">
      <c r="A576" s="13" t="s">
        <v>2760</v>
      </c>
      <c r="B576" s="14" t="s">
        <v>758</v>
      </c>
      <c r="C576" s="15" t="s">
        <v>1670</v>
      </c>
      <c r="D576" s="15" t="s">
        <v>2761</v>
      </c>
      <c r="E576" s="23" t="s">
        <v>19</v>
      </c>
      <c r="F576" s="16"/>
      <c r="G576" s="16"/>
      <c r="H576" s="19" t="n">
        <f aca="false">LEN(IF(F576&lt;&gt;"",F576,D576))</f>
        <v>11</v>
      </c>
      <c r="I576" s="24" t="str">
        <f aca="false">IF(OR(H576&lt;2,H576&gt;140),"분량 확인","")</f>
        <v/>
      </c>
    </row>
    <row r="577" customFormat="false" ht="48" hidden="false" customHeight="true" outlineLevel="0" collapsed="false">
      <c r="A577" s="13" t="s">
        <v>2762</v>
      </c>
      <c r="B577" s="14" t="s">
        <v>758</v>
      </c>
      <c r="C577" s="15" t="s">
        <v>1673</v>
      </c>
      <c r="D577" s="15" t="s">
        <v>2763</v>
      </c>
      <c r="E577" s="23" t="s">
        <v>19</v>
      </c>
      <c r="F577" s="16"/>
      <c r="G577" s="16"/>
      <c r="H577" s="19" t="n">
        <f aca="false">LEN(IF(F577&lt;&gt;"",F577,D577))</f>
        <v>47</v>
      </c>
      <c r="I577" s="24" t="str">
        <f aca="false">IF(OR(H577&lt;2,H577&gt;140),"분량 확인","")</f>
        <v/>
      </c>
    </row>
    <row r="578" customFormat="false" ht="48" hidden="false" customHeight="true" outlineLevel="0" collapsed="false">
      <c r="A578" s="13" t="s">
        <v>2764</v>
      </c>
      <c r="B578" s="14" t="s">
        <v>758</v>
      </c>
      <c r="C578" s="15" t="s">
        <v>1676</v>
      </c>
      <c r="D578" s="14" t="s">
        <v>1783</v>
      </c>
      <c r="E578" s="23" t="s">
        <v>19</v>
      </c>
      <c r="F578" s="16"/>
      <c r="G578" s="16"/>
      <c r="H578" s="19" t="n">
        <f aca="false">LEN(IF(F578&lt;&gt;"",F578,D578))</f>
        <v>2</v>
      </c>
      <c r="I578" s="24" t="str">
        <f aca="false">IF(OR(H578&lt;2,H578&gt;140),"분량 확인","")</f>
        <v/>
      </c>
    </row>
    <row r="579" customFormat="false" ht="48" hidden="false" customHeight="true" outlineLevel="0" collapsed="false">
      <c r="A579" s="13" t="s">
        <v>2765</v>
      </c>
      <c r="B579" s="14" t="s">
        <v>758</v>
      </c>
      <c r="C579" s="15" t="s">
        <v>1679</v>
      </c>
      <c r="D579" s="15" t="s">
        <v>2766</v>
      </c>
      <c r="E579" s="23" t="s">
        <v>19</v>
      </c>
      <c r="F579" s="16"/>
      <c r="G579" s="16"/>
      <c r="H579" s="19" t="n">
        <f aca="false">LEN(IF(F579&lt;&gt;"",F579,D579))</f>
        <v>38</v>
      </c>
      <c r="I579" s="24" t="str">
        <f aca="false">IF(OR(H579&lt;2,H579&gt;140),"분량 확인","")</f>
        <v/>
      </c>
    </row>
    <row r="580" customFormat="false" ht="48" hidden="false" customHeight="true" outlineLevel="0" collapsed="false">
      <c r="A580" s="13" t="s">
        <v>2767</v>
      </c>
      <c r="B580" s="14" t="s">
        <v>758</v>
      </c>
      <c r="C580" s="15" t="s">
        <v>1682</v>
      </c>
      <c r="D580" s="15" t="s">
        <v>2768</v>
      </c>
      <c r="E580" s="23" t="s">
        <v>19</v>
      </c>
      <c r="F580" s="16"/>
      <c r="G580" s="16"/>
      <c r="H580" s="19" t="n">
        <f aca="false">LEN(IF(F580&lt;&gt;"",F580,D580))</f>
        <v>13</v>
      </c>
      <c r="I580" s="24" t="str">
        <f aca="false">IF(OR(H580&lt;2,H580&gt;140),"분량 확인","")</f>
        <v/>
      </c>
    </row>
    <row r="581" customFormat="false" ht="48" hidden="false" customHeight="true" outlineLevel="0" collapsed="false">
      <c r="A581" s="13" t="s">
        <v>2769</v>
      </c>
      <c r="B581" s="14" t="s">
        <v>758</v>
      </c>
      <c r="C581" s="15" t="s">
        <v>1685</v>
      </c>
      <c r="D581" s="15" t="s">
        <v>2770</v>
      </c>
      <c r="E581" s="23" t="s">
        <v>19</v>
      </c>
      <c r="F581" s="16"/>
      <c r="G581" s="16"/>
      <c r="H581" s="19" t="n">
        <f aca="false">LEN(IF(F581&lt;&gt;"",F581,D581))</f>
        <v>60</v>
      </c>
      <c r="I581" s="24" t="str">
        <f aca="false">IF(OR(H581&lt;2,H581&gt;140),"분량 확인","")</f>
        <v/>
      </c>
    </row>
    <row r="582" customFormat="false" ht="48" hidden="false" customHeight="true" outlineLevel="0" collapsed="false">
      <c r="A582" s="13" t="s">
        <v>2771</v>
      </c>
      <c r="B582" s="14" t="s">
        <v>758</v>
      </c>
      <c r="C582" s="15" t="s">
        <v>1688</v>
      </c>
      <c r="D582" s="15" t="s">
        <v>1689</v>
      </c>
      <c r="E582" s="23" t="s">
        <v>19</v>
      </c>
      <c r="F582" s="16"/>
      <c r="G582" s="16"/>
      <c r="H582" s="19" t="n">
        <f aca="false">LEN(IF(F582&lt;&gt;"",F582,D582))</f>
        <v>4</v>
      </c>
      <c r="I582" s="24" t="str">
        <f aca="false">IF(OR(H582&lt;2,H582&gt;140),"분량 확인","")</f>
        <v/>
      </c>
    </row>
    <row r="583" customFormat="false" ht="48" hidden="false" customHeight="true" outlineLevel="0" collapsed="false">
      <c r="A583" s="13" t="s">
        <v>2772</v>
      </c>
      <c r="B583" s="14" t="s">
        <v>758</v>
      </c>
      <c r="C583" s="15" t="s">
        <v>1691</v>
      </c>
      <c r="D583" s="15" t="s">
        <v>2773</v>
      </c>
      <c r="E583" s="23" t="s">
        <v>19</v>
      </c>
      <c r="F583" s="16"/>
      <c r="G583" s="16"/>
      <c r="H583" s="19" t="n">
        <f aca="false">LEN(IF(F583&lt;&gt;"",F583,D583))</f>
        <v>36</v>
      </c>
      <c r="I583" s="24" t="str">
        <f aca="false">IF(OR(H583&lt;2,H583&gt;140),"분량 확인","")</f>
        <v/>
      </c>
    </row>
    <row r="584" customFormat="false" ht="61.5" hidden="false" customHeight="true" outlineLevel="0" collapsed="false">
      <c r="A584" s="13" t="s">
        <v>2774</v>
      </c>
      <c r="B584" s="14" t="s">
        <v>758</v>
      </c>
      <c r="C584" s="15" t="s">
        <v>1694</v>
      </c>
      <c r="D584" s="15" t="s">
        <v>2775</v>
      </c>
      <c r="E584" s="23" t="s">
        <v>19</v>
      </c>
      <c r="F584" s="16"/>
      <c r="G584" s="16"/>
      <c r="H584" s="19" t="n">
        <f aca="false">LEN(IF(F584&lt;&gt;"",F584,D584))</f>
        <v>17</v>
      </c>
      <c r="I584" s="24" t="str">
        <f aca="false">IF(OR(H584&lt;2,H584&gt;140),"분량 확인","")</f>
        <v/>
      </c>
    </row>
    <row r="585" customFormat="false" ht="61.5" hidden="false" customHeight="true" outlineLevel="0" collapsed="false">
      <c r="A585" s="13" t="s">
        <v>2776</v>
      </c>
      <c r="B585" s="14" t="s">
        <v>758</v>
      </c>
      <c r="C585" s="15" t="s">
        <v>1697</v>
      </c>
      <c r="D585" s="15" t="s">
        <v>2777</v>
      </c>
      <c r="E585" s="23" t="s">
        <v>19</v>
      </c>
      <c r="F585" s="16"/>
      <c r="G585" s="16"/>
      <c r="H585" s="19" t="n">
        <f aca="false">LEN(IF(F585&lt;&gt;"",F585,D585))</f>
        <v>58</v>
      </c>
      <c r="I585" s="24" t="str">
        <f aca="false">IF(OR(H585&lt;2,H585&gt;140),"분량 확인","")</f>
        <v/>
      </c>
    </row>
    <row r="586" customFormat="false" ht="61.5" hidden="false" customHeight="true" outlineLevel="0" collapsed="false">
      <c r="A586" s="13" t="s">
        <v>2778</v>
      </c>
      <c r="B586" s="14" t="s">
        <v>758</v>
      </c>
      <c r="C586" s="15" t="s">
        <v>1700</v>
      </c>
      <c r="D586" s="15" t="s">
        <v>2779</v>
      </c>
      <c r="E586" s="23" t="s">
        <v>19</v>
      </c>
      <c r="F586" s="16"/>
      <c r="G586" s="16"/>
      <c r="H586" s="19" t="n">
        <f aca="false">LEN(IF(F586&lt;&gt;"",F586,D586))</f>
        <v>63</v>
      </c>
      <c r="I586" s="24" t="str">
        <f aca="false">IF(OR(H586&lt;2,H586&gt;140),"분량 확인","")</f>
        <v/>
      </c>
    </row>
    <row r="587" customFormat="false" ht="48" hidden="false" customHeight="true" outlineLevel="0" collapsed="false">
      <c r="A587" s="13" t="s">
        <v>2780</v>
      </c>
      <c r="B587" s="14" t="s">
        <v>758</v>
      </c>
      <c r="C587" s="15" t="s">
        <v>1703</v>
      </c>
      <c r="D587" s="15" t="s">
        <v>2781</v>
      </c>
      <c r="E587" s="23" t="s">
        <v>19</v>
      </c>
      <c r="F587" s="16"/>
      <c r="G587" s="16"/>
      <c r="H587" s="19" t="n">
        <f aca="false">LEN(IF(F587&lt;&gt;"",F587,D587))</f>
        <v>16</v>
      </c>
      <c r="I587" s="24" t="str">
        <f aca="false">IF(OR(H587&lt;2,H587&gt;140),"분량 확인","")</f>
        <v/>
      </c>
    </row>
    <row r="588" customFormat="false" ht="48" hidden="false" customHeight="true" outlineLevel="0" collapsed="false">
      <c r="A588" s="13" t="s">
        <v>2782</v>
      </c>
      <c r="B588" s="14" t="s">
        <v>758</v>
      </c>
      <c r="C588" s="15" t="s">
        <v>1706</v>
      </c>
      <c r="D588" s="15" t="s">
        <v>2783</v>
      </c>
      <c r="E588" s="23" t="s">
        <v>19</v>
      </c>
      <c r="F588" s="16"/>
      <c r="G588" s="16"/>
      <c r="H588" s="19" t="n">
        <f aca="false">LEN(IF(F588&lt;&gt;"",F588,D588))</f>
        <v>60</v>
      </c>
      <c r="I588" s="24" t="str">
        <f aca="false">IF(OR(H588&lt;2,H588&gt;140),"분량 확인","")</f>
        <v/>
      </c>
    </row>
    <row r="589" customFormat="false" ht="48" hidden="false" customHeight="true" outlineLevel="0" collapsed="false">
      <c r="A589" s="13" t="s">
        <v>2784</v>
      </c>
      <c r="B589" s="14" t="s">
        <v>758</v>
      </c>
      <c r="C589" s="15" t="s">
        <v>1709</v>
      </c>
      <c r="D589" s="14" t="s">
        <v>1710</v>
      </c>
      <c r="E589" s="23" t="s">
        <v>19</v>
      </c>
      <c r="F589" s="16"/>
      <c r="G589" s="16"/>
      <c r="H589" s="19" t="n">
        <f aca="false">LEN(IF(F589&lt;&gt;"",F589,D589))</f>
        <v>3</v>
      </c>
      <c r="I589" s="24" t="str">
        <f aca="false">IF(OR(H589&lt;2,H589&gt;140),"분량 확인","")</f>
        <v/>
      </c>
    </row>
    <row r="590" customFormat="false" ht="48" hidden="false" customHeight="true" outlineLevel="0" collapsed="false">
      <c r="A590" s="13" t="s">
        <v>2785</v>
      </c>
      <c r="B590" s="14" t="s">
        <v>758</v>
      </c>
      <c r="C590" s="15" t="s">
        <v>1712</v>
      </c>
      <c r="D590" s="15" t="s">
        <v>2786</v>
      </c>
      <c r="E590" s="23" t="s">
        <v>19</v>
      </c>
      <c r="F590" s="16"/>
      <c r="G590" s="16"/>
      <c r="H590" s="19" t="n">
        <f aca="false">LEN(IF(F590&lt;&gt;"",F590,D590))</f>
        <v>41</v>
      </c>
      <c r="I590" s="24" t="str">
        <f aca="false">IF(OR(H590&lt;2,H590&gt;140),"분량 확인","")</f>
        <v/>
      </c>
    </row>
    <row r="591" customFormat="false" ht="61.5" hidden="false" customHeight="true" outlineLevel="0" collapsed="false">
      <c r="A591" s="13" t="s">
        <v>2787</v>
      </c>
      <c r="B591" s="14" t="s">
        <v>758</v>
      </c>
      <c r="C591" s="15" t="s">
        <v>1715</v>
      </c>
      <c r="D591" s="15" t="s">
        <v>2788</v>
      </c>
      <c r="E591" s="23" t="s">
        <v>19</v>
      </c>
      <c r="F591" s="16"/>
      <c r="G591" s="16"/>
      <c r="H591" s="19" t="n">
        <f aca="false">LEN(IF(F591&lt;&gt;"",F591,D591))</f>
        <v>15</v>
      </c>
      <c r="I591" s="24" t="str">
        <f aca="false">IF(OR(H591&lt;2,H591&gt;140),"분량 확인","")</f>
        <v/>
      </c>
    </row>
    <row r="592" customFormat="false" ht="61.5" hidden="false" customHeight="true" outlineLevel="0" collapsed="false">
      <c r="A592" s="13" t="s">
        <v>2789</v>
      </c>
      <c r="B592" s="14" t="s">
        <v>758</v>
      </c>
      <c r="C592" s="15" t="s">
        <v>1718</v>
      </c>
      <c r="D592" s="15" t="s">
        <v>2790</v>
      </c>
      <c r="E592" s="23" t="s">
        <v>19</v>
      </c>
      <c r="F592" s="16"/>
      <c r="G592" s="16"/>
      <c r="H592" s="19" t="n">
        <f aca="false">LEN(IF(F592&lt;&gt;"",F592,D592))</f>
        <v>13</v>
      </c>
      <c r="I592" s="24" t="str">
        <f aca="false">IF(OR(H592&lt;2,H592&gt;140),"분량 확인","")</f>
        <v/>
      </c>
    </row>
    <row r="593" customFormat="false" ht="61.5" hidden="false" customHeight="true" outlineLevel="0" collapsed="false">
      <c r="A593" s="13" t="s">
        <v>2791</v>
      </c>
      <c r="B593" s="14" t="s">
        <v>758</v>
      </c>
      <c r="C593" s="15" t="s">
        <v>1721</v>
      </c>
      <c r="D593" s="15" t="s">
        <v>2792</v>
      </c>
      <c r="E593" s="23" t="s">
        <v>19</v>
      </c>
      <c r="F593" s="16"/>
      <c r="G593" s="16"/>
      <c r="H593" s="19" t="n">
        <f aca="false">LEN(IF(F593&lt;&gt;"",F593,D593))</f>
        <v>46</v>
      </c>
      <c r="I593" s="24" t="str">
        <f aca="false">IF(OR(H593&lt;2,H593&gt;140),"분량 확인","")</f>
        <v/>
      </c>
    </row>
    <row r="594" customFormat="false" ht="61.5" hidden="false" customHeight="true" outlineLevel="0" collapsed="false">
      <c r="A594" s="13" t="s">
        <v>2793</v>
      </c>
      <c r="B594" s="14" t="s">
        <v>758</v>
      </c>
      <c r="C594" s="15" t="s">
        <v>1724</v>
      </c>
      <c r="D594" s="15" t="s">
        <v>2794</v>
      </c>
      <c r="E594" s="23" t="s">
        <v>19</v>
      </c>
      <c r="F594" s="16"/>
      <c r="G594" s="16"/>
      <c r="H594" s="19" t="n">
        <f aca="false">LEN(IF(F594&lt;&gt;"",F594,D594))</f>
        <v>61</v>
      </c>
      <c r="I594" s="24" t="str">
        <f aca="false">IF(OR(H594&lt;2,H594&gt;140),"분량 확인","")</f>
        <v/>
      </c>
    </row>
    <row r="595" customFormat="false" ht="48" hidden="false" customHeight="true" outlineLevel="0" collapsed="false">
      <c r="A595" s="13" t="s">
        <v>2795</v>
      </c>
      <c r="B595" s="14" t="s">
        <v>758</v>
      </c>
      <c r="C595" s="15" t="s">
        <v>1727</v>
      </c>
      <c r="D595" s="15" t="s">
        <v>2796</v>
      </c>
      <c r="E595" s="23" t="s">
        <v>19</v>
      </c>
      <c r="F595" s="16"/>
      <c r="G595" s="16"/>
      <c r="H595" s="19" t="n">
        <f aca="false">LEN(IF(F595&lt;&gt;"",F595,D595))</f>
        <v>12</v>
      </c>
      <c r="I595" s="24" t="str">
        <f aca="false">IF(OR(H595&lt;2,H595&gt;140),"분량 확인","")</f>
        <v/>
      </c>
    </row>
    <row r="596" customFormat="false" ht="48" hidden="false" customHeight="true" outlineLevel="0" collapsed="false">
      <c r="A596" s="13" t="s">
        <v>2797</v>
      </c>
      <c r="B596" s="14" t="s">
        <v>758</v>
      </c>
      <c r="C596" s="15" t="s">
        <v>1730</v>
      </c>
      <c r="D596" s="15" t="s">
        <v>2798</v>
      </c>
      <c r="E596" s="23" t="s">
        <v>19</v>
      </c>
      <c r="F596" s="16"/>
      <c r="G596" s="16"/>
      <c r="H596" s="19" t="n">
        <f aca="false">LEN(IF(F596&lt;&gt;"",F596,D596))</f>
        <v>41</v>
      </c>
      <c r="I596" s="24" t="str">
        <f aca="false">IF(OR(H596&lt;2,H596&gt;140),"분량 확인","")</f>
        <v/>
      </c>
    </row>
    <row r="597" customFormat="false" ht="48" hidden="false" customHeight="true" outlineLevel="0" collapsed="false">
      <c r="A597" s="13" t="s">
        <v>2799</v>
      </c>
      <c r="B597" s="14" t="s">
        <v>758</v>
      </c>
      <c r="C597" s="15" t="s">
        <v>1733</v>
      </c>
      <c r="D597" s="14" t="s">
        <v>1783</v>
      </c>
      <c r="E597" s="23" t="s">
        <v>19</v>
      </c>
      <c r="F597" s="16"/>
      <c r="G597" s="16"/>
      <c r="H597" s="19" t="n">
        <f aca="false">LEN(IF(F597&lt;&gt;"",F597,D597))</f>
        <v>2</v>
      </c>
      <c r="I597" s="24" t="str">
        <f aca="false">IF(OR(H597&lt;2,H597&gt;140),"분량 확인","")</f>
        <v/>
      </c>
    </row>
    <row r="598" customFormat="false" ht="48" hidden="false" customHeight="true" outlineLevel="0" collapsed="false">
      <c r="A598" s="13" t="s">
        <v>2800</v>
      </c>
      <c r="B598" s="14" t="s">
        <v>758</v>
      </c>
      <c r="C598" s="15" t="s">
        <v>1736</v>
      </c>
      <c r="D598" s="15" t="s">
        <v>2801</v>
      </c>
      <c r="E598" s="23" t="s">
        <v>19</v>
      </c>
      <c r="F598" s="16"/>
      <c r="G598" s="16"/>
      <c r="H598" s="19" t="n">
        <f aca="false">LEN(IF(F598&lt;&gt;"",F598,D598))</f>
        <v>38</v>
      </c>
      <c r="I598" s="24" t="str">
        <f aca="false">IF(OR(H598&lt;2,H598&gt;140),"분량 확인","")</f>
        <v/>
      </c>
    </row>
    <row r="599" customFormat="false" ht="48" hidden="false" customHeight="true" outlineLevel="0" collapsed="false">
      <c r="A599" s="13" t="s">
        <v>2802</v>
      </c>
      <c r="B599" s="14" t="s">
        <v>758</v>
      </c>
      <c r="C599" s="15" t="s">
        <v>1739</v>
      </c>
      <c r="D599" s="15" t="s">
        <v>2803</v>
      </c>
      <c r="E599" s="23" t="s">
        <v>19</v>
      </c>
      <c r="F599" s="16"/>
      <c r="G599" s="16"/>
      <c r="H599" s="19" t="n">
        <f aca="false">LEN(IF(F599&lt;&gt;"",F599,D599))</f>
        <v>15</v>
      </c>
      <c r="I599" s="24" t="str">
        <f aca="false">IF(OR(H599&lt;2,H599&gt;140),"분량 확인","")</f>
        <v/>
      </c>
    </row>
    <row r="600" customFormat="false" ht="48" hidden="false" customHeight="true" outlineLevel="0" collapsed="false">
      <c r="A600" s="13" t="s">
        <v>2804</v>
      </c>
      <c r="B600" s="14" t="s">
        <v>758</v>
      </c>
      <c r="C600" s="15" t="s">
        <v>1742</v>
      </c>
      <c r="D600" s="15" t="s">
        <v>2805</v>
      </c>
      <c r="E600" s="23" t="s">
        <v>19</v>
      </c>
      <c r="F600" s="16"/>
      <c r="G600" s="16"/>
      <c r="H600" s="19" t="n">
        <f aca="false">LEN(IF(F600&lt;&gt;"",F600,D600))</f>
        <v>57</v>
      </c>
      <c r="I600" s="24" t="str">
        <f aca="false">IF(OR(H600&lt;2,H600&gt;140),"분량 확인","")</f>
        <v/>
      </c>
    </row>
    <row r="601" customFormat="false" ht="48" hidden="false" customHeight="true" outlineLevel="0" collapsed="false">
      <c r="A601" s="13" t="s">
        <v>2806</v>
      </c>
      <c r="B601" s="14" t="s">
        <v>758</v>
      </c>
      <c r="C601" s="15" t="s">
        <v>1745</v>
      </c>
      <c r="D601" s="15" t="s">
        <v>1689</v>
      </c>
      <c r="E601" s="23" t="s">
        <v>19</v>
      </c>
      <c r="F601" s="16"/>
      <c r="G601" s="16"/>
      <c r="H601" s="19" t="n">
        <f aca="false">LEN(IF(F601&lt;&gt;"",F601,D601))</f>
        <v>4</v>
      </c>
      <c r="I601" s="24" t="str">
        <f aca="false">IF(OR(H601&lt;2,H601&gt;140),"분량 확인","")</f>
        <v/>
      </c>
    </row>
    <row r="602" customFormat="false" ht="48" hidden="false" customHeight="true" outlineLevel="0" collapsed="false">
      <c r="A602" s="13" t="s">
        <v>2807</v>
      </c>
      <c r="B602" s="14" t="s">
        <v>758</v>
      </c>
      <c r="C602" s="15" t="s">
        <v>1747</v>
      </c>
      <c r="D602" s="15" t="s">
        <v>2808</v>
      </c>
      <c r="E602" s="23" t="s">
        <v>19</v>
      </c>
      <c r="F602" s="16"/>
      <c r="G602" s="16"/>
      <c r="H602" s="19" t="n">
        <f aca="false">LEN(IF(F602&lt;&gt;"",F602,D602))</f>
        <v>50</v>
      </c>
      <c r="I602" s="24" t="str">
        <f aca="false">IF(OR(H602&lt;2,H602&gt;140),"분량 확인","")</f>
        <v/>
      </c>
    </row>
    <row r="603" customFormat="false" ht="61.5" hidden="false" customHeight="true" outlineLevel="0" collapsed="false">
      <c r="A603" s="13" t="s">
        <v>2809</v>
      </c>
      <c r="B603" s="14" t="s">
        <v>758</v>
      </c>
      <c r="C603" s="15" t="s">
        <v>1750</v>
      </c>
      <c r="D603" s="15" t="s">
        <v>2810</v>
      </c>
      <c r="E603" s="23" t="s">
        <v>19</v>
      </c>
      <c r="F603" s="16"/>
      <c r="G603" s="16"/>
      <c r="H603" s="19" t="n">
        <f aca="false">LEN(IF(F603&lt;&gt;"",F603,D603))</f>
        <v>13</v>
      </c>
      <c r="I603" s="24" t="str">
        <f aca="false">IF(OR(H603&lt;2,H603&gt;140),"분량 확인","")</f>
        <v/>
      </c>
    </row>
    <row r="604" customFormat="false" ht="61.5" hidden="false" customHeight="true" outlineLevel="0" collapsed="false">
      <c r="A604" s="13" t="s">
        <v>2811</v>
      </c>
      <c r="B604" s="14" t="s">
        <v>758</v>
      </c>
      <c r="C604" s="15" t="s">
        <v>1753</v>
      </c>
      <c r="D604" s="14" t="s">
        <v>2812</v>
      </c>
      <c r="E604" s="23" t="s">
        <v>19</v>
      </c>
      <c r="F604" s="16"/>
      <c r="G604" s="16"/>
      <c r="H604" s="19" t="n">
        <f aca="false">LEN(IF(F604&lt;&gt;"",F604,D604))</f>
        <v>59</v>
      </c>
      <c r="I604" s="24" t="str">
        <f aca="false">IF(OR(H604&lt;2,H604&gt;140),"분량 확인","")</f>
        <v/>
      </c>
    </row>
    <row r="605" customFormat="false" ht="61.5" hidden="false" customHeight="true" outlineLevel="0" collapsed="false">
      <c r="A605" s="13" t="s">
        <v>2813</v>
      </c>
      <c r="B605" s="14" t="s">
        <v>758</v>
      </c>
      <c r="C605" s="15" t="s">
        <v>1756</v>
      </c>
      <c r="D605" s="15" t="s">
        <v>2814</v>
      </c>
      <c r="E605" s="23" t="s">
        <v>19</v>
      </c>
      <c r="F605" s="16"/>
      <c r="G605" s="16"/>
      <c r="H605" s="19" t="n">
        <f aca="false">LEN(IF(F605&lt;&gt;"",F605,D605))</f>
        <v>61</v>
      </c>
      <c r="I605" s="24" t="str">
        <f aca="false">IF(OR(H605&lt;2,H605&gt;140),"분량 확인","")</f>
        <v/>
      </c>
    </row>
    <row r="606" customFormat="false" ht="48" hidden="false" customHeight="true" outlineLevel="0" collapsed="false">
      <c r="A606" s="13" t="s">
        <v>2815</v>
      </c>
      <c r="B606" s="14" t="s">
        <v>758</v>
      </c>
      <c r="C606" s="15" t="s">
        <v>1759</v>
      </c>
      <c r="D606" s="15" t="s">
        <v>2816</v>
      </c>
      <c r="E606" s="23" t="s">
        <v>19</v>
      </c>
      <c r="F606" s="16"/>
      <c r="G606" s="16"/>
      <c r="H606" s="19" t="n">
        <f aca="false">LEN(IF(F606&lt;&gt;"",F606,D606))</f>
        <v>13</v>
      </c>
      <c r="I606" s="24" t="str">
        <f aca="false">IF(OR(H606&lt;2,H606&gt;140),"분량 확인","")</f>
        <v/>
      </c>
    </row>
    <row r="607" customFormat="false" ht="48" hidden="false" customHeight="true" outlineLevel="0" collapsed="false">
      <c r="A607" s="13" t="s">
        <v>2817</v>
      </c>
      <c r="B607" s="14" t="s">
        <v>758</v>
      </c>
      <c r="C607" s="15" t="s">
        <v>1762</v>
      </c>
      <c r="D607" s="15" t="s">
        <v>2818</v>
      </c>
      <c r="E607" s="23" t="s">
        <v>19</v>
      </c>
      <c r="F607" s="16"/>
      <c r="G607" s="16"/>
      <c r="H607" s="19" t="n">
        <f aca="false">LEN(IF(F607&lt;&gt;"",F607,D607))</f>
        <v>54</v>
      </c>
      <c r="I607" s="24" t="str">
        <f aca="false">IF(OR(H607&lt;2,H607&gt;140),"분량 확인","")</f>
        <v/>
      </c>
    </row>
    <row r="608" customFormat="false" ht="48" hidden="false" customHeight="true" outlineLevel="0" collapsed="false">
      <c r="A608" s="13" t="s">
        <v>2819</v>
      </c>
      <c r="B608" s="14" t="s">
        <v>758</v>
      </c>
      <c r="C608" s="15" t="s">
        <v>1765</v>
      </c>
      <c r="D608" s="14" t="s">
        <v>1710</v>
      </c>
      <c r="E608" s="23" t="s">
        <v>19</v>
      </c>
      <c r="F608" s="16"/>
      <c r="G608" s="16"/>
      <c r="H608" s="19" t="n">
        <f aca="false">LEN(IF(F608&lt;&gt;"",F608,D608))</f>
        <v>3</v>
      </c>
      <c r="I608" s="24" t="str">
        <f aca="false">IF(OR(H608&lt;2,H608&gt;140),"분량 확인","")</f>
        <v/>
      </c>
    </row>
    <row r="609" customFormat="false" ht="48" hidden="false" customHeight="true" outlineLevel="0" collapsed="false">
      <c r="A609" s="13" t="s">
        <v>2820</v>
      </c>
      <c r="B609" s="14" t="s">
        <v>758</v>
      </c>
      <c r="C609" s="15" t="s">
        <v>1768</v>
      </c>
      <c r="D609" s="15" t="s">
        <v>2821</v>
      </c>
      <c r="E609" s="23" t="s">
        <v>19</v>
      </c>
      <c r="F609" s="16"/>
      <c r="G609" s="16"/>
      <c r="H609" s="19" t="n">
        <f aca="false">LEN(IF(F609&lt;&gt;"",F609,D609))</f>
        <v>42</v>
      </c>
      <c r="I609" s="24" t="str">
        <f aca="false">IF(OR(H609&lt;2,H609&gt;140),"분량 확인","")</f>
        <v/>
      </c>
    </row>
    <row r="610" customFormat="false" ht="61.5" hidden="false" customHeight="true" outlineLevel="0" collapsed="false">
      <c r="A610" s="13" t="s">
        <v>2822</v>
      </c>
      <c r="B610" s="14" t="s">
        <v>771</v>
      </c>
      <c r="C610" s="15" t="s">
        <v>1658</v>
      </c>
      <c r="D610" s="15" t="s">
        <v>2823</v>
      </c>
      <c r="E610" s="23" t="s">
        <v>19</v>
      </c>
      <c r="F610" s="16"/>
      <c r="G610" s="16"/>
      <c r="H610" s="19" t="n">
        <f aca="false">LEN(IF(F610&lt;&gt;"",F610,D610))</f>
        <v>12</v>
      </c>
      <c r="I610" s="24" t="str">
        <f aca="false">IF(OR(H610&lt;2,H610&gt;140),"분량 확인","")</f>
        <v/>
      </c>
    </row>
    <row r="611" customFormat="false" ht="61.5" hidden="false" customHeight="true" outlineLevel="0" collapsed="false">
      <c r="A611" s="13" t="s">
        <v>2824</v>
      </c>
      <c r="B611" s="14" t="s">
        <v>771</v>
      </c>
      <c r="C611" s="15" t="s">
        <v>1661</v>
      </c>
      <c r="D611" s="15" t="s">
        <v>2825</v>
      </c>
      <c r="E611" s="23" t="s">
        <v>19</v>
      </c>
      <c r="F611" s="16"/>
      <c r="G611" s="16"/>
      <c r="H611" s="19" t="n">
        <f aca="false">LEN(IF(F611&lt;&gt;"",F611,D611))</f>
        <v>14</v>
      </c>
      <c r="I611" s="24" t="str">
        <f aca="false">IF(OR(H611&lt;2,H611&gt;140),"분량 확인","")</f>
        <v/>
      </c>
    </row>
    <row r="612" customFormat="false" ht="61.5" hidden="false" customHeight="true" outlineLevel="0" collapsed="false">
      <c r="A612" s="13" t="s">
        <v>2826</v>
      </c>
      <c r="B612" s="14" t="s">
        <v>771</v>
      </c>
      <c r="C612" s="15" t="s">
        <v>1664</v>
      </c>
      <c r="D612" s="15" t="s">
        <v>2827</v>
      </c>
      <c r="E612" s="23" t="s">
        <v>19</v>
      </c>
      <c r="F612" s="16"/>
      <c r="G612" s="16"/>
      <c r="H612" s="19" t="n">
        <f aca="false">LEN(IF(F612&lt;&gt;"",F612,D612))</f>
        <v>49</v>
      </c>
      <c r="I612" s="24" t="str">
        <f aca="false">IF(OR(H612&lt;2,H612&gt;140),"분량 확인","")</f>
        <v/>
      </c>
    </row>
    <row r="613" customFormat="false" ht="61.5" hidden="false" customHeight="true" outlineLevel="0" collapsed="false">
      <c r="A613" s="13" t="s">
        <v>2828</v>
      </c>
      <c r="B613" s="14" t="s">
        <v>771</v>
      </c>
      <c r="C613" s="15" t="s">
        <v>1667</v>
      </c>
      <c r="D613" s="15" t="s">
        <v>2829</v>
      </c>
      <c r="E613" s="23" t="s">
        <v>19</v>
      </c>
      <c r="F613" s="16"/>
      <c r="G613" s="16"/>
      <c r="H613" s="19" t="n">
        <f aca="false">LEN(IF(F613&lt;&gt;"",F613,D613))</f>
        <v>56</v>
      </c>
      <c r="I613" s="24" t="str">
        <f aca="false">IF(OR(H613&lt;2,H613&gt;140),"분량 확인","")</f>
        <v/>
      </c>
    </row>
    <row r="614" customFormat="false" ht="48" hidden="false" customHeight="true" outlineLevel="0" collapsed="false">
      <c r="A614" s="13" t="s">
        <v>2830</v>
      </c>
      <c r="B614" s="14" t="s">
        <v>771</v>
      </c>
      <c r="C614" s="15" t="s">
        <v>1670</v>
      </c>
      <c r="D614" s="15" t="s">
        <v>2831</v>
      </c>
      <c r="E614" s="23" t="s">
        <v>19</v>
      </c>
      <c r="F614" s="16"/>
      <c r="G614" s="16"/>
      <c r="H614" s="19" t="n">
        <f aca="false">LEN(IF(F614&lt;&gt;"",F614,D614))</f>
        <v>12</v>
      </c>
      <c r="I614" s="24" t="str">
        <f aca="false">IF(OR(H614&lt;2,H614&gt;140),"분량 확인","")</f>
        <v/>
      </c>
    </row>
    <row r="615" customFormat="false" ht="48" hidden="false" customHeight="true" outlineLevel="0" collapsed="false">
      <c r="A615" s="13" t="s">
        <v>2832</v>
      </c>
      <c r="B615" s="14" t="s">
        <v>771</v>
      </c>
      <c r="C615" s="15" t="s">
        <v>1673</v>
      </c>
      <c r="D615" s="15" t="s">
        <v>2833</v>
      </c>
      <c r="E615" s="23" t="s">
        <v>19</v>
      </c>
      <c r="F615" s="16"/>
      <c r="G615" s="16"/>
      <c r="H615" s="19" t="n">
        <f aca="false">LEN(IF(F615&lt;&gt;"",F615,D615))</f>
        <v>34</v>
      </c>
      <c r="I615" s="24" t="str">
        <f aca="false">IF(OR(H615&lt;2,H615&gt;140),"분량 확인","")</f>
        <v/>
      </c>
    </row>
    <row r="616" customFormat="false" ht="48" hidden="false" customHeight="true" outlineLevel="0" collapsed="false">
      <c r="A616" s="13" t="s">
        <v>2834</v>
      </c>
      <c r="B616" s="14" t="s">
        <v>771</v>
      </c>
      <c r="C616" s="15" t="s">
        <v>1676</v>
      </c>
      <c r="D616" s="14" t="s">
        <v>1734</v>
      </c>
      <c r="E616" s="23" t="s">
        <v>19</v>
      </c>
      <c r="F616" s="16"/>
      <c r="G616" s="16"/>
      <c r="H616" s="19" t="n">
        <f aca="false">LEN(IF(F616&lt;&gt;"",F616,D616))</f>
        <v>2</v>
      </c>
      <c r="I616" s="24" t="str">
        <f aca="false">IF(OR(H616&lt;2,H616&gt;140),"분량 확인","")</f>
        <v/>
      </c>
    </row>
    <row r="617" customFormat="false" ht="48" hidden="false" customHeight="true" outlineLevel="0" collapsed="false">
      <c r="A617" s="13" t="s">
        <v>2835</v>
      </c>
      <c r="B617" s="14" t="s">
        <v>771</v>
      </c>
      <c r="C617" s="15" t="s">
        <v>1679</v>
      </c>
      <c r="D617" s="15" t="s">
        <v>2836</v>
      </c>
      <c r="E617" s="23" t="s">
        <v>19</v>
      </c>
      <c r="F617" s="16"/>
      <c r="G617" s="16"/>
      <c r="H617" s="19" t="n">
        <f aca="false">LEN(IF(F617&lt;&gt;"",F617,D617))</f>
        <v>39</v>
      </c>
      <c r="I617" s="24" t="str">
        <f aca="false">IF(OR(H617&lt;2,H617&gt;140),"분량 확인","")</f>
        <v/>
      </c>
    </row>
    <row r="618" customFormat="false" ht="48" hidden="false" customHeight="true" outlineLevel="0" collapsed="false">
      <c r="A618" s="13" t="s">
        <v>2837</v>
      </c>
      <c r="B618" s="14" t="s">
        <v>771</v>
      </c>
      <c r="C618" s="15" t="s">
        <v>1682</v>
      </c>
      <c r="D618" s="15" t="s">
        <v>2838</v>
      </c>
      <c r="E618" s="23" t="s">
        <v>19</v>
      </c>
      <c r="F618" s="16"/>
      <c r="G618" s="16"/>
      <c r="H618" s="19" t="n">
        <f aca="false">LEN(IF(F618&lt;&gt;"",F618,D618))</f>
        <v>15</v>
      </c>
      <c r="I618" s="24" t="str">
        <f aca="false">IF(OR(H618&lt;2,H618&gt;140),"분량 확인","")</f>
        <v/>
      </c>
    </row>
    <row r="619" customFormat="false" ht="48" hidden="false" customHeight="true" outlineLevel="0" collapsed="false">
      <c r="A619" s="13" t="s">
        <v>2839</v>
      </c>
      <c r="B619" s="14" t="s">
        <v>771</v>
      </c>
      <c r="C619" s="15" t="s">
        <v>1685</v>
      </c>
      <c r="D619" s="15" t="s">
        <v>2840</v>
      </c>
      <c r="E619" s="23" t="s">
        <v>19</v>
      </c>
      <c r="F619" s="16"/>
      <c r="G619" s="16"/>
      <c r="H619" s="19" t="n">
        <f aca="false">LEN(IF(F619&lt;&gt;"",F619,D619))</f>
        <v>57</v>
      </c>
      <c r="I619" s="24" t="str">
        <f aca="false">IF(OR(H619&lt;2,H619&gt;140),"분량 확인","")</f>
        <v/>
      </c>
    </row>
    <row r="620" customFormat="false" ht="48" hidden="false" customHeight="true" outlineLevel="0" collapsed="false">
      <c r="A620" s="13" t="s">
        <v>2841</v>
      </c>
      <c r="B620" s="14" t="s">
        <v>771</v>
      </c>
      <c r="C620" s="15" t="s">
        <v>1688</v>
      </c>
      <c r="D620" s="15" t="s">
        <v>1689</v>
      </c>
      <c r="E620" s="23" t="s">
        <v>19</v>
      </c>
      <c r="F620" s="16"/>
      <c r="G620" s="16"/>
      <c r="H620" s="19" t="n">
        <f aca="false">LEN(IF(F620&lt;&gt;"",F620,D620))</f>
        <v>4</v>
      </c>
      <c r="I620" s="24" t="str">
        <f aca="false">IF(OR(H620&lt;2,H620&gt;140),"분량 확인","")</f>
        <v/>
      </c>
    </row>
    <row r="621" customFormat="false" ht="48" hidden="false" customHeight="true" outlineLevel="0" collapsed="false">
      <c r="A621" s="13" t="s">
        <v>2842</v>
      </c>
      <c r="B621" s="14" t="s">
        <v>771</v>
      </c>
      <c r="C621" s="15" t="s">
        <v>1691</v>
      </c>
      <c r="D621" s="15" t="s">
        <v>2843</v>
      </c>
      <c r="E621" s="23" t="s">
        <v>19</v>
      </c>
      <c r="F621" s="16"/>
      <c r="G621" s="16"/>
      <c r="H621" s="19" t="n">
        <f aca="false">LEN(IF(F621&lt;&gt;"",F621,D621))</f>
        <v>33</v>
      </c>
      <c r="I621" s="24" t="str">
        <f aca="false">IF(OR(H621&lt;2,H621&gt;140),"분량 확인","")</f>
        <v/>
      </c>
    </row>
    <row r="622" customFormat="false" ht="61.5" hidden="false" customHeight="true" outlineLevel="0" collapsed="false">
      <c r="A622" s="13" t="s">
        <v>2844</v>
      </c>
      <c r="B622" s="14" t="s">
        <v>771</v>
      </c>
      <c r="C622" s="15" t="s">
        <v>1694</v>
      </c>
      <c r="D622" s="15" t="s">
        <v>2845</v>
      </c>
      <c r="E622" s="23" t="s">
        <v>19</v>
      </c>
      <c r="F622" s="16"/>
      <c r="G622" s="16"/>
      <c r="H622" s="19" t="n">
        <f aca="false">LEN(IF(F622&lt;&gt;"",F622,D622))</f>
        <v>19</v>
      </c>
      <c r="I622" s="24" t="str">
        <f aca="false">IF(OR(H622&lt;2,H622&gt;140),"분량 확인","")</f>
        <v/>
      </c>
    </row>
    <row r="623" customFormat="false" ht="61.5" hidden="false" customHeight="true" outlineLevel="0" collapsed="false">
      <c r="A623" s="13" t="s">
        <v>2846</v>
      </c>
      <c r="B623" s="14" t="s">
        <v>771</v>
      </c>
      <c r="C623" s="15" t="s">
        <v>1697</v>
      </c>
      <c r="D623" s="14" t="s">
        <v>2847</v>
      </c>
      <c r="E623" s="23" t="s">
        <v>19</v>
      </c>
      <c r="F623" s="16"/>
      <c r="G623" s="16"/>
      <c r="H623" s="19" t="n">
        <f aca="false">LEN(IF(F623&lt;&gt;"",F623,D623))</f>
        <v>63</v>
      </c>
      <c r="I623" s="24" t="str">
        <f aca="false">IF(OR(H623&lt;2,H623&gt;140),"분량 확인","")</f>
        <v/>
      </c>
    </row>
    <row r="624" customFormat="false" ht="61.5" hidden="false" customHeight="true" outlineLevel="0" collapsed="false">
      <c r="A624" s="13" t="s">
        <v>2848</v>
      </c>
      <c r="B624" s="14" t="s">
        <v>771</v>
      </c>
      <c r="C624" s="15" t="s">
        <v>1700</v>
      </c>
      <c r="D624" s="15" t="s">
        <v>2849</v>
      </c>
      <c r="E624" s="23" t="s">
        <v>19</v>
      </c>
      <c r="F624" s="16"/>
      <c r="G624" s="16"/>
      <c r="H624" s="19" t="n">
        <f aca="false">LEN(IF(F624&lt;&gt;"",F624,D624))</f>
        <v>57</v>
      </c>
      <c r="I624" s="24" t="str">
        <f aca="false">IF(OR(H624&lt;2,H624&gt;140),"분량 확인","")</f>
        <v/>
      </c>
    </row>
    <row r="625" customFormat="false" ht="48" hidden="false" customHeight="true" outlineLevel="0" collapsed="false">
      <c r="A625" s="13" t="s">
        <v>2850</v>
      </c>
      <c r="B625" s="14" t="s">
        <v>771</v>
      </c>
      <c r="C625" s="15" t="s">
        <v>1703</v>
      </c>
      <c r="D625" s="15" t="s">
        <v>2851</v>
      </c>
      <c r="E625" s="23" t="s">
        <v>19</v>
      </c>
      <c r="F625" s="16"/>
      <c r="G625" s="16"/>
      <c r="H625" s="19" t="n">
        <f aca="false">LEN(IF(F625&lt;&gt;"",F625,D625))</f>
        <v>15</v>
      </c>
      <c r="I625" s="24" t="str">
        <f aca="false">IF(OR(H625&lt;2,H625&gt;140),"분량 확인","")</f>
        <v/>
      </c>
    </row>
    <row r="626" customFormat="false" ht="48" hidden="false" customHeight="true" outlineLevel="0" collapsed="false">
      <c r="A626" s="13" t="s">
        <v>2852</v>
      </c>
      <c r="B626" s="14" t="s">
        <v>771</v>
      </c>
      <c r="C626" s="15" t="s">
        <v>1706</v>
      </c>
      <c r="D626" s="15" t="s">
        <v>2853</v>
      </c>
      <c r="E626" s="23" t="s">
        <v>19</v>
      </c>
      <c r="F626" s="16"/>
      <c r="G626" s="16"/>
      <c r="H626" s="19" t="n">
        <f aca="false">LEN(IF(F626&lt;&gt;"",F626,D626))</f>
        <v>54</v>
      </c>
      <c r="I626" s="24" t="str">
        <f aca="false">IF(OR(H626&lt;2,H626&gt;140),"분량 확인","")</f>
        <v/>
      </c>
    </row>
    <row r="627" customFormat="false" ht="48" hidden="false" customHeight="true" outlineLevel="0" collapsed="false">
      <c r="A627" s="13" t="s">
        <v>2854</v>
      </c>
      <c r="B627" s="14" t="s">
        <v>771</v>
      </c>
      <c r="C627" s="15" t="s">
        <v>1709</v>
      </c>
      <c r="D627" s="14" t="s">
        <v>1766</v>
      </c>
      <c r="E627" s="23" t="s">
        <v>19</v>
      </c>
      <c r="F627" s="16"/>
      <c r="G627" s="16"/>
      <c r="H627" s="19" t="n">
        <f aca="false">LEN(IF(F627&lt;&gt;"",F627,D627))</f>
        <v>3</v>
      </c>
      <c r="I627" s="24" t="str">
        <f aca="false">IF(OR(H627&lt;2,H627&gt;140),"분량 확인","")</f>
        <v/>
      </c>
    </row>
    <row r="628" customFormat="false" ht="48" hidden="false" customHeight="true" outlineLevel="0" collapsed="false">
      <c r="A628" s="13" t="s">
        <v>2855</v>
      </c>
      <c r="B628" s="14" t="s">
        <v>771</v>
      </c>
      <c r="C628" s="15" t="s">
        <v>1712</v>
      </c>
      <c r="D628" s="15" t="s">
        <v>2856</v>
      </c>
      <c r="E628" s="23" t="s">
        <v>19</v>
      </c>
      <c r="F628" s="16"/>
      <c r="G628" s="16"/>
      <c r="H628" s="19" t="n">
        <f aca="false">LEN(IF(F628&lt;&gt;"",F628,D628))</f>
        <v>43</v>
      </c>
      <c r="I628" s="24" t="str">
        <f aca="false">IF(OR(H628&lt;2,H628&gt;140),"분량 확인","")</f>
        <v/>
      </c>
    </row>
    <row r="629" customFormat="false" ht="61.5" hidden="false" customHeight="true" outlineLevel="0" collapsed="false">
      <c r="A629" s="13" t="s">
        <v>2857</v>
      </c>
      <c r="B629" s="14" t="s">
        <v>771</v>
      </c>
      <c r="C629" s="15" t="s">
        <v>1715</v>
      </c>
      <c r="D629" s="15" t="s">
        <v>2858</v>
      </c>
      <c r="E629" s="23" t="s">
        <v>19</v>
      </c>
      <c r="F629" s="16"/>
      <c r="G629" s="16"/>
      <c r="H629" s="19" t="n">
        <f aca="false">LEN(IF(F629&lt;&gt;"",F629,D629))</f>
        <v>12</v>
      </c>
      <c r="I629" s="24" t="str">
        <f aca="false">IF(OR(H629&lt;2,H629&gt;140),"분량 확인","")</f>
        <v/>
      </c>
    </row>
    <row r="630" customFormat="false" ht="61.5" hidden="false" customHeight="true" outlineLevel="0" collapsed="false">
      <c r="A630" s="13" t="s">
        <v>2859</v>
      </c>
      <c r="B630" s="14" t="s">
        <v>771</v>
      </c>
      <c r="C630" s="15" t="s">
        <v>1718</v>
      </c>
      <c r="D630" s="15" t="s">
        <v>2860</v>
      </c>
      <c r="E630" s="23" t="s">
        <v>19</v>
      </c>
      <c r="F630" s="16"/>
      <c r="G630" s="16"/>
      <c r="H630" s="19" t="n">
        <f aca="false">LEN(IF(F630&lt;&gt;"",F630,D630))</f>
        <v>17</v>
      </c>
      <c r="I630" s="24" t="str">
        <f aca="false">IF(OR(H630&lt;2,H630&gt;140),"분량 확인","")</f>
        <v/>
      </c>
    </row>
    <row r="631" customFormat="false" ht="61.5" hidden="false" customHeight="true" outlineLevel="0" collapsed="false">
      <c r="A631" s="13" t="s">
        <v>2861</v>
      </c>
      <c r="B631" s="14" t="s">
        <v>771</v>
      </c>
      <c r="C631" s="15" t="s">
        <v>1721</v>
      </c>
      <c r="D631" s="15" t="s">
        <v>2862</v>
      </c>
      <c r="E631" s="23" t="s">
        <v>19</v>
      </c>
      <c r="F631" s="16"/>
      <c r="G631" s="16"/>
      <c r="H631" s="19" t="n">
        <f aca="false">LEN(IF(F631&lt;&gt;"",F631,D631))</f>
        <v>48</v>
      </c>
      <c r="I631" s="24" t="str">
        <f aca="false">IF(OR(H631&lt;2,H631&gt;140),"분량 확인","")</f>
        <v/>
      </c>
    </row>
    <row r="632" customFormat="false" ht="61.5" hidden="false" customHeight="true" outlineLevel="0" collapsed="false">
      <c r="A632" s="13" t="s">
        <v>2863</v>
      </c>
      <c r="B632" s="14" t="s">
        <v>771</v>
      </c>
      <c r="C632" s="15" t="s">
        <v>1724</v>
      </c>
      <c r="D632" s="15" t="s">
        <v>2864</v>
      </c>
      <c r="E632" s="23" t="s">
        <v>19</v>
      </c>
      <c r="F632" s="16"/>
      <c r="G632" s="16"/>
      <c r="H632" s="19" t="n">
        <f aca="false">LEN(IF(F632&lt;&gt;"",F632,D632))</f>
        <v>55</v>
      </c>
      <c r="I632" s="24" t="str">
        <f aca="false">IF(OR(H632&lt;2,H632&gt;140),"분량 확인","")</f>
        <v/>
      </c>
    </row>
    <row r="633" customFormat="false" ht="48" hidden="false" customHeight="true" outlineLevel="0" collapsed="false">
      <c r="A633" s="13" t="s">
        <v>2865</v>
      </c>
      <c r="B633" s="14" t="s">
        <v>771</v>
      </c>
      <c r="C633" s="15" t="s">
        <v>1727</v>
      </c>
      <c r="D633" s="14" t="s">
        <v>2866</v>
      </c>
      <c r="E633" s="23" t="s">
        <v>19</v>
      </c>
      <c r="F633" s="16"/>
      <c r="G633" s="16"/>
      <c r="H633" s="19" t="n">
        <f aca="false">LEN(IF(F633&lt;&gt;"",F633,D633))</f>
        <v>9</v>
      </c>
      <c r="I633" s="24" t="str">
        <f aca="false">IF(OR(H633&lt;2,H633&gt;140),"분량 확인","")</f>
        <v/>
      </c>
    </row>
    <row r="634" customFormat="false" ht="48" hidden="false" customHeight="true" outlineLevel="0" collapsed="false">
      <c r="A634" s="13" t="s">
        <v>2867</v>
      </c>
      <c r="B634" s="14" t="s">
        <v>771</v>
      </c>
      <c r="C634" s="15" t="s">
        <v>1730</v>
      </c>
      <c r="D634" s="15" t="s">
        <v>2868</v>
      </c>
      <c r="E634" s="23" t="s">
        <v>19</v>
      </c>
      <c r="F634" s="16"/>
      <c r="G634" s="16"/>
      <c r="H634" s="19" t="n">
        <f aca="false">LEN(IF(F634&lt;&gt;"",F634,D634))</f>
        <v>44</v>
      </c>
      <c r="I634" s="24" t="str">
        <f aca="false">IF(OR(H634&lt;2,H634&gt;140),"분량 확인","")</f>
        <v/>
      </c>
    </row>
    <row r="635" customFormat="false" ht="48" hidden="false" customHeight="true" outlineLevel="0" collapsed="false">
      <c r="A635" s="13" t="s">
        <v>2869</v>
      </c>
      <c r="B635" s="14" t="s">
        <v>771</v>
      </c>
      <c r="C635" s="15" t="s">
        <v>1733</v>
      </c>
      <c r="D635" s="14" t="s">
        <v>1677</v>
      </c>
      <c r="E635" s="23" t="s">
        <v>19</v>
      </c>
      <c r="F635" s="16"/>
      <c r="G635" s="16"/>
      <c r="H635" s="19" t="n">
        <f aca="false">LEN(IF(F635&lt;&gt;"",F635,D635))</f>
        <v>2</v>
      </c>
      <c r="I635" s="24" t="str">
        <f aca="false">IF(OR(H635&lt;2,H635&gt;140),"분량 확인","")</f>
        <v/>
      </c>
    </row>
    <row r="636" customFormat="false" ht="48" hidden="false" customHeight="true" outlineLevel="0" collapsed="false">
      <c r="A636" s="13" t="s">
        <v>2870</v>
      </c>
      <c r="B636" s="14" t="s">
        <v>771</v>
      </c>
      <c r="C636" s="15" t="s">
        <v>1736</v>
      </c>
      <c r="D636" s="14" t="s">
        <v>2871</v>
      </c>
      <c r="E636" s="23" t="s">
        <v>19</v>
      </c>
      <c r="F636" s="16"/>
      <c r="G636" s="16"/>
      <c r="H636" s="19" t="n">
        <f aca="false">LEN(IF(F636&lt;&gt;"",F636,D636))</f>
        <v>37</v>
      </c>
      <c r="I636" s="24" t="str">
        <f aca="false">IF(OR(H636&lt;2,H636&gt;140),"분량 확인","")</f>
        <v/>
      </c>
    </row>
    <row r="637" customFormat="false" ht="48" hidden="false" customHeight="true" outlineLevel="0" collapsed="false">
      <c r="A637" s="13" t="s">
        <v>2872</v>
      </c>
      <c r="B637" s="14" t="s">
        <v>771</v>
      </c>
      <c r="C637" s="15" t="s">
        <v>1739</v>
      </c>
      <c r="D637" s="15" t="s">
        <v>2873</v>
      </c>
      <c r="E637" s="23" t="s">
        <v>19</v>
      </c>
      <c r="F637" s="16"/>
      <c r="G637" s="16"/>
      <c r="H637" s="19" t="n">
        <f aca="false">LEN(IF(F637&lt;&gt;"",F637,D637))</f>
        <v>11</v>
      </c>
      <c r="I637" s="24" t="str">
        <f aca="false">IF(OR(H637&lt;2,H637&gt;140),"분량 확인","")</f>
        <v/>
      </c>
    </row>
    <row r="638" customFormat="false" ht="48" hidden="false" customHeight="true" outlineLevel="0" collapsed="false">
      <c r="A638" s="13" t="s">
        <v>2874</v>
      </c>
      <c r="B638" s="14" t="s">
        <v>771</v>
      </c>
      <c r="C638" s="15" t="s">
        <v>1742</v>
      </c>
      <c r="D638" s="15" t="s">
        <v>2875</v>
      </c>
      <c r="E638" s="23" t="s">
        <v>19</v>
      </c>
      <c r="F638" s="16"/>
      <c r="G638" s="16"/>
      <c r="H638" s="19" t="n">
        <f aca="false">LEN(IF(F638&lt;&gt;"",F638,D638))</f>
        <v>60</v>
      </c>
      <c r="I638" s="24" t="str">
        <f aca="false">IF(OR(H638&lt;2,H638&gt;140),"분량 확인","")</f>
        <v/>
      </c>
    </row>
    <row r="639" customFormat="false" ht="48" hidden="false" customHeight="true" outlineLevel="0" collapsed="false">
      <c r="A639" s="13" t="s">
        <v>2876</v>
      </c>
      <c r="B639" s="14" t="s">
        <v>771</v>
      </c>
      <c r="C639" s="15" t="s">
        <v>1745</v>
      </c>
      <c r="D639" s="15" t="s">
        <v>1689</v>
      </c>
      <c r="E639" s="23" t="s">
        <v>19</v>
      </c>
      <c r="F639" s="16"/>
      <c r="G639" s="16"/>
      <c r="H639" s="19" t="n">
        <f aca="false">LEN(IF(F639&lt;&gt;"",F639,D639))</f>
        <v>4</v>
      </c>
      <c r="I639" s="24" t="str">
        <f aca="false">IF(OR(H639&lt;2,H639&gt;140),"분량 확인","")</f>
        <v/>
      </c>
    </row>
    <row r="640" customFormat="false" ht="48" hidden="false" customHeight="true" outlineLevel="0" collapsed="false">
      <c r="A640" s="13" t="s">
        <v>2877</v>
      </c>
      <c r="B640" s="14" t="s">
        <v>771</v>
      </c>
      <c r="C640" s="15" t="s">
        <v>1747</v>
      </c>
      <c r="D640" s="15" t="s">
        <v>2878</v>
      </c>
      <c r="E640" s="23" t="s">
        <v>19</v>
      </c>
      <c r="F640" s="16"/>
      <c r="G640" s="16"/>
      <c r="H640" s="19" t="n">
        <f aca="false">LEN(IF(F640&lt;&gt;"",F640,D640))</f>
        <v>41</v>
      </c>
      <c r="I640" s="24" t="str">
        <f aca="false">IF(OR(H640&lt;2,H640&gt;140),"분량 확인","")</f>
        <v/>
      </c>
    </row>
    <row r="641" customFormat="false" ht="61.5" hidden="false" customHeight="true" outlineLevel="0" collapsed="false">
      <c r="A641" s="13" t="s">
        <v>2879</v>
      </c>
      <c r="B641" s="14" t="s">
        <v>771</v>
      </c>
      <c r="C641" s="15" t="s">
        <v>1750</v>
      </c>
      <c r="D641" s="15" t="s">
        <v>2880</v>
      </c>
      <c r="E641" s="23" t="s">
        <v>19</v>
      </c>
      <c r="F641" s="16"/>
      <c r="G641" s="16"/>
      <c r="H641" s="19" t="n">
        <f aca="false">LEN(IF(F641&lt;&gt;"",F641,D641))</f>
        <v>16</v>
      </c>
      <c r="I641" s="24" t="str">
        <f aca="false">IF(OR(H641&lt;2,H641&gt;140),"분량 확인","")</f>
        <v/>
      </c>
    </row>
    <row r="642" customFormat="false" ht="61.5" hidden="false" customHeight="true" outlineLevel="0" collapsed="false">
      <c r="A642" s="13" t="s">
        <v>2881</v>
      </c>
      <c r="B642" s="14" t="s">
        <v>771</v>
      </c>
      <c r="C642" s="15" t="s">
        <v>1753</v>
      </c>
      <c r="D642" s="14" t="s">
        <v>2882</v>
      </c>
      <c r="E642" s="23" t="s">
        <v>19</v>
      </c>
      <c r="F642" s="16"/>
      <c r="G642" s="16"/>
      <c r="H642" s="19" t="n">
        <f aca="false">LEN(IF(F642&lt;&gt;"",F642,D642))</f>
        <v>55</v>
      </c>
      <c r="I642" s="24" t="str">
        <f aca="false">IF(OR(H642&lt;2,H642&gt;140),"분량 확인","")</f>
        <v/>
      </c>
    </row>
    <row r="643" customFormat="false" ht="61.5" hidden="false" customHeight="true" outlineLevel="0" collapsed="false">
      <c r="A643" s="13" t="s">
        <v>2883</v>
      </c>
      <c r="B643" s="14" t="s">
        <v>771</v>
      </c>
      <c r="C643" s="15" t="s">
        <v>1756</v>
      </c>
      <c r="D643" s="15" t="s">
        <v>2884</v>
      </c>
      <c r="E643" s="23" t="s">
        <v>19</v>
      </c>
      <c r="F643" s="16"/>
      <c r="G643" s="16"/>
      <c r="H643" s="19" t="n">
        <f aca="false">LEN(IF(F643&lt;&gt;"",F643,D643))</f>
        <v>57</v>
      </c>
      <c r="I643" s="24" t="str">
        <f aca="false">IF(OR(H643&lt;2,H643&gt;140),"분량 확인","")</f>
        <v/>
      </c>
    </row>
    <row r="644" customFormat="false" ht="48" hidden="false" customHeight="true" outlineLevel="0" collapsed="false">
      <c r="A644" s="13" t="s">
        <v>2885</v>
      </c>
      <c r="B644" s="14" t="s">
        <v>771</v>
      </c>
      <c r="C644" s="15" t="s">
        <v>1759</v>
      </c>
      <c r="D644" s="15" t="s">
        <v>2886</v>
      </c>
      <c r="E644" s="23" t="s">
        <v>19</v>
      </c>
      <c r="F644" s="16"/>
      <c r="G644" s="16"/>
      <c r="H644" s="19" t="n">
        <f aca="false">LEN(IF(F644&lt;&gt;"",F644,D644))</f>
        <v>14</v>
      </c>
      <c r="I644" s="24" t="str">
        <f aca="false">IF(OR(H644&lt;2,H644&gt;140),"분량 확인","")</f>
        <v/>
      </c>
    </row>
    <row r="645" customFormat="false" ht="48" hidden="false" customHeight="true" outlineLevel="0" collapsed="false">
      <c r="A645" s="13" t="s">
        <v>2887</v>
      </c>
      <c r="B645" s="14" t="s">
        <v>771</v>
      </c>
      <c r="C645" s="15" t="s">
        <v>1762</v>
      </c>
      <c r="D645" s="14" t="s">
        <v>2888</v>
      </c>
      <c r="E645" s="23" t="s">
        <v>19</v>
      </c>
      <c r="F645" s="16"/>
      <c r="G645" s="16"/>
      <c r="H645" s="19" t="n">
        <f aca="false">LEN(IF(F645&lt;&gt;"",F645,D645))</f>
        <v>66</v>
      </c>
      <c r="I645" s="24" t="str">
        <f aca="false">IF(OR(H645&lt;2,H645&gt;140),"분량 확인","")</f>
        <v/>
      </c>
    </row>
    <row r="646" customFormat="false" ht="48" hidden="false" customHeight="true" outlineLevel="0" collapsed="false">
      <c r="A646" s="13" t="s">
        <v>2889</v>
      </c>
      <c r="B646" s="14" t="s">
        <v>771</v>
      </c>
      <c r="C646" s="15" t="s">
        <v>1765</v>
      </c>
      <c r="D646" s="14" t="s">
        <v>1710</v>
      </c>
      <c r="E646" s="23" t="s">
        <v>19</v>
      </c>
      <c r="F646" s="16"/>
      <c r="G646" s="16"/>
      <c r="H646" s="19" t="n">
        <f aca="false">LEN(IF(F646&lt;&gt;"",F646,D646))</f>
        <v>3</v>
      </c>
      <c r="I646" s="24" t="str">
        <f aca="false">IF(OR(H646&lt;2,H646&gt;140),"분량 확인","")</f>
        <v/>
      </c>
    </row>
    <row r="647" customFormat="false" ht="48" hidden="false" customHeight="true" outlineLevel="0" collapsed="false">
      <c r="A647" s="13" t="s">
        <v>2890</v>
      </c>
      <c r="B647" s="14" t="s">
        <v>771</v>
      </c>
      <c r="C647" s="15" t="s">
        <v>1768</v>
      </c>
      <c r="D647" s="15" t="s">
        <v>2891</v>
      </c>
      <c r="E647" s="23" t="s">
        <v>19</v>
      </c>
      <c r="F647" s="16"/>
      <c r="G647" s="16"/>
      <c r="H647" s="19" t="n">
        <f aca="false">LEN(IF(F647&lt;&gt;"",F647,D647))</f>
        <v>47</v>
      </c>
      <c r="I647" s="24" t="str">
        <f aca="false">IF(OR(H647&lt;2,H647&gt;140),"분량 확인","")</f>
        <v/>
      </c>
    </row>
    <row r="648" customFormat="false" ht="61.5" hidden="false" customHeight="true" outlineLevel="0" collapsed="false">
      <c r="A648" s="13" t="s">
        <v>2892</v>
      </c>
      <c r="B648" s="14" t="s">
        <v>784</v>
      </c>
      <c r="C648" s="15" t="s">
        <v>1658</v>
      </c>
      <c r="D648" s="15" t="s">
        <v>2893</v>
      </c>
      <c r="E648" s="23" t="s">
        <v>19</v>
      </c>
      <c r="F648" s="16"/>
      <c r="G648" s="16"/>
      <c r="H648" s="19" t="n">
        <f aca="false">LEN(IF(F648&lt;&gt;"",F648,D648))</f>
        <v>13</v>
      </c>
      <c r="I648" s="24" t="str">
        <f aca="false">IF(OR(H648&lt;2,H648&gt;140),"분량 확인","")</f>
        <v/>
      </c>
    </row>
    <row r="649" customFormat="false" ht="61.5" hidden="false" customHeight="true" outlineLevel="0" collapsed="false">
      <c r="A649" s="13" t="s">
        <v>2894</v>
      </c>
      <c r="B649" s="14" t="s">
        <v>784</v>
      </c>
      <c r="C649" s="15" t="s">
        <v>1661</v>
      </c>
      <c r="D649" s="15" t="s">
        <v>2895</v>
      </c>
      <c r="E649" s="23" t="s">
        <v>19</v>
      </c>
      <c r="F649" s="16"/>
      <c r="G649" s="16"/>
      <c r="H649" s="19" t="n">
        <f aca="false">LEN(IF(F649&lt;&gt;"",F649,D649))</f>
        <v>13</v>
      </c>
      <c r="I649" s="24" t="str">
        <f aca="false">IF(OR(H649&lt;2,H649&gt;140),"분량 확인","")</f>
        <v/>
      </c>
    </row>
    <row r="650" customFormat="false" ht="61.5" hidden="false" customHeight="true" outlineLevel="0" collapsed="false">
      <c r="A650" s="13" t="s">
        <v>2896</v>
      </c>
      <c r="B650" s="14" t="s">
        <v>784</v>
      </c>
      <c r="C650" s="15" t="s">
        <v>1664</v>
      </c>
      <c r="D650" s="15" t="s">
        <v>2897</v>
      </c>
      <c r="E650" s="23" t="s">
        <v>19</v>
      </c>
      <c r="F650" s="16"/>
      <c r="G650" s="16"/>
      <c r="H650" s="19" t="n">
        <f aca="false">LEN(IF(F650&lt;&gt;"",F650,D650))</f>
        <v>50</v>
      </c>
      <c r="I650" s="24" t="str">
        <f aca="false">IF(OR(H650&lt;2,H650&gt;140),"분량 확인","")</f>
        <v/>
      </c>
    </row>
    <row r="651" customFormat="false" ht="61.5" hidden="false" customHeight="true" outlineLevel="0" collapsed="false">
      <c r="A651" s="13" t="s">
        <v>2898</v>
      </c>
      <c r="B651" s="14" t="s">
        <v>784</v>
      </c>
      <c r="C651" s="15" t="s">
        <v>1667</v>
      </c>
      <c r="D651" s="15" t="s">
        <v>2899</v>
      </c>
      <c r="E651" s="23" t="s">
        <v>19</v>
      </c>
      <c r="F651" s="16"/>
      <c r="G651" s="16"/>
      <c r="H651" s="19" t="n">
        <f aca="false">LEN(IF(F651&lt;&gt;"",F651,D651))</f>
        <v>58</v>
      </c>
      <c r="I651" s="24" t="str">
        <f aca="false">IF(OR(H651&lt;2,H651&gt;140),"분량 확인","")</f>
        <v/>
      </c>
    </row>
    <row r="652" customFormat="false" ht="48" hidden="false" customHeight="true" outlineLevel="0" collapsed="false">
      <c r="A652" s="13" t="s">
        <v>2900</v>
      </c>
      <c r="B652" s="14" t="s">
        <v>784</v>
      </c>
      <c r="C652" s="15" t="s">
        <v>1670</v>
      </c>
      <c r="D652" s="15" t="s">
        <v>2901</v>
      </c>
      <c r="E652" s="23" t="s">
        <v>19</v>
      </c>
      <c r="F652" s="16"/>
      <c r="G652" s="16"/>
      <c r="H652" s="19" t="n">
        <f aca="false">LEN(IF(F652&lt;&gt;"",F652,D652))</f>
        <v>12</v>
      </c>
      <c r="I652" s="24" t="str">
        <f aca="false">IF(OR(H652&lt;2,H652&gt;140),"분량 확인","")</f>
        <v/>
      </c>
    </row>
    <row r="653" customFormat="false" ht="48" hidden="false" customHeight="true" outlineLevel="0" collapsed="false">
      <c r="A653" s="13" t="s">
        <v>2902</v>
      </c>
      <c r="B653" s="14" t="s">
        <v>784</v>
      </c>
      <c r="C653" s="15" t="s">
        <v>1673</v>
      </c>
      <c r="D653" s="15" t="s">
        <v>2903</v>
      </c>
      <c r="E653" s="23" t="s">
        <v>19</v>
      </c>
      <c r="F653" s="16"/>
      <c r="G653" s="16"/>
      <c r="H653" s="19" t="n">
        <f aca="false">LEN(IF(F653&lt;&gt;"",F653,D653))</f>
        <v>36</v>
      </c>
      <c r="I653" s="24" t="str">
        <f aca="false">IF(OR(H653&lt;2,H653&gt;140),"분량 확인","")</f>
        <v/>
      </c>
    </row>
    <row r="654" customFormat="false" ht="48" hidden="false" customHeight="true" outlineLevel="0" collapsed="false">
      <c r="A654" s="13" t="s">
        <v>2904</v>
      </c>
      <c r="B654" s="14" t="s">
        <v>784</v>
      </c>
      <c r="C654" s="15" t="s">
        <v>1676</v>
      </c>
      <c r="D654" s="14" t="s">
        <v>1734</v>
      </c>
      <c r="E654" s="23" t="s">
        <v>19</v>
      </c>
      <c r="F654" s="16"/>
      <c r="G654" s="16"/>
      <c r="H654" s="19" t="n">
        <f aca="false">LEN(IF(F654&lt;&gt;"",F654,D654))</f>
        <v>2</v>
      </c>
      <c r="I654" s="24" t="str">
        <f aca="false">IF(OR(H654&lt;2,H654&gt;140),"분량 확인","")</f>
        <v/>
      </c>
    </row>
    <row r="655" customFormat="false" ht="48" hidden="false" customHeight="true" outlineLevel="0" collapsed="false">
      <c r="A655" s="13" t="s">
        <v>2905</v>
      </c>
      <c r="B655" s="14" t="s">
        <v>784</v>
      </c>
      <c r="C655" s="15" t="s">
        <v>1679</v>
      </c>
      <c r="D655" s="15" t="s">
        <v>2906</v>
      </c>
      <c r="E655" s="23" t="s">
        <v>19</v>
      </c>
      <c r="F655" s="16"/>
      <c r="G655" s="16"/>
      <c r="H655" s="19" t="n">
        <f aca="false">LEN(IF(F655&lt;&gt;"",F655,D655))</f>
        <v>37</v>
      </c>
      <c r="I655" s="24" t="str">
        <f aca="false">IF(OR(H655&lt;2,H655&gt;140),"분량 확인","")</f>
        <v/>
      </c>
    </row>
    <row r="656" customFormat="false" ht="48" hidden="false" customHeight="true" outlineLevel="0" collapsed="false">
      <c r="A656" s="13" t="s">
        <v>2907</v>
      </c>
      <c r="B656" s="14" t="s">
        <v>784</v>
      </c>
      <c r="C656" s="15" t="s">
        <v>1682</v>
      </c>
      <c r="D656" s="15" t="s">
        <v>2908</v>
      </c>
      <c r="E656" s="23" t="s">
        <v>19</v>
      </c>
      <c r="F656" s="16"/>
      <c r="G656" s="16"/>
      <c r="H656" s="19" t="n">
        <f aca="false">LEN(IF(F656&lt;&gt;"",F656,D656))</f>
        <v>16</v>
      </c>
      <c r="I656" s="24" t="str">
        <f aca="false">IF(OR(H656&lt;2,H656&gt;140),"분량 확인","")</f>
        <v/>
      </c>
    </row>
    <row r="657" customFormat="false" ht="48" hidden="false" customHeight="true" outlineLevel="0" collapsed="false">
      <c r="A657" s="13" t="s">
        <v>2909</v>
      </c>
      <c r="B657" s="14" t="s">
        <v>784</v>
      </c>
      <c r="C657" s="15" t="s">
        <v>1685</v>
      </c>
      <c r="D657" s="15" t="s">
        <v>2910</v>
      </c>
      <c r="E657" s="23" t="s">
        <v>19</v>
      </c>
      <c r="F657" s="16"/>
      <c r="G657" s="16"/>
      <c r="H657" s="19" t="n">
        <f aca="false">LEN(IF(F657&lt;&gt;"",F657,D657))</f>
        <v>53</v>
      </c>
      <c r="I657" s="24" t="str">
        <f aca="false">IF(OR(H657&lt;2,H657&gt;140),"분량 확인","")</f>
        <v/>
      </c>
    </row>
    <row r="658" customFormat="false" ht="48" hidden="false" customHeight="true" outlineLevel="0" collapsed="false">
      <c r="A658" s="13" t="s">
        <v>2911</v>
      </c>
      <c r="B658" s="14" t="s">
        <v>784</v>
      </c>
      <c r="C658" s="15" t="s">
        <v>1688</v>
      </c>
      <c r="D658" s="15" t="s">
        <v>1689</v>
      </c>
      <c r="E658" s="23" t="s">
        <v>19</v>
      </c>
      <c r="F658" s="16"/>
      <c r="G658" s="16"/>
      <c r="H658" s="19" t="n">
        <f aca="false">LEN(IF(F658&lt;&gt;"",F658,D658))</f>
        <v>4</v>
      </c>
      <c r="I658" s="24" t="str">
        <f aca="false">IF(OR(H658&lt;2,H658&gt;140),"분량 확인","")</f>
        <v/>
      </c>
    </row>
    <row r="659" customFormat="false" ht="48" hidden="false" customHeight="true" outlineLevel="0" collapsed="false">
      <c r="A659" s="13" t="s">
        <v>2912</v>
      </c>
      <c r="B659" s="14" t="s">
        <v>784</v>
      </c>
      <c r="C659" s="15" t="s">
        <v>1691</v>
      </c>
      <c r="D659" s="15" t="s">
        <v>2913</v>
      </c>
      <c r="E659" s="23" t="s">
        <v>19</v>
      </c>
      <c r="F659" s="16"/>
      <c r="G659" s="16"/>
      <c r="H659" s="19" t="n">
        <f aca="false">LEN(IF(F659&lt;&gt;"",F659,D659))</f>
        <v>41</v>
      </c>
      <c r="I659" s="24" t="str">
        <f aca="false">IF(OR(H659&lt;2,H659&gt;140),"분량 확인","")</f>
        <v/>
      </c>
    </row>
    <row r="660" customFormat="false" ht="61.5" hidden="false" customHeight="true" outlineLevel="0" collapsed="false">
      <c r="A660" s="13" t="s">
        <v>2914</v>
      </c>
      <c r="B660" s="14" t="s">
        <v>784</v>
      </c>
      <c r="C660" s="15" t="s">
        <v>1694</v>
      </c>
      <c r="D660" s="14" t="s">
        <v>2915</v>
      </c>
      <c r="E660" s="23" t="s">
        <v>19</v>
      </c>
      <c r="F660" s="16"/>
      <c r="G660" s="16"/>
      <c r="H660" s="19" t="n">
        <f aca="false">LEN(IF(F660&lt;&gt;"",F660,D660))</f>
        <v>20</v>
      </c>
      <c r="I660" s="24" t="str">
        <f aca="false">IF(OR(H660&lt;2,H660&gt;140),"분량 확인","")</f>
        <v/>
      </c>
    </row>
    <row r="661" customFormat="false" ht="61.5" hidden="false" customHeight="true" outlineLevel="0" collapsed="false">
      <c r="A661" s="13" t="s">
        <v>2916</v>
      </c>
      <c r="B661" s="14" t="s">
        <v>784</v>
      </c>
      <c r="C661" s="15" t="s">
        <v>1697</v>
      </c>
      <c r="D661" s="15" t="s">
        <v>2917</v>
      </c>
      <c r="E661" s="23" t="s">
        <v>19</v>
      </c>
      <c r="F661" s="16"/>
      <c r="G661" s="16"/>
      <c r="H661" s="19" t="n">
        <f aca="false">LEN(IF(F661&lt;&gt;"",F661,D661))</f>
        <v>54</v>
      </c>
      <c r="I661" s="24" t="str">
        <f aca="false">IF(OR(H661&lt;2,H661&gt;140),"분량 확인","")</f>
        <v/>
      </c>
    </row>
    <row r="662" customFormat="false" ht="61.5" hidden="false" customHeight="true" outlineLevel="0" collapsed="false">
      <c r="A662" s="13" t="s">
        <v>2918</v>
      </c>
      <c r="B662" s="14" t="s">
        <v>784</v>
      </c>
      <c r="C662" s="15" t="s">
        <v>1700</v>
      </c>
      <c r="D662" s="15" t="s">
        <v>2919</v>
      </c>
      <c r="E662" s="23" t="s">
        <v>19</v>
      </c>
      <c r="F662" s="16"/>
      <c r="G662" s="16"/>
      <c r="H662" s="19" t="n">
        <f aca="false">LEN(IF(F662&lt;&gt;"",F662,D662))</f>
        <v>55</v>
      </c>
      <c r="I662" s="24" t="str">
        <f aca="false">IF(OR(H662&lt;2,H662&gt;140),"분량 확인","")</f>
        <v/>
      </c>
    </row>
    <row r="663" customFormat="false" ht="48" hidden="false" customHeight="true" outlineLevel="0" collapsed="false">
      <c r="A663" s="13" t="s">
        <v>2920</v>
      </c>
      <c r="B663" s="14" t="s">
        <v>784</v>
      </c>
      <c r="C663" s="15" t="s">
        <v>1703</v>
      </c>
      <c r="D663" s="15" t="s">
        <v>2921</v>
      </c>
      <c r="E663" s="23" t="s">
        <v>19</v>
      </c>
      <c r="F663" s="16"/>
      <c r="G663" s="16"/>
      <c r="H663" s="19" t="n">
        <f aca="false">LEN(IF(F663&lt;&gt;"",F663,D663))</f>
        <v>17</v>
      </c>
      <c r="I663" s="24" t="str">
        <f aca="false">IF(OR(H663&lt;2,H663&gt;140),"분량 확인","")</f>
        <v/>
      </c>
    </row>
    <row r="664" customFormat="false" ht="48" hidden="false" customHeight="true" outlineLevel="0" collapsed="false">
      <c r="A664" s="13" t="s">
        <v>2922</v>
      </c>
      <c r="B664" s="14" t="s">
        <v>784</v>
      </c>
      <c r="C664" s="15" t="s">
        <v>1706</v>
      </c>
      <c r="D664" s="14" t="s">
        <v>2923</v>
      </c>
      <c r="E664" s="23" t="s">
        <v>19</v>
      </c>
      <c r="F664" s="16"/>
      <c r="G664" s="16"/>
      <c r="H664" s="19" t="n">
        <f aca="false">LEN(IF(F664&lt;&gt;"",F664,D664))</f>
        <v>62</v>
      </c>
      <c r="I664" s="24" t="str">
        <f aca="false">IF(OR(H664&lt;2,H664&gt;140),"분량 확인","")</f>
        <v/>
      </c>
    </row>
    <row r="665" customFormat="false" ht="48" hidden="false" customHeight="true" outlineLevel="0" collapsed="false">
      <c r="A665" s="13" t="s">
        <v>2924</v>
      </c>
      <c r="B665" s="14" t="s">
        <v>784</v>
      </c>
      <c r="C665" s="15" t="s">
        <v>1709</v>
      </c>
      <c r="D665" s="14" t="s">
        <v>1710</v>
      </c>
      <c r="E665" s="23" t="s">
        <v>19</v>
      </c>
      <c r="F665" s="16"/>
      <c r="G665" s="16"/>
      <c r="H665" s="19" t="n">
        <f aca="false">LEN(IF(F665&lt;&gt;"",F665,D665))</f>
        <v>3</v>
      </c>
      <c r="I665" s="24" t="str">
        <f aca="false">IF(OR(H665&lt;2,H665&gt;140),"분량 확인","")</f>
        <v/>
      </c>
    </row>
    <row r="666" customFormat="false" ht="48" hidden="false" customHeight="true" outlineLevel="0" collapsed="false">
      <c r="A666" s="13" t="s">
        <v>2925</v>
      </c>
      <c r="B666" s="14" t="s">
        <v>784</v>
      </c>
      <c r="C666" s="15" t="s">
        <v>1712</v>
      </c>
      <c r="D666" s="15" t="s">
        <v>2926</v>
      </c>
      <c r="E666" s="23" t="s">
        <v>19</v>
      </c>
      <c r="F666" s="16"/>
      <c r="G666" s="16"/>
      <c r="H666" s="19" t="n">
        <f aca="false">LEN(IF(F666&lt;&gt;"",F666,D666))</f>
        <v>41</v>
      </c>
      <c r="I666" s="24" t="str">
        <f aca="false">IF(OR(H666&lt;2,H666&gt;140),"분량 확인","")</f>
        <v/>
      </c>
    </row>
    <row r="667" customFormat="false" ht="61.5" hidden="false" customHeight="true" outlineLevel="0" collapsed="false">
      <c r="A667" s="13" t="s">
        <v>2927</v>
      </c>
      <c r="B667" s="14" t="s">
        <v>784</v>
      </c>
      <c r="C667" s="15" t="s">
        <v>1715</v>
      </c>
      <c r="D667" s="15" t="s">
        <v>2928</v>
      </c>
      <c r="E667" s="23" t="s">
        <v>19</v>
      </c>
      <c r="F667" s="16"/>
      <c r="G667" s="16"/>
      <c r="H667" s="19" t="n">
        <f aca="false">LEN(IF(F667&lt;&gt;"",F667,D667))</f>
        <v>19</v>
      </c>
      <c r="I667" s="24" t="str">
        <f aca="false">IF(OR(H667&lt;2,H667&gt;140),"분량 확인","")</f>
        <v/>
      </c>
    </row>
    <row r="668" customFormat="false" ht="61.5" hidden="false" customHeight="true" outlineLevel="0" collapsed="false">
      <c r="A668" s="13" t="s">
        <v>2929</v>
      </c>
      <c r="B668" s="14" t="s">
        <v>784</v>
      </c>
      <c r="C668" s="15" t="s">
        <v>1718</v>
      </c>
      <c r="D668" s="15" t="s">
        <v>2930</v>
      </c>
      <c r="E668" s="23" t="s">
        <v>19</v>
      </c>
      <c r="F668" s="16"/>
      <c r="G668" s="16"/>
      <c r="H668" s="19" t="n">
        <f aca="false">LEN(IF(F668&lt;&gt;"",F668,D668))</f>
        <v>16</v>
      </c>
      <c r="I668" s="24" t="str">
        <f aca="false">IF(OR(H668&lt;2,H668&gt;140),"분량 확인","")</f>
        <v/>
      </c>
    </row>
    <row r="669" customFormat="false" ht="61.5" hidden="false" customHeight="true" outlineLevel="0" collapsed="false">
      <c r="A669" s="13" t="s">
        <v>2931</v>
      </c>
      <c r="B669" s="14" t="s">
        <v>784</v>
      </c>
      <c r="C669" s="15" t="s">
        <v>1721</v>
      </c>
      <c r="D669" s="15" t="s">
        <v>2932</v>
      </c>
      <c r="E669" s="23" t="s">
        <v>19</v>
      </c>
      <c r="F669" s="16"/>
      <c r="G669" s="16"/>
      <c r="H669" s="19" t="n">
        <f aca="false">LEN(IF(F669&lt;&gt;"",F669,D669))</f>
        <v>50</v>
      </c>
      <c r="I669" s="24" t="str">
        <f aca="false">IF(OR(H669&lt;2,H669&gt;140),"분량 확인","")</f>
        <v/>
      </c>
    </row>
    <row r="670" customFormat="false" ht="61.5" hidden="false" customHeight="true" outlineLevel="0" collapsed="false">
      <c r="A670" s="13" t="s">
        <v>2933</v>
      </c>
      <c r="B670" s="14" t="s">
        <v>784</v>
      </c>
      <c r="C670" s="15" t="s">
        <v>1724</v>
      </c>
      <c r="D670" s="15" t="s">
        <v>2934</v>
      </c>
      <c r="E670" s="23" t="s">
        <v>19</v>
      </c>
      <c r="F670" s="16"/>
      <c r="G670" s="16"/>
      <c r="H670" s="19" t="n">
        <f aca="false">LEN(IF(F670&lt;&gt;"",F670,D670))</f>
        <v>56</v>
      </c>
      <c r="I670" s="24" t="str">
        <f aca="false">IF(OR(H670&lt;2,H670&gt;140),"분량 확인","")</f>
        <v/>
      </c>
    </row>
    <row r="671" customFormat="false" ht="48" hidden="false" customHeight="true" outlineLevel="0" collapsed="false">
      <c r="A671" s="13" t="s">
        <v>2935</v>
      </c>
      <c r="B671" s="14" t="s">
        <v>784</v>
      </c>
      <c r="C671" s="15" t="s">
        <v>1727</v>
      </c>
      <c r="D671" s="15" t="s">
        <v>2936</v>
      </c>
      <c r="E671" s="23" t="s">
        <v>19</v>
      </c>
      <c r="F671" s="16"/>
      <c r="G671" s="16"/>
      <c r="H671" s="19" t="n">
        <f aca="false">LEN(IF(F671&lt;&gt;"",F671,D671))</f>
        <v>13</v>
      </c>
      <c r="I671" s="24" t="str">
        <f aca="false">IF(OR(H671&lt;2,H671&gt;140),"분량 확인","")</f>
        <v/>
      </c>
    </row>
    <row r="672" customFormat="false" ht="48" hidden="false" customHeight="true" outlineLevel="0" collapsed="false">
      <c r="A672" s="13" t="s">
        <v>2937</v>
      </c>
      <c r="B672" s="14" t="s">
        <v>784</v>
      </c>
      <c r="C672" s="15" t="s">
        <v>1730</v>
      </c>
      <c r="D672" s="15" t="s">
        <v>2938</v>
      </c>
      <c r="E672" s="23" t="s">
        <v>19</v>
      </c>
      <c r="F672" s="16"/>
      <c r="G672" s="16"/>
      <c r="H672" s="19" t="n">
        <f aca="false">LEN(IF(F672&lt;&gt;"",F672,D672))</f>
        <v>39</v>
      </c>
      <c r="I672" s="24" t="str">
        <f aca="false">IF(OR(H672&lt;2,H672&gt;140),"분량 확인","")</f>
        <v/>
      </c>
    </row>
    <row r="673" customFormat="false" ht="48" hidden="false" customHeight="true" outlineLevel="0" collapsed="false">
      <c r="A673" s="13" t="s">
        <v>2939</v>
      </c>
      <c r="B673" s="14" t="s">
        <v>784</v>
      </c>
      <c r="C673" s="15" t="s">
        <v>1733</v>
      </c>
      <c r="D673" s="14" t="s">
        <v>1924</v>
      </c>
      <c r="E673" s="23" t="s">
        <v>19</v>
      </c>
      <c r="F673" s="16"/>
      <c r="G673" s="16"/>
      <c r="H673" s="19" t="n">
        <f aca="false">LEN(IF(F673&lt;&gt;"",F673,D673))</f>
        <v>2</v>
      </c>
      <c r="I673" s="24" t="str">
        <f aca="false">IF(OR(H673&lt;2,H673&gt;140),"분량 확인","")</f>
        <v/>
      </c>
    </row>
    <row r="674" customFormat="false" ht="48" hidden="false" customHeight="true" outlineLevel="0" collapsed="false">
      <c r="A674" s="13" t="s">
        <v>2940</v>
      </c>
      <c r="B674" s="14" t="s">
        <v>784</v>
      </c>
      <c r="C674" s="15" t="s">
        <v>1736</v>
      </c>
      <c r="D674" s="15" t="s">
        <v>2941</v>
      </c>
      <c r="E674" s="23" t="s">
        <v>19</v>
      </c>
      <c r="F674" s="16"/>
      <c r="G674" s="16"/>
      <c r="H674" s="19" t="n">
        <f aca="false">LEN(IF(F674&lt;&gt;"",F674,D674))</f>
        <v>36</v>
      </c>
      <c r="I674" s="24" t="str">
        <f aca="false">IF(OR(H674&lt;2,H674&gt;140),"분량 확인","")</f>
        <v/>
      </c>
    </row>
    <row r="675" customFormat="false" ht="48" hidden="false" customHeight="true" outlineLevel="0" collapsed="false">
      <c r="A675" s="13" t="s">
        <v>2942</v>
      </c>
      <c r="B675" s="14" t="s">
        <v>784</v>
      </c>
      <c r="C675" s="15" t="s">
        <v>1739</v>
      </c>
      <c r="D675" s="15" t="s">
        <v>2943</v>
      </c>
      <c r="E675" s="23" t="s">
        <v>19</v>
      </c>
      <c r="F675" s="16"/>
      <c r="G675" s="16"/>
      <c r="H675" s="19" t="n">
        <f aca="false">LEN(IF(F675&lt;&gt;"",F675,D675))</f>
        <v>18</v>
      </c>
      <c r="I675" s="24" t="str">
        <f aca="false">IF(OR(H675&lt;2,H675&gt;140),"분량 확인","")</f>
        <v/>
      </c>
    </row>
    <row r="676" customFormat="false" ht="48" hidden="false" customHeight="true" outlineLevel="0" collapsed="false">
      <c r="A676" s="13" t="s">
        <v>2944</v>
      </c>
      <c r="B676" s="14" t="s">
        <v>784</v>
      </c>
      <c r="C676" s="15" t="s">
        <v>1742</v>
      </c>
      <c r="D676" s="15" t="s">
        <v>2945</v>
      </c>
      <c r="E676" s="23" t="s">
        <v>19</v>
      </c>
      <c r="F676" s="16"/>
      <c r="G676" s="16"/>
      <c r="H676" s="19" t="n">
        <f aca="false">LEN(IF(F676&lt;&gt;"",F676,D676))</f>
        <v>52</v>
      </c>
      <c r="I676" s="24" t="str">
        <f aca="false">IF(OR(H676&lt;2,H676&gt;140),"분량 확인","")</f>
        <v/>
      </c>
    </row>
    <row r="677" customFormat="false" ht="48" hidden="false" customHeight="true" outlineLevel="0" collapsed="false">
      <c r="A677" s="13" t="s">
        <v>2946</v>
      </c>
      <c r="B677" s="14" t="s">
        <v>784</v>
      </c>
      <c r="C677" s="15" t="s">
        <v>1745</v>
      </c>
      <c r="D677" s="15" t="s">
        <v>1689</v>
      </c>
      <c r="E677" s="23" t="s">
        <v>19</v>
      </c>
      <c r="F677" s="16"/>
      <c r="G677" s="16"/>
      <c r="H677" s="19" t="n">
        <f aca="false">LEN(IF(F677&lt;&gt;"",F677,D677))</f>
        <v>4</v>
      </c>
      <c r="I677" s="24" t="str">
        <f aca="false">IF(OR(H677&lt;2,H677&gt;140),"분량 확인","")</f>
        <v/>
      </c>
    </row>
    <row r="678" customFormat="false" ht="48" hidden="false" customHeight="true" outlineLevel="0" collapsed="false">
      <c r="A678" s="13" t="s">
        <v>2947</v>
      </c>
      <c r="B678" s="14" t="s">
        <v>784</v>
      </c>
      <c r="C678" s="15" t="s">
        <v>1747</v>
      </c>
      <c r="D678" s="15" t="s">
        <v>2948</v>
      </c>
      <c r="E678" s="23" t="s">
        <v>19</v>
      </c>
      <c r="F678" s="16"/>
      <c r="G678" s="16"/>
      <c r="H678" s="19" t="n">
        <f aca="false">LEN(IF(F678&lt;&gt;"",F678,D678))</f>
        <v>47</v>
      </c>
      <c r="I678" s="24" t="str">
        <f aca="false">IF(OR(H678&lt;2,H678&gt;140),"분량 확인","")</f>
        <v/>
      </c>
    </row>
    <row r="679" customFormat="false" ht="61.5" hidden="false" customHeight="true" outlineLevel="0" collapsed="false">
      <c r="A679" s="13" t="s">
        <v>2949</v>
      </c>
      <c r="B679" s="14" t="s">
        <v>784</v>
      </c>
      <c r="C679" s="15" t="s">
        <v>1750</v>
      </c>
      <c r="D679" s="15" t="s">
        <v>2950</v>
      </c>
      <c r="E679" s="23" t="s">
        <v>19</v>
      </c>
      <c r="F679" s="16"/>
      <c r="G679" s="16"/>
      <c r="H679" s="19" t="n">
        <f aca="false">LEN(IF(F679&lt;&gt;"",F679,D679))</f>
        <v>15</v>
      </c>
      <c r="I679" s="24" t="str">
        <f aca="false">IF(OR(H679&lt;2,H679&gt;140),"분량 확인","")</f>
        <v/>
      </c>
    </row>
    <row r="680" customFormat="false" ht="61.5" hidden="false" customHeight="true" outlineLevel="0" collapsed="false">
      <c r="A680" s="13" t="s">
        <v>2951</v>
      </c>
      <c r="B680" s="14" t="s">
        <v>784</v>
      </c>
      <c r="C680" s="15" t="s">
        <v>1753</v>
      </c>
      <c r="D680" s="15" t="s">
        <v>2952</v>
      </c>
      <c r="E680" s="23" t="s">
        <v>19</v>
      </c>
      <c r="F680" s="16"/>
      <c r="G680" s="16"/>
      <c r="H680" s="19" t="n">
        <f aca="false">LEN(IF(F680&lt;&gt;"",F680,D680))</f>
        <v>48</v>
      </c>
      <c r="I680" s="24" t="str">
        <f aca="false">IF(OR(H680&lt;2,H680&gt;140),"분량 확인","")</f>
        <v/>
      </c>
    </row>
    <row r="681" customFormat="false" ht="61.5" hidden="false" customHeight="true" outlineLevel="0" collapsed="false">
      <c r="A681" s="13" t="s">
        <v>2953</v>
      </c>
      <c r="B681" s="14" t="s">
        <v>784</v>
      </c>
      <c r="C681" s="15" t="s">
        <v>1756</v>
      </c>
      <c r="D681" s="15" t="s">
        <v>2954</v>
      </c>
      <c r="E681" s="23" t="s">
        <v>19</v>
      </c>
      <c r="F681" s="16"/>
      <c r="G681" s="16"/>
      <c r="H681" s="19" t="n">
        <f aca="false">LEN(IF(F681&lt;&gt;"",F681,D681))</f>
        <v>60</v>
      </c>
      <c r="I681" s="24" t="str">
        <f aca="false">IF(OR(H681&lt;2,H681&gt;140),"분량 확인","")</f>
        <v/>
      </c>
    </row>
    <row r="682" customFormat="false" ht="48" hidden="false" customHeight="true" outlineLevel="0" collapsed="false">
      <c r="A682" s="13" t="s">
        <v>2955</v>
      </c>
      <c r="B682" s="14" t="s">
        <v>784</v>
      </c>
      <c r="C682" s="15" t="s">
        <v>1759</v>
      </c>
      <c r="D682" s="15" t="s">
        <v>2956</v>
      </c>
      <c r="E682" s="23" t="s">
        <v>19</v>
      </c>
      <c r="F682" s="16"/>
      <c r="G682" s="16"/>
      <c r="H682" s="19" t="n">
        <f aca="false">LEN(IF(F682&lt;&gt;"",F682,D682))</f>
        <v>16</v>
      </c>
      <c r="I682" s="24" t="str">
        <f aca="false">IF(OR(H682&lt;2,H682&gt;140),"분량 확인","")</f>
        <v/>
      </c>
    </row>
    <row r="683" customFormat="false" ht="48" hidden="false" customHeight="true" outlineLevel="0" collapsed="false">
      <c r="A683" s="13" t="s">
        <v>2957</v>
      </c>
      <c r="B683" s="14" t="s">
        <v>784</v>
      </c>
      <c r="C683" s="15" t="s">
        <v>1762</v>
      </c>
      <c r="D683" s="15" t="s">
        <v>2958</v>
      </c>
      <c r="E683" s="23" t="s">
        <v>19</v>
      </c>
      <c r="F683" s="16"/>
      <c r="G683" s="16"/>
      <c r="H683" s="19" t="n">
        <f aca="false">LEN(IF(F683&lt;&gt;"",F683,D683))</f>
        <v>61</v>
      </c>
      <c r="I683" s="24" t="str">
        <f aca="false">IF(OR(H683&lt;2,H683&gt;140),"분량 확인","")</f>
        <v/>
      </c>
    </row>
    <row r="684" customFormat="false" ht="48" hidden="false" customHeight="true" outlineLevel="0" collapsed="false">
      <c r="A684" s="13" t="s">
        <v>2959</v>
      </c>
      <c r="B684" s="14" t="s">
        <v>784</v>
      </c>
      <c r="C684" s="15" t="s">
        <v>1765</v>
      </c>
      <c r="D684" s="14" t="s">
        <v>1710</v>
      </c>
      <c r="E684" s="23" t="s">
        <v>19</v>
      </c>
      <c r="F684" s="16"/>
      <c r="G684" s="16"/>
      <c r="H684" s="19" t="n">
        <f aca="false">LEN(IF(F684&lt;&gt;"",F684,D684))</f>
        <v>3</v>
      </c>
      <c r="I684" s="24" t="str">
        <f aca="false">IF(OR(H684&lt;2,H684&gt;140),"분량 확인","")</f>
        <v/>
      </c>
    </row>
    <row r="685" customFormat="false" ht="48" hidden="false" customHeight="true" outlineLevel="0" collapsed="false">
      <c r="A685" s="13" t="s">
        <v>2960</v>
      </c>
      <c r="B685" s="14" t="s">
        <v>784</v>
      </c>
      <c r="C685" s="15" t="s">
        <v>1768</v>
      </c>
      <c r="D685" s="15" t="s">
        <v>2961</v>
      </c>
      <c r="E685" s="23" t="s">
        <v>19</v>
      </c>
      <c r="F685" s="16"/>
      <c r="G685" s="16"/>
      <c r="H685" s="19" t="n">
        <f aca="false">LEN(IF(F685&lt;&gt;"",F685,D685))</f>
        <v>44</v>
      </c>
      <c r="I685" s="24" t="str">
        <f aca="false">IF(OR(H685&lt;2,H685&gt;140),"분량 확인","")</f>
        <v/>
      </c>
    </row>
    <row r="686" customFormat="false" ht="61.5" hidden="false" customHeight="true" outlineLevel="0" collapsed="false">
      <c r="A686" s="13" t="s">
        <v>2962</v>
      </c>
      <c r="B686" s="14" t="s">
        <v>797</v>
      </c>
      <c r="C686" s="15" t="s">
        <v>1658</v>
      </c>
      <c r="D686" s="15" t="s">
        <v>2963</v>
      </c>
      <c r="E686" s="23" t="s">
        <v>19</v>
      </c>
      <c r="F686" s="16"/>
      <c r="G686" s="16"/>
      <c r="H686" s="19" t="n">
        <f aca="false">LEN(IF(F686&lt;&gt;"",F686,D686))</f>
        <v>13</v>
      </c>
      <c r="I686" s="24" t="str">
        <f aca="false">IF(OR(H686&lt;2,H686&gt;140),"분량 확인","")</f>
        <v/>
      </c>
    </row>
    <row r="687" customFormat="false" ht="61.5" hidden="false" customHeight="true" outlineLevel="0" collapsed="false">
      <c r="A687" s="13" t="s">
        <v>2964</v>
      </c>
      <c r="B687" s="14" t="s">
        <v>797</v>
      </c>
      <c r="C687" s="15" t="s">
        <v>1661</v>
      </c>
      <c r="D687" s="15" t="s">
        <v>2965</v>
      </c>
      <c r="E687" s="23" t="s">
        <v>19</v>
      </c>
      <c r="F687" s="16"/>
      <c r="G687" s="16"/>
      <c r="H687" s="19" t="n">
        <f aca="false">LEN(IF(F687&lt;&gt;"",F687,D687))</f>
        <v>15</v>
      </c>
      <c r="I687" s="24" t="str">
        <f aca="false">IF(OR(H687&lt;2,H687&gt;140),"분량 확인","")</f>
        <v/>
      </c>
    </row>
    <row r="688" customFormat="false" ht="61.5" hidden="false" customHeight="true" outlineLevel="0" collapsed="false">
      <c r="A688" s="13" t="s">
        <v>2966</v>
      </c>
      <c r="B688" s="14" t="s">
        <v>797</v>
      </c>
      <c r="C688" s="15" t="s">
        <v>1664</v>
      </c>
      <c r="D688" s="15" t="s">
        <v>2967</v>
      </c>
      <c r="E688" s="23" t="s">
        <v>19</v>
      </c>
      <c r="F688" s="16"/>
      <c r="G688" s="16"/>
      <c r="H688" s="19" t="n">
        <f aca="false">LEN(IF(F688&lt;&gt;"",F688,D688))</f>
        <v>50</v>
      </c>
      <c r="I688" s="24" t="str">
        <f aca="false">IF(OR(H688&lt;2,H688&gt;140),"분량 확인","")</f>
        <v/>
      </c>
    </row>
    <row r="689" customFormat="false" ht="61.5" hidden="false" customHeight="true" outlineLevel="0" collapsed="false">
      <c r="A689" s="13" t="s">
        <v>2968</v>
      </c>
      <c r="B689" s="14" t="s">
        <v>797</v>
      </c>
      <c r="C689" s="15" t="s">
        <v>1667</v>
      </c>
      <c r="D689" s="15" t="s">
        <v>2969</v>
      </c>
      <c r="E689" s="23" t="s">
        <v>19</v>
      </c>
      <c r="F689" s="16"/>
      <c r="G689" s="16"/>
      <c r="H689" s="19" t="n">
        <f aca="false">LEN(IF(F689&lt;&gt;"",F689,D689))</f>
        <v>58</v>
      </c>
      <c r="I689" s="24" t="str">
        <f aca="false">IF(OR(H689&lt;2,H689&gt;140),"분량 확인","")</f>
        <v/>
      </c>
    </row>
    <row r="690" customFormat="false" ht="48" hidden="false" customHeight="true" outlineLevel="0" collapsed="false">
      <c r="A690" s="13" t="s">
        <v>2970</v>
      </c>
      <c r="B690" s="14" t="s">
        <v>797</v>
      </c>
      <c r="C690" s="15" t="s">
        <v>1670</v>
      </c>
      <c r="D690" s="15" t="s">
        <v>2971</v>
      </c>
      <c r="E690" s="23" t="s">
        <v>19</v>
      </c>
      <c r="F690" s="16"/>
      <c r="G690" s="16"/>
      <c r="H690" s="19" t="n">
        <f aca="false">LEN(IF(F690&lt;&gt;"",F690,D690))</f>
        <v>11</v>
      </c>
      <c r="I690" s="24" t="str">
        <f aca="false">IF(OR(H690&lt;2,H690&gt;140),"분량 확인","")</f>
        <v/>
      </c>
    </row>
    <row r="691" customFormat="false" ht="48" hidden="false" customHeight="true" outlineLevel="0" collapsed="false">
      <c r="A691" s="13" t="s">
        <v>2972</v>
      </c>
      <c r="B691" s="14" t="s">
        <v>797</v>
      </c>
      <c r="C691" s="15" t="s">
        <v>1673</v>
      </c>
      <c r="D691" s="15" t="s">
        <v>2973</v>
      </c>
      <c r="E691" s="23" t="s">
        <v>19</v>
      </c>
      <c r="F691" s="16"/>
      <c r="G691" s="16"/>
      <c r="H691" s="19" t="n">
        <f aca="false">LEN(IF(F691&lt;&gt;"",F691,D691))</f>
        <v>43</v>
      </c>
      <c r="I691" s="24" t="str">
        <f aca="false">IF(OR(H691&lt;2,H691&gt;140),"분량 확인","")</f>
        <v/>
      </c>
    </row>
    <row r="692" customFormat="false" ht="48" hidden="false" customHeight="true" outlineLevel="0" collapsed="false">
      <c r="A692" s="13" t="s">
        <v>2974</v>
      </c>
      <c r="B692" s="14" t="s">
        <v>797</v>
      </c>
      <c r="C692" s="15" t="s">
        <v>1676</v>
      </c>
      <c r="D692" s="14" t="s">
        <v>1677</v>
      </c>
      <c r="E692" s="23" t="s">
        <v>19</v>
      </c>
      <c r="F692" s="16"/>
      <c r="G692" s="16"/>
      <c r="H692" s="19" t="n">
        <f aca="false">LEN(IF(F692&lt;&gt;"",F692,D692))</f>
        <v>2</v>
      </c>
      <c r="I692" s="24" t="str">
        <f aca="false">IF(OR(H692&lt;2,H692&gt;140),"분량 확인","")</f>
        <v/>
      </c>
    </row>
    <row r="693" customFormat="false" ht="48" hidden="false" customHeight="true" outlineLevel="0" collapsed="false">
      <c r="A693" s="13" t="s">
        <v>2975</v>
      </c>
      <c r="B693" s="14" t="s">
        <v>797</v>
      </c>
      <c r="C693" s="15" t="s">
        <v>1679</v>
      </c>
      <c r="D693" s="15" t="s">
        <v>2976</v>
      </c>
      <c r="E693" s="23" t="s">
        <v>19</v>
      </c>
      <c r="F693" s="16"/>
      <c r="G693" s="16"/>
      <c r="H693" s="19" t="n">
        <f aca="false">LEN(IF(F693&lt;&gt;"",F693,D693))</f>
        <v>41</v>
      </c>
      <c r="I693" s="24" t="str">
        <f aca="false">IF(OR(H693&lt;2,H693&gt;140),"분량 확인","")</f>
        <v/>
      </c>
    </row>
    <row r="694" customFormat="false" ht="48" hidden="false" customHeight="true" outlineLevel="0" collapsed="false">
      <c r="A694" s="13" t="s">
        <v>2977</v>
      </c>
      <c r="B694" s="14" t="s">
        <v>797</v>
      </c>
      <c r="C694" s="15" t="s">
        <v>1682</v>
      </c>
      <c r="D694" s="15" t="s">
        <v>2978</v>
      </c>
      <c r="E694" s="23" t="s">
        <v>19</v>
      </c>
      <c r="F694" s="16"/>
      <c r="G694" s="16"/>
      <c r="H694" s="19" t="n">
        <f aca="false">LEN(IF(F694&lt;&gt;"",F694,D694))</f>
        <v>12</v>
      </c>
      <c r="I694" s="24" t="str">
        <f aca="false">IF(OR(H694&lt;2,H694&gt;140),"분량 확인","")</f>
        <v/>
      </c>
    </row>
    <row r="695" customFormat="false" ht="48" hidden="false" customHeight="true" outlineLevel="0" collapsed="false">
      <c r="A695" s="13" t="s">
        <v>2979</v>
      </c>
      <c r="B695" s="14" t="s">
        <v>797</v>
      </c>
      <c r="C695" s="15" t="s">
        <v>1685</v>
      </c>
      <c r="D695" s="15" t="s">
        <v>2980</v>
      </c>
      <c r="E695" s="23" t="s">
        <v>19</v>
      </c>
      <c r="F695" s="16"/>
      <c r="G695" s="16"/>
      <c r="H695" s="19" t="n">
        <f aca="false">LEN(IF(F695&lt;&gt;"",F695,D695))</f>
        <v>45</v>
      </c>
      <c r="I695" s="24" t="str">
        <f aca="false">IF(OR(H695&lt;2,H695&gt;140),"분량 확인","")</f>
        <v/>
      </c>
    </row>
    <row r="696" customFormat="false" ht="48" hidden="false" customHeight="true" outlineLevel="0" collapsed="false">
      <c r="A696" s="13" t="s">
        <v>2981</v>
      </c>
      <c r="B696" s="14" t="s">
        <v>797</v>
      </c>
      <c r="C696" s="15" t="s">
        <v>1688</v>
      </c>
      <c r="D696" s="15" t="s">
        <v>1689</v>
      </c>
      <c r="E696" s="23" t="s">
        <v>19</v>
      </c>
      <c r="F696" s="16"/>
      <c r="G696" s="16"/>
      <c r="H696" s="19" t="n">
        <f aca="false">LEN(IF(F696&lt;&gt;"",F696,D696))</f>
        <v>4</v>
      </c>
      <c r="I696" s="24" t="str">
        <f aca="false">IF(OR(H696&lt;2,H696&gt;140),"분량 확인","")</f>
        <v/>
      </c>
    </row>
    <row r="697" customFormat="false" ht="48" hidden="false" customHeight="true" outlineLevel="0" collapsed="false">
      <c r="A697" s="13" t="s">
        <v>2982</v>
      </c>
      <c r="B697" s="14" t="s">
        <v>797</v>
      </c>
      <c r="C697" s="15" t="s">
        <v>1691</v>
      </c>
      <c r="D697" s="15" t="s">
        <v>2983</v>
      </c>
      <c r="E697" s="23" t="s">
        <v>19</v>
      </c>
      <c r="F697" s="16"/>
      <c r="G697" s="16"/>
      <c r="H697" s="19" t="n">
        <f aca="false">LEN(IF(F697&lt;&gt;"",F697,D697))</f>
        <v>49</v>
      </c>
      <c r="I697" s="24" t="str">
        <f aca="false">IF(OR(H697&lt;2,H697&gt;140),"분량 확인","")</f>
        <v/>
      </c>
    </row>
    <row r="698" customFormat="false" ht="61.5" hidden="false" customHeight="true" outlineLevel="0" collapsed="false">
      <c r="A698" s="13" t="s">
        <v>2984</v>
      </c>
      <c r="B698" s="14" t="s">
        <v>797</v>
      </c>
      <c r="C698" s="15" t="s">
        <v>1694</v>
      </c>
      <c r="D698" s="15" t="s">
        <v>2985</v>
      </c>
      <c r="E698" s="23" t="s">
        <v>19</v>
      </c>
      <c r="F698" s="16"/>
      <c r="G698" s="16"/>
      <c r="H698" s="19" t="n">
        <f aca="false">LEN(IF(F698&lt;&gt;"",F698,D698))</f>
        <v>17</v>
      </c>
      <c r="I698" s="24" t="str">
        <f aca="false">IF(OR(H698&lt;2,H698&gt;140),"분량 확인","")</f>
        <v/>
      </c>
    </row>
    <row r="699" customFormat="false" ht="61.5" hidden="false" customHeight="true" outlineLevel="0" collapsed="false">
      <c r="A699" s="13" t="s">
        <v>2986</v>
      </c>
      <c r="B699" s="14" t="s">
        <v>797</v>
      </c>
      <c r="C699" s="15" t="s">
        <v>1697</v>
      </c>
      <c r="D699" s="15" t="s">
        <v>2987</v>
      </c>
      <c r="E699" s="23" t="s">
        <v>19</v>
      </c>
      <c r="F699" s="16"/>
      <c r="G699" s="16"/>
      <c r="H699" s="19" t="n">
        <f aca="false">LEN(IF(F699&lt;&gt;"",F699,D699))</f>
        <v>51</v>
      </c>
      <c r="I699" s="24" t="str">
        <f aca="false">IF(OR(H699&lt;2,H699&gt;140),"분량 확인","")</f>
        <v/>
      </c>
    </row>
    <row r="700" customFormat="false" ht="61.5" hidden="false" customHeight="true" outlineLevel="0" collapsed="false">
      <c r="A700" s="13" t="s">
        <v>2988</v>
      </c>
      <c r="B700" s="14" t="s">
        <v>797</v>
      </c>
      <c r="C700" s="15" t="s">
        <v>1700</v>
      </c>
      <c r="D700" s="15" t="s">
        <v>2989</v>
      </c>
      <c r="E700" s="23" t="s">
        <v>19</v>
      </c>
      <c r="F700" s="16"/>
      <c r="G700" s="16"/>
      <c r="H700" s="19" t="n">
        <f aca="false">LEN(IF(F700&lt;&gt;"",F700,D700))</f>
        <v>64</v>
      </c>
      <c r="I700" s="24" t="str">
        <f aca="false">IF(OR(H700&lt;2,H700&gt;140),"분량 확인","")</f>
        <v/>
      </c>
    </row>
    <row r="701" customFormat="false" ht="48" hidden="false" customHeight="true" outlineLevel="0" collapsed="false">
      <c r="A701" s="13" t="s">
        <v>2990</v>
      </c>
      <c r="B701" s="14" t="s">
        <v>797</v>
      </c>
      <c r="C701" s="15" t="s">
        <v>1703</v>
      </c>
      <c r="D701" s="15" t="s">
        <v>2991</v>
      </c>
      <c r="E701" s="23" t="s">
        <v>19</v>
      </c>
      <c r="F701" s="16"/>
      <c r="G701" s="16"/>
      <c r="H701" s="19" t="n">
        <f aca="false">LEN(IF(F701&lt;&gt;"",F701,D701))</f>
        <v>13</v>
      </c>
      <c r="I701" s="24" t="str">
        <f aca="false">IF(OR(H701&lt;2,H701&gt;140),"분량 확인","")</f>
        <v/>
      </c>
    </row>
    <row r="702" customFormat="false" ht="48" hidden="false" customHeight="true" outlineLevel="0" collapsed="false">
      <c r="A702" s="13" t="s">
        <v>2992</v>
      </c>
      <c r="B702" s="14" t="s">
        <v>797</v>
      </c>
      <c r="C702" s="15" t="s">
        <v>1706</v>
      </c>
      <c r="D702" s="15" t="s">
        <v>2993</v>
      </c>
      <c r="E702" s="23" t="s">
        <v>19</v>
      </c>
      <c r="F702" s="16"/>
      <c r="G702" s="16"/>
      <c r="H702" s="19" t="n">
        <f aca="false">LEN(IF(F702&lt;&gt;"",F702,D702))</f>
        <v>69</v>
      </c>
      <c r="I702" s="24" t="str">
        <f aca="false">IF(OR(H702&lt;2,H702&gt;140),"분량 확인","")</f>
        <v/>
      </c>
    </row>
    <row r="703" customFormat="false" ht="48" hidden="false" customHeight="true" outlineLevel="0" collapsed="false">
      <c r="A703" s="13" t="s">
        <v>2994</v>
      </c>
      <c r="B703" s="14" t="s">
        <v>797</v>
      </c>
      <c r="C703" s="15" t="s">
        <v>1709</v>
      </c>
      <c r="D703" s="14" t="s">
        <v>1766</v>
      </c>
      <c r="E703" s="23" t="s">
        <v>19</v>
      </c>
      <c r="F703" s="16"/>
      <c r="G703" s="16"/>
      <c r="H703" s="19" t="n">
        <f aca="false">LEN(IF(F703&lt;&gt;"",F703,D703))</f>
        <v>3</v>
      </c>
      <c r="I703" s="24" t="str">
        <f aca="false">IF(OR(H703&lt;2,H703&gt;140),"분량 확인","")</f>
        <v/>
      </c>
    </row>
    <row r="704" customFormat="false" ht="48" hidden="false" customHeight="true" outlineLevel="0" collapsed="false">
      <c r="A704" s="13" t="s">
        <v>2995</v>
      </c>
      <c r="B704" s="14" t="s">
        <v>797</v>
      </c>
      <c r="C704" s="15" t="s">
        <v>1712</v>
      </c>
      <c r="D704" s="15" t="s">
        <v>2996</v>
      </c>
      <c r="E704" s="23" t="s">
        <v>19</v>
      </c>
      <c r="F704" s="16"/>
      <c r="G704" s="16"/>
      <c r="H704" s="19" t="n">
        <f aca="false">LEN(IF(F704&lt;&gt;"",F704,D704))</f>
        <v>44</v>
      </c>
      <c r="I704" s="24" t="str">
        <f aca="false">IF(OR(H704&lt;2,H704&gt;140),"분량 확인","")</f>
        <v/>
      </c>
    </row>
    <row r="705" customFormat="false" ht="61.5" hidden="false" customHeight="true" outlineLevel="0" collapsed="false">
      <c r="A705" s="13" t="s">
        <v>2997</v>
      </c>
      <c r="B705" s="14" t="s">
        <v>797</v>
      </c>
      <c r="C705" s="15" t="s">
        <v>1715</v>
      </c>
      <c r="D705" s="15" t="s">
        <v>2998</v>
      </c>
      <c r="E705" s="23" t="s">
        <v>19</v>
      </c>
      <c r="F705" s="16"/>
      <c r="G705" s="16"/>
      <c r="H705" s="19" t="n">
        <f aca="false">LEN(IF(F705&lt;&gt;"",F705,D705))</f>
        <v>18</v>
      </c>
      <c r="I705" s="24" t="str">
        <f aca="false">IF(OR(H705&lt;2,H705&gt;140),"분량 확인","")</f>
        <v/>
      </c>
    </row>
    <row r="706" customFormat="false" ht="61.5" hidden="false" customHeight="true" outlineLevel="0" collapsed="false">
      <c r="A706" s="13" t="s">
        <v>2999</v>
      </c>
      <c r="B706" s="14" t="s">
        <v>797</v>
      </c>
      <c r="C706" s="15" t="s">
        <v>1718</v>
      </c>
      <c r="D706" s="15" t="s">
        <v>3000</v>
      </c>
      <c r="E706" s="23" t="s">
        <v>19</v>
      </c>
      <c r="F706" s="16"/>
      <c r="G706" s="16"/>
      <c r="H706" s="19" t="n">
        <f aca="false">LEN(IF(F706&lt;&gt;"",F706,D706))</f>
        <v>11</v>
      </c>
      <c r="I706" s="24" t="str">
        <f aca="false">IF(OR(H706&lt;2,H706&gt;140),"분량 확인","")</f>
        <v/>
      </c>
    </row>
    <row r="707" customFormat="false" ht="61.5" hidden="false" customHeight="true" outlineLevel="0" collapsed="false">
      <c r="A707" s="13" t="s">
        <v>3001</v>
      </c>
      <c r="B707" s="14" t="s">
        <v>797</v>
      </c>
      <c r="C707" s="15" t="s">
        <v>1721</v>
      </c>
      <c r="D707" s="15" t="s">
        <v>3002</v>
      </c>
      <c r="E707" s="23" t="s">
        <v>19</v>
      </c>
      <c r="F707" s="16"/>
      <c r="G707" s="16"/>
      <c r="H707" s="19" t="n">
        <f aca="false">LEN(IF(F707&lt;&gt;"",F707,D707))</f>
        <v>51</v>
      </c>
      <c r="I707" s="24" t="str">
        <f aca="false">IF(OR(H707&lt;2,H707&gt;140),"분량 확인","")</f>
        <v/>
      </c>
    </row>
    <row r="708" customFormat="false" ht="61.5" hidden="false" customHeight="true" outlineLevel="0" collapsed="false">
      <c r="A708" s="13" t="s">
        <v>3003</v>
      </c>
      <c r="B708" s="14" t="s">
        <v>797</v>
      </c>
      <c r="C708" s="15" t="s">
        <v>1724</v>
      </c>
      <c r="D708" s="15" t="s">
        <v>3004</v>
      </c>
      <c r="E708" s="23" t="s">
        <v>19</v>
      </c>
      <c r="F708" s="16"/>
      <c r="G708" s="16"/>
      <c r="H708" s="19" t="n">
        <f aca="false">LEN(IF(F708&lt;&gt;"",F708,D708))</f>
        <v>56</v>
      </c>
      <c r="I708" s="24" t="str">
        <f aca="false">IF(OR(H708&lt;2,H708&gt;140),"분량 확인","")</f>
        <v/>
      </c>
    </row>
    <row r="709" customFormat="false" ht="48" hidden="false" customHeight="true" outlineLevel="0" collapsed="false">
      <c r="A709" s="13" t="s">
        <v>3005</v>
      </c>
      <c r="B709" s="14" t="s">
        <v>797</v>
      </c>
      <c r="C709" s="15" t="s">
        <v>1727</v>
      </c>
      <c r="D709" s="15" t="s">
        <v>3006</v>
      </c>
      <c r="E709" s="23" t="s">
        <v>19</v>
      </c>
      <c r="F709" s="16"/>
      <c r="G709" s="16"/>
      <c r="H709" s="19" t="n">
        <f aca="false">LEN(IF(F709&lt;&gt;"",F709,D709))</f>
        <v>9</v>
      </c>
      <c r="I709" s="24" t="str">
        <f aca="false">IF(OR(H709&lt;2,H709&gt;140),"분량 확인","")</f>
        <v/>
      </c>
    </row>
    <row r="710" customFormat="false" ht="48" hidden="false" customHeight="true" outlineLevel="0" collapsed="false">
      <c r="A710" s="13" t="s">
        <v>3007</v>
      </c>
      <c r="B710" s="14" t="s">
        <v>797</v>
      </c>
      <c r="C710" s="15" t="s">
        <v>1730</v>
      </c>
      <c r="D710" s="15" t="s">
        <v>3008</v>
      </c>
      <c r="E710" s="23" t="s">
        <v>19</v>
      </c>
      <c r="F710" s="16"/>
      <c r="G710" s="16"/>
      <c r="H710" s="19" t="n">
        <f aca="false">LEN(IF(F710&lt;&gt;"",F710,D710))</f>
        <v>35</v>
      </c>
      <c r="I710" s="24" t="str">
        <f aca="false">IF(OR(H710&lt;2,H710&gt;140),"분량 확인","")</f>
        <v/>
      </c>
    </row>
    <row r="711" customFormat="false" ht="48" hidden="false" customHeight="true" outlineLevel="0" collapsed="false">
      <c r="A711" s="13" t="s">
        <v>3009</v>
      </c>
      <c r="B711" s="14" t="s">
        <v>797</v>
      </c>
      <c r="C711" s="15" t="s">
        <v>1733</v>
      </c>
      <c r="D711" s="14" t="s">
        <v>1783</v>
      </c>
      <c r="E711" s="23" t="s">
        <v>19</v>
      </c>
      <c r="F711" s="16"/>
      <c r="G711" s="16"/>
      <c r="H711" s="19" t="n">
        <f aca="false">LEN(IF(F711&lt;&gt;"",F711,D711))</f>
        <v>2</v>
      </c>
      <c r="I711" s="24" t="str">
        <f aca="false">IF(OR(H711&lt;2,H711&gt;140),"분량 확인","")</f>
        <v/>
      </c>
    </row>
    <row r="712" customFormat="false" ht="48" hidden="false" customHeight="true" outlineLevel="0" collapsed="false">
      <c r="A712" s="13" t="s">
        <v>3010</v>
      </c>
      <c r="B712" s="14" t="s">
        <v>797</v>
      </c>
      <c r="C712" s="15" t="s">
        <v>1736</v>
      </c>
      <c r="D712" s="15" t="s">
        <v>3011</v>
      </c>
      <c r="E712" s="23" t="s">
        <v>19</v>
      </c>
      <c r="F712" s="16"/>
      <c r="G712" s="16"/>
      <c r="H712" s="19" t="n">
        <f aca="false">LEN(IF(F712&lt;&gt;"",F712,D712))</f>
        <v>42</v>
      </c>
      <c r="I712" s="24" t="str">
        <f aca="false">IF(OR(H712&lt;2,H712&gt;140),"분량 확인","")</f>
        <v/>
      </c>
    </row>
    <row r="713" customFormat="false" ht="48" hidden="false" customHeight="true" outlineLevel="0" collapsed="false">
      <c r="A713" s="13" t="s">
        <v>3012</v>
      </c>
      <c r="B713" s="14" t="s">
        <v>797</v>
      </c>
      <c r="C713" s="15" t="s">
        <v>1739</v>
      </c>
      <c r="D713" s="15" t="s">
        <v>3013</v>
      </c>
      <c r="E713" s="23" t="s">
        <v>19</v>
      </c>
      <c r="F713" s="16"/>
      <c r="G713" s="16"/>
      <c r="H713" s="19" t="n">
        <f aca="false">LEN(IF(F713&lt;&gt;"",F713,D713))</f>
        <v>17</v>
      </c>
      <c r="I713" s="24" t="str">
        <f aca="false">IF(OR(H713&lt;2,H713&gt;140),"분량 확인","")</f>
        <v/>
      </c>
    </row>
    <row r="714" customFormat="false" ht="48" hidden="false" customHeight="true" outlineLevel="0" collapsed="false">
      <c r="A714" s="13" t="s">
        <v>3014</v>
      </c>
      <c r="B714" s="14" t="s">
        <v>797</v>
      </c>
      <c r="C714" s="15" t="s">
        <v>1742</v>
      </c>
      <c r="D714" s="15" t="s">
        <v>3015</v>
      </c>
      <c r="E714" s="23" t="s">
        <v>19</v>
      </c>
      <c r="F714" s="16"/>
      <c r="G714" s="16"/>
      <c r="H714" s="19" t="n">
        <f aca="false">LEN(IF(F714&lt;&gt;"",F714,D714))</f>
        <v>42</v>
      </c>
      <c r="I714" s="24" t="str">
        <f aca="false">IF(OR(H714&lt;2,H714&gt;140),"분량 확인","")</f>
        <v/>
      </c>
    </row>
    <row r="715" customFormat="false" ht="48" hidden="false" customHeight="true" outlineLevel="0" collapsed="false">
      <c r="A715" s="13" t="s">
        <v>3016</v>
      </c>
      <c r="B715" s="14" t="s">
        <v>797</v>
      </c>
      <c r="C715" s="15" t="s">
        <v>1745</v>
      </c>
      <c r="D715" s="15" t="s">
        <v>1689</v>
      </c>
      <c r="E715" s="23" t="s">
        <v>19</v>
      </c>
      <c r="F715" s="16"/>
      <c r="G715" s="16"/>
      <c r="H715" s="19" t="n">
        <f aca="false">LEN(IF(F715&lt;&gt;"",F715,D715))</f>
        <v>4</v>
      </c>
      <c r="I715" s="24" t="str">
        <f aca="false">IF(OR(H715&lt;2,H715&gt;140),"분량 확인","")</f>
        <v/>
      </c>
    </row>
    <row r="716" customFormat="false" ht="48" hidden="false" customHeight="true" outlineLevel="0" collapsed="false">
      <c r="A716" s="13" t="s">
        <v>3017</v>
      </c>
      <c r="B716" s="14" t="s">
        <v>797</v>
      </c>
      <c r="C716" s="15" t="s">
        <v>1747</v>
      </c>
      <c r="D716" s="15" t="s">
        <v>3018</v>
      </c>
      <c r="E716" s="23" t="s">
        <v>19</v>
      </c>
      <c r="F716" s="16"/>
      <c r="G716" s="16"/>
      <c r="H716" s="19" t="n">
        <f aca="false">LEN(IF(F716&lt;&gt;"",F716,D716))</f>
        <v>50</v>
      </c>
      <c r="I716" s="24" t="str">
        <f aca="false">IF(OR(H716&lt;2,H716&gt;140),"분량 확인","")</f>
        <v/>
      </c>
    </row>
    <row r="717" customFormat="false" ht="61.5" hidden="false" customHeight="true" outlineLevel="0" collapsed="false">
      <c r="A717" s="13" t="s">
        <v>3019</v>
      </c>
      <c r="B717" s="14" t="s">
        <v>797</v>
      </c>
      <c r="C717" s="15" t="s">
        <v>1750</v>
      </c>
      <c r="D717" s="15" t="s">
        <v>3020</v>
      </c>
      <c r="E717" s="23" t="s">
        <v>19</v>
      </c>
      <c r="F717" s="16"/>
      <c r="G717" s="16"/>
      <c r="H717" s="19" t="n">
        <f aca="false">LEN(IF(F717&lt;&gt;"",F717,D717))</f>
        <v>14</v>
      </c>
      <c r="I717" s="24" t="str">
        <f aca="false">IF(OR(H717&lt;2,H717&gt;140),"분량 확인","")</f>
        <v/>
      </c>
    </row>
    <row r="718" customFormat="false" ht="61.5" hidden="false" customHeight="true" outlineLevel="0" collapsed="false">
      <c r="A718" s="13" t="s">
        <v>3021</v>
      </c>
      <c r="B718" s="14" t="s">
        <v>797</v>
      </c>
      <c r="C718" s="15" t="s">
        <v>1753</v>
      </c>
      <c r="D718" s="15" t="s">
        <v>3022</v>
      </c>
      <c r="E718" s="23" t="s">
        <v>19</v>
      </c>
      <c r="F718" s="16"/>
      <c r="G718" s="16"/>
      <c r="H718" s="19" t="n">
        <f aca="false">LEN(IF(F718&lt;&gt;"",F718,D718))</f>
        <v>52</v>
      </c>
      <c r="I718" s="24" t="str">
        <f aca="false">IF(OR(H718&lt;2,H718&gt;140),"분량 확인","")</f>
        <v/>
      </c>
    </row>
    <row r="719" customFormat="false" ht="61.5" hidden="false" customHeight="true" outlineLevel="0" collapsed="false">
      <c r="A719" s="13" t="s">
        <v>3023</v>
      </c>
      <c r="B719" s="14" t="s">
        <v>797</v>
      </c>
      <c r="C719" s="15" t="s">
        <v>1756</v>
      </c>
      <c r="D719" s="15" t="s">
        <v>3024</v>
      </c>
      <c r="E719" s="23" t="s">
        <v>19</v>
      </c>
      <c r="F719" s="16"/>
      <c r="G719" s="16"/>
      <c r="H719" s="19" t="n">
        <f aca="false">LEN(IF(F719&lt;&gt;"",F719,D719))</f>
        <v>61</v>
      </c>
      <c r="I719" s="24" t="str">
        <f aca="false">IF(OR(H719&lt;2,H719&gt;140),"분량 확인","")</f>
        <v/>
      </c>
    </row>
    <row r="720" customFormat="false" ht="48" hidden="false" customHeight="true" outlineLevel="0" collapsed="false">
      <c r="A720" s="13" t="s">
        <v>3025</v>
      </c>
      <c r="B720" s="14" t="s">
        <v>797</v>
      </c>
      <c r="C720" s="15" t="s">
        <v>1759</v>
      </c>
      <c r="D720" s="15" t="s">
        <v>3026</v>
      </c>
      <c r="E720" s="23" t="s">
        <v>19</v>
      </c>
      <c r="F720" s="16"/>
      <c r="G720" s="16"/>
      <c r="H720" s="19" t="n">
        <f aca="false">LEN(IF(F720&lt;&gt;"",F720,D720))</f>
        <v>11</v>
      </c>
      <c r="I720" s="24" t="str">
        <f aca="false">IF(OR(H720&lt;2,H720&gt;140),"분량 확인","")</f>
        <v/>
      </c>
    </row>
    <row r="721" customFormat="false" ht="48" hidden="false" customHeight="true" outlineLevel="0" collapsed="false">
      <c r="A721" s="13" t="s">
        <v>3027</v>
      </c>
      <c r="B721" s="14" t="s">
        <v>797</v>
      </c>
      <c r="C721" s="15" t="s">
        <v>1762</v>
      </c>
      <c r="D721" s="15" t="s">
        <v>3028</v>
      </c>
      <c r="E721" s="23" t="s">
        <v>19</v>
      </c>
      <c r="F721" s="16"/>
      <c r="G721" s="16"/>
      <c r="H721" s="19" t="n">
        <f aca="false">LEN(IF(F721&lt;&gt;"",F721,D721))</f>
        <v>72</v>
      </c>
      <c r="I721" s="24" t="str">
        <f aca="false">IF(OR(H721&lt;2,H721&gt;140),"분량 확인","")</f>
        <v/>
      </c>
    </row>
    <row r="722" customFormat="false" ht="48" hidden="false" customHeight="true" outlineLevel="0" collapsed="false">
      <c r="A722" s="13" t="s">
        <v>3029</v>
      </c>
      <c r="B722" s="14" t="s">
        <v>797</v>
      </c>
      <c r="C722" s="15" t="s">
        <v>1765</v>
      </c>
      <c r="D722" s="14" t="s">
        <v>1710</v>
      </c>
      <c r="E722" s="23" t="s">
        <v>19</v>
      </c>
      <c r="F722" s="16"/>
      <c r="G722" s="16"/>
      <c r="H722" s="19" t="n">
        <f aca="false">LEN(IF(F722&lt;&gt;"",F722,D722))</f>
        <v>3</v>
      </c>
      <c r="I722" s="24" t="str">
        <f aca="false">IF(OR(H722&lt;2,H722&gt;140),"분량 확인","")</f>
        <v/>
      </c>
    </row>
    <row r="723" customFormat="false" ht="48" hidden="false" customHeight="true" outlineLevel="0" collapsed="false">
      <c r="A723" s="13" t="s">
        <v>3030</v>
      </c>
      <c r="B723" s="14" t="s">
        <v>797</v>
      </c>
      <c r="C723" s="15" t="s">
        <v>1768</v>
      </c>
      <c r="D723" s="15" t="s">
        <v>3031</v>
      </c>
      <c r="E723" s="23" t="s">
        <v>19</v>
      </c>
      <c r="F723" s="16"/>
      <c r="G723" s="16"/>
      <c r="H723" s="19" t="n">
        <f aca="false">LEN(IF(F723&lt;&gt;"",F723,D723))</f>
        <v>40</v>
      </c>
      <c r="I723" s="24" t="str">
        <f aca="false">IF(OR(H723&lt;2,H723&gt;140),"분량 확인","")</f>
        <v/>
      </c>
    </row>
    <row r="724" customFormat="false" ht="61.5" hidden="false" customHeight="true" outlineLevel="0" collapsed="false">
      <c r="A724" s="13" t="s">
        <v>3032</v>
      </c>
      <c r="B724" s="14" t="s">
        <v>810</v>
      </c>
      <c r="C724" s="15" t="s">
        <v>1658</v>
      </c>
      <c r="D724" s="15" t="s">
        <v>3033</v>
      </c>
      <c r="E724" s="23" t="s">
        <v>19</v>
      </c>
      <c r="F724" s="16"/>
      <c r="G724" s="16"/>
      <c r="H724" s="19" t="n">
        <f aca="false">LEN(IF(F724&lt;&gt;"",F724,D724))</f>
        <v>12</v>
      </c>
      <c r="I724" s="24" t="str">
        <f aca="false">IF(OR(H724&lt;2,H724&gt;140),"분량 확인","")</f>
        <v/>
      </c>
    </row>
    <row r="725" customFormat="false" ht="61.5" hidden="false" customHeight="true" outlineLevel="0" collapsed="false">
      <c r="A725" s="13" t="s">
        <v>3034</v>
      </c>
      <c r="B725" s="14" t="s">
        <v>810</v>
      </c>
      <c r="C725" s="15" t="s">
        <v>1661</v>
      </c>
      <c r="D725" s="15" t="s">
        <v>3035</v>
      </c>
      <c r="E725" s="23" t="s">
        <v>19</v>
      </c>
      <c r="F725" s="16"/>
      <c r="G725" s="16"/>
      <c r="H725" s="19" t="n">
        <f aca="false">LEN(IF(F725&lt;&gt;"",F725,D725))</f>
        <v>15</v>
      </c>
      <c r="I725" s="24" t="str">
        <f aca="false">IF(OR(H725&lt;2,H725&gt;140),"분량 확인","")</f>
        <v/>
      </c>
    </row>
    <row r="726" customFormat="false" ht="61.5" hidden="false" customHeight="true" outlineLevel="0" collapsed="false">
      <c r="A726" s="13" t="s">
        <v>3036</v>
      </c>
      <c r="B726" s="14" t="s">
        <v>810</v>
      </c>
      <c r="C726" s="15" t="s">
        <v>1664</v>
      </c>
      <c r="D726" s="15" t="s">
        <v>3037</v>
      </c>
      <c r="E726" s="23" t="s">
        <v>19</v>
      </c>
      <c r="F726" s="16"/>
      <c r="G726" s="16"/>
      <c r="H726" s="19" t="n">
        <f aca="false">LEN(IF(F726&lt;&gt;"",F726,D726))</f>
        <v>48</v>
      </c>
      <c r="I726" s="24" t="str">
        <f aca="false">IF(OR(H726&lt;2,H726&gt;140),"분량 확인","")</f>
        <v/>
      </c>
    </row>
    <row r="727" customFormat="false" ht="61.5" hidden="false" customHeight="true" outlineLevel="0" collapsed="false">
      <c r="A727" s="13" t="s">
        <v>3038</v>
      </c>
      <c r="B727" s="14" t="s">
        <v>810</v>
      </c>
      <c r="C727" s="15" t="s">
        <v>1667</v>
      </c>
      <c r="D727" s="15" t="s">
        <v>3039</v>
      </c>
      <c r="E727" s="23" t="s">
        <v>19</v>
      </c>
      <c r="F727" s="16"/>
      <c r="G727" s="16"/>
      <c r="H727" s="19" t="n">
        <f aca="false">LEN(IF(F727&lt;&gt;"",F727,D727))</f>
        <v>54</v>
      </c>
      <c r="I727" s="24" t="str">
        <f aca="false">IF(OR(H727&lt;2,H727&gt;140),"분량 확인","")</f>
        <v/>
      </c>
    </row>
    <row r="728" customFormat="false" ht="48" hidden="false" customHeight="true" outlineLevel="0" collapsed="false">
      <c r="A728" s="13" t="s">
        <v>3040</v>
      </c>
      <c r="B728" s="14" t="s">
        <v>810</v>
      </c>
      <c r="C728" s="15" t="s">
        <v>1670</v>
      </c>
      <c r="D728" s="15" t="s">
        <v>3041</v>
      </c>
      <c r="E728" s="23" t="s">
        <v>19</v>
      </c>
      <c r="F728" s="16"/>
      <c r="G728" s="16"/>
      <c r="H728" s="19" t="n">
        <f aca="false">LEN(IF(F728&lt;&gt;"",F728,D728))</f>
        <v>12</v>
      </c>
      <c r="I728" s="24" t="str">
        <f aca="false">IF(OR(H728&lt;2,H728&gt;140),"분량 확인","")</f>
        <v/>
      </c>
    </row>
    <row r="729" customFormat="false" ht="48" hidden="false" customHeight="true" outlineLevel="0" collapsed="false">
      <c r="A729" s="13" t="s">
        <v>3042</v>
      </c>
      <c r="B729" s="14" t="s">
        <v>810</v>
      </c>
      <c r="C729" s="15" t="s">
        <v>1673</v>
      </c>
      <c r="D729" s="15" t="s">
        <v>3043</v>
      </c>
      <c r="E729" s="23" t="s">
        <v>19</v>
      </c>
      <c r="F729" s="16"/>
      <c r="G729" s="16"/>
      <c r="H729" s="19" t="n">
        <f aca="false">LEN(IF(F729&lt;&gt;"",F729,D729))</f>
        <v>47</v>
      </c>
      <c r="I729" s="24" t="str">
        <f aca="false">IF(OR(H729&lt;2,H729&gt;140),"분량 확인","")</f>
        <v/>
      </c>
    </row>
    <row r="730" customFormat="false" ht="48" hidden="false" customHeight="true" outlineLevel="0" collapsed="false">
      <c r="A730" s="13" t="s">
        <v>3044</v>
      </c>
      <c r="B730" s="14" t="s">
        <v>810</v>
      </c>
      <c r="C730" s="15" t="s">
        <v>1676</v>
      </c>
      <c r="D730" s="14" t="s">
        <v>1924</v>
      </c>
      <c r="E730" s="23" t="s">
        <v>19</v>
      </c>
      <c r="F730" s="16"/>
      <c r="G730" s="16"/>
      <c r="H730" s="19" t="n">
        <f aca="false">LEN(IF(F730&lt;&gt;"",F730,D730))</f>
        <v>2</v>
      </c>
      <c r="I730" s="24" t="str">
        <f aca="false">IF(OR(H730&lt;2,H730&gt;140),"분량 확인","")</f>
        <v/>
      </c>
    </row>
    <row r="731" customFormat="false" ht="48" hidden="false" customHeight="true" outlineLevel="0" collapsed="false">
      <c r="A731" s="13" t="s">
        <v>3045</v>
      </c>
      <c r="B731" s="14" t="s">
        <v>810</v>
      </c>
      <c r="C731" s="15" t="s">
        <v>1679</v>
      </c>
      <c r="D731" s="15" t="s">
        <v>3046</v>
      </c>
      <c r="E731" s="23" t="s">
        <v>19</v>
      </c>
      <c r="F731" s="16"/>
      <c r="G731" s="16"/>
      <c r="H731" s="19" t="n">
        <f aca="false">LEN(IF(F731&lt;&gt;"",F731,D731))</f>
        <v>37</v>
      </c>
      <c r="I731" s="24" t="str">
        <f aca="false">IF(OR(H731&lt;2,H731&gt;140),"분량 확인","")</f>
        <v/>
      </c>
    </row>
    <row r="732" customFormat="false" ht="48" hidden="false" customHeight="true" outlineLevel="0" collapsed="false">
      <c r="A732" s="13" t="s">
        <v>3047</v>
      </c>
      <c r="B732" s="14" t="s">
        <v>810</v>
      </c>
      <c r="C732" s="15" t="s">
        <v>1682</v>
      </c>
      <c r="D732" s="15" t="s">
        <v>3048</v>
      </c>
      <c r="E732" s="23" t="s">
        <v>19</v>
      </c>
      <c r="F732" s="16"/>
      <c r="G732" s="16"/>
      <c r="H732" s="19" t="n">
        <f aca="false">LEN(IF(F732&lt;&gt;"",F732,D732))</f>
        <v>16</v>
      </c>
      <c r="I732" s="24" t="str">
        <f aca="false">IF(OR(H732&lt;2,H732&gt;140),"분량 확인","")</f>
        <v/>
      </c>
    </row>
    <row r="733" customFormat="false" ht="48" hidden="false" customHeight="true" outlineLevel="0" collapsed="false">
      <c r="A733" s="13" t="s">
        <v>3049</v>
      </c>
      <c r="B733" s="14" t="s">
        <v>810</v>
      </c>
      <c r="C733" s="15" t="s">
        <v>1685</v>
      </c>
      <c r="D733" s="15" t="s">
        <v>3050</v>
      </c>
      <c r="E733" s="23" t="s">
        <v>19</v>
      </c>
      <c r="F733" s="16"/>
      <c r="G733" s="16"/>
      <c r="H733" s="19" t="n">
        <f aca="false">LEN(IF(F733&lt;&gt;"",F733,D733))</f>
        <v>51</v>
      </c>
      <c r="I733" s="24" t="str">
        <f aca="false">IF(OR(H733&lt;2,H733&gt;140),"분량 확인","")</f>
        <v/>
      </c>
    </row>
    <row r="734" customFormat="false" ht="48" hidden="false" customHeight="true" outlineLevel="0" collapsed="false">
      <c r="A734" s="13" t="s">
        <v>3051</v>
      </c>
      <c r="B734" s="14" t="s">
        <v>810</v>
      </c>
      <c r="C734" s="15" t="s">
        <v>1688</v>
      </c>
      <c r="D734" s="15" t="s">
        <v>1689</v>
      </c>
      <c r="E734" s="23" t="s">
        <v>19</v>
      </c>
      <c r="F734" s="16"/>
      <c r="G734" s="16"/>
      <c r="H734" s="19" t="n">
        <f aca="false">LEN(IF(F734&lt;&gt;"",F734,D734))</f>
        <v>4</v>
      </c>
      <c r="I734" s="24" t="str">
        <f aca="false">IF(OR(H734&lt;2,H734&gt;140),"분량 확인","")</f>
        <v/>
      </c>
    </row>
    <row r="735" customFormat="false" ht="48" hidden="false" customHeight="true" outlineLevel="0" collapsed="false">
      <c r="A735" s="13" t="s">
        <v>3052</v>
      </c>
      <c r="B735" s="14" t="s">
        <v>810</v>
      </c>
      <c r="C735" s="15" t="s">
        <v>1691</v>
      </c>
      <c r="D735" s="15" t="s">
        <v>3053</v>
      </c>
      <c r="E735" s="23" t="s">
        <v>19</v>
      </c>
      <c r="F735" s="16"/>
      <c r="G735" s="16"/>
      <c r="H735" s="19" t="n">
        <f aca="false">LEN(IF(F735&lt;&gt;"",F735,D735))</f>
        <v>40</v>
      </c>
      <c r="I735" s="24" t="str">
        <f aca="false">IF(OR(H735&lt;2,H735&gt;140),"분량 확인","")</f>
        <v/>
      </c>
    </row>
    <row r="736" customFormat="false" ht="61.5" hidden="false" customHeight="true" outlineLevel="0" collapsed="false">
      <c r="A736" s="13" t="s">
        <v>3054</v>
      </c>
      <c r="B736" s="14" t="s">
        <v>810</v>
      </c>
      <c r="C736" s="15" t="s">
        <v>1694</v>
      </c>
      <c r="D736" s="15" t="s">
        <v>3055</v>
      </c>
      <c r="E736" s="23" t="s">
        <v>19</v>
      </c>
      <c r="F736" s="16"/>
      <c r="G736" s="16"/>
      <c r="H736" s="19" t="n">
        <f aca="false">LEN(IF(F736&lt;&gt;"",F736,D736))</f>
        <v>16</v>
      </c>
      <c r="I736" s="24" t="str">
        <f aca="false">IF(OR(H736&lt;2,H736&gt;140),"분량 확인","")</f>
        <v/>
      </c>
    </row>
    <row r="737" customFormat="false" ht="61.5" hidden="false" customHeight="true" outlineLevel="0" collapsed="false">
      <c r="A737" s="13" t="s">
        <v>3056</v>
      </c>
      <c r="B737" s="14" t="s">
        <v>810</v>
      </c>
      <c r="C737" s="15" t="s">
        <v>1697</v>
      </c>
      <c r="D737" s="15" t="s">
        <v>3057</v>
      </c>
      <c r="E737" s="23" t="s">
        <v>19</v>
      </c>
      <c r="F737" s="16"/>
      <c r="G737" s="16"/>
      <c r="H737" s="19" t="n">
        <f aca="false">LEN(IF(F737&lt;&gt;"",F737,D737))</f>
        <v>62</v>
      </c>
      <c r="I737" s="24" t="str">
        <f aca="false">IF(OR(H737&lt;2,H737&gt;140),"분량 확인","")</f>
        <v/>
      </c>
    </row>
    <row r="738" customFormat="false" ht="61.5" hidden="false" customHeight="true" outlineLevel="0" collapsed="false">
      <c r="A738" s="13" t="s">
        <v>3058</v>
      </c>
      <c r="B738" s="14" t="s">
        <v>810</v>
      </c>
      <c r="C738" s="15" t="s">
        <v>1700</v>
      </c>
      <c r="D738" s="15" t="s">
        <v>3059</v>
      </c>
      <c r="E738" s="23" t="s">
        <v>19</v>
      </c>
      <c r="F738" s="16"/>
      <c r="G738" s="16"/>
      <c r="H738" s="19" t="n">
        <f aca="false">LEN(IF(F738&lt;&gt;"",F738,D738))</f>
        <v>70</v>
      </c>
      <c r="I738" s="24" t="str">
        <f aca="false">IF(OR(H738&lt;2,H738&gt;140),"분량 확인","")</f>
        <v/>
      </c>
    </row>
    <row r="739" customFormat="false" ht="48" hidden="false" customHeight="true" outlineLevel="0" collapsed="false">
      <c r="A739" s="13" t="s">
        <v>3060</v>
      </c>
      <c r="B739" s="14" t="s">
        <v>810</v>
      </c>
      <c r="C739" s="15" t="s">
        <v>1703</v>
      </c>
      <c r="D739" s="15" t="s">
        <v>3061</v>
      </c>
      <c r="E739" s="23" t="s">
        <v>19</v>
      </c>
      <c r="F739" s="16"/>
      <c r="G739" s="16"/>
      <c r="H739" s="19" t="n">
        <f aca="false">LEN(IF(F739&lt;&gt;"",F739,D739))</f>
        <v>15</v>
      </c>
      <c r="I739" s="24" t="str">
        <f aca="false">IF(OR(H739&lt;2,H739&gt;140),"분량 확인","")</f>
        <v/>
      </c>
    </row>
    <row r="740" customFormat="false" ht="48" hidden="false" customHeight="true" outlineLevel="0" collapsed="false">
      <c r="A740" s="13" t="s">
        <v>3062</v>
      </c>
      <c r="B740" s="14" t="s">
        <v>810</v>
      </c>
      <c r="C740" s="15" t="s">
        <v>1706</v>
      </c>
      <c r="D740" s="15" t="s">
        <v>3063</v>
      </c>
      <c r="E740" s="23" t="s">
        <v>19</v>
      </c>
      <c r="F740" s="16"/>
      <c r="G740" s="16"/>
      <c r="H740" s="19" t="n">
        <f aca="false">LEN(IF(F740&lt;&gt;"",F740,D740))</f>
        <v>70</v>
      </c>
      <c r="I740" s="24" t="str">
        <f aca="false">IF(OR(H740&lt;2,H740&gt;140),"분량 확인","")</f>
        <v/>
      </c>
    </row>
    <row r="741" customFormat="false" ht="48" hidden="false" customHeight="true" outlineLevel="0" collapsed="false">
      <c r="A741" s="13" t="s">
        <v>3064</v>
      </c>
      <c r="B741" s="14" t="s">
        <v>810</v>
      </c>
      <c r="C741" s="15" t="s">
        <v>1709</v>
      </c>
      <c r="D741" s="14" t="s">
        <v>1710</v>
      </c>
      <c r="E741" s="23" t="s">
        <v>19</v>
      </c>
      <c r="F741" s="16"/>
      <c r="G741" s="16"/>
      <c r="H741" s="19" t="n">
        <f aca="false">LEN(IF(F741&lt;&gt;"",F741,D741))</f>
        <v>3</v>
      </c>
      <c r="I741" s="24" t="str">
        <f aca="false">IF(OR(H741&lt;2,H741&gt;140),"분량 확인","")</f>
        <v/>
      </c>
    </row>
    <row r="742" customFormat="false" ht="48" hidden="false" customHeight="true" outlineLevel="0" collapsed="false">
      <c r="A742" s="13" t="s">
        <v>3065</v>
      </c>
      <c r="B742" s="14" t="s">
        <v>810</v>
      </c>
      <c r="C742" s="15" t="s">
        <v>1712</v>
      </c>
      <c r="D742" s="15" t="s">
        <v>3066</v>
      </c>
      <c r="E742" s="23" t="s">
        <v>19</v>
      </c>
      <c r="F742" s="16"/>
      <c r="G742" s="16"/>
      <c r="H742" s="19" t="n">
        <f aca="false">LEN(IF(F742&lt;&gt;"",F742,D742))</f>
        <v>49</v>
      </c>
      <c r="I742" s="24" t="str">
        <f aca="false">IF(OR(H742&lt;2,H742&gt;140),"분량 확인","")</f>
        <v/>
      </c>
    </row>
    <row r="743" customFormat="false" ht="61.5" hidden="false" customHeight="true" outlineLevel="0" collapsed="false">
      <c r="A743" s="13" t="s">
        <v>3067</v>
      </c>
      <c r="B743" s="14" t="s">
        <v>810</v>
      </c>
      <c r="C743" s="15" t="s">
        <v>1715</v>
      </c>
      <c r="D743" s="15" t="s">
        <v>3068</v>
      </c>
      <c r="E743" s="23" t="s">
        <v>19</v>
      </c>
      <c r="F743" s="16"/>
      <c r="G743" s="16"/>
      <c r="H743" s="19" t="n">
        <f aca="false">LEN(IF(F743&lt;&gt;"",F743,D743))</f>
        <v>14</v>
      </c>
      <c r="I743" s="24" t="str">
        <f aca="false">IF(OR(H743&lt;2,H743&gt;140),"분량 확인","")</f>
        <v/>
      </c>
    </row>
    <row r="744" customFormat="false" ht="61.5" hidden="false" customHeight="true" outlineLevel="0" collapsed="false">
      <c r="A744" s="13" t="s">
        <v>3069</v>
      </c>
      <c r="B744" s="14" t="s">
        <v>810</v>
      </c>
      <c r="C744" s="15" t="s">
        <v>1718</v>
      </c>
      <c r="D744" s="15" t="s">
        <v>3070</v>
      </c>
      <c r="E744" s="23" t="s">
        <v>19</v>
      </c>
      <c r="F744" s="16"/>
      <c r="G744" s="16"/>
      <c r="H744" s="19" t="n">
        <f aca="false">LEN(IF(F744&lt;&gt;"",F744,D744))</f>
        <v>15</v>
      </c>
      <c r="I744" s="24" t="str">
        <f aca="false">IF(OR(H744&lt;2,H744&gt;140),"분량 확인","")</f>
        <v/>
      </c>
    </row>
    <row r="745" customFormat="false" ht="61.5" hidden="false" customHeight="true" outlineLevel="0" collapsed="false">
      <c r="A745" s="13" t="s">
        <v>3071</v>
      </c>
      <c r="B745" s="14" t="s">
        <v>810</v>
      </c>
      <c r="C745" s="15" t="s">
        <v>1721</v>
      </c>
      <c r="D745" s="15" t="s">
        <v>3072</v>
      </c>
      <c r="E745" s="23" t="s">
        <v>19</v>
      </c>
      <c r="F745" s="16"/>
      <c r="G745" s="16"/>
      <c r="H745" s="19" t="n">
        <f aca="false">LEN(IF(F745&lt;&gt;"",F745,D745))</f>
        <v>51</v>
      </c>
      <c r="I745" s="24" t="str">
        <f aca="false">IF(OR(H745&lt;2,H745&gt;140),"분량 확인","")</f>
        <v/>
      </c>
    </row>
    <row r="746" customFormat="false" ht="61.5" hidden="false" customHeight="true" outlineLevel="0" collapsed="false">
      <c r="A746" s="13" t="s">
        <v>3073</v>
      </c>
      <c r="B746" s="14" t="s">
        <v>810</v>
      </c>
      <c r="C746" s="15" t="s">
        <v>1724</v>
      </c>
      <c r="D746" s="15" t="s">
        <v>3074</v>
      </c>
      <c r="E746" s="23" t="s">
        <v>19</v>
      </c>
      <c r="F746" s="16"/>
      <c r="G746" s="16"/>
      <c r="H746" s="19" t="n">
        <f aca="false">LEN(IF(F746&lt;&gt;"",F746,D746))</f>
        <v>57</v>
      </c>
      <c r="I746" s="24" t="str">
        <f aca="false">IF(OR(H746&lt;2,H746&gt;140),"분량 확인","")</f>
        <v/>
      </c>
    </row>
    <row r="747" customFormat="false" ht="48" hidden="false" customHeight="true" outlineLevel="0" collapsed="false">
      <c r="A747" s="13" t="s">
        <v>3075</v>
      </c>
      <c r="B747" s="14" t="s">
        <v>810</v>
      </c>
      <c r="C747" s="15" t="s">
        <v>1727</v>
      </c>
      <c r="D747" s="15" t="s">
        <v>3076</v>
      </c>
      <c r="E747" s="23" t="s">
        <v>19</v>
      </c>
      <c r="F747" s="16"/>
      <c r="G747" s="16"/>
      <c r="H747" s="19" t="n">
        <f aca="false">LEN(IF(F747&lt;&gt;"",F747,D747))</f>
        <v>9</v>
      </c>
      <c r="I747" s="24" t="str">
        <f aca="false">IF(OR(H747&lt;2,H747&gt;140),"분량 확인","")</f>
        <v/>
      </c>
    </row>
    <row r="748" customFormat="false" ht="48" hidden="false" customHeight="true" outlineLevel="0" collapsed="false">
      <c r="A748" s="13" t="s">
        <v>3077</v>
      </c>
      <c r="B748" s="14" t="s">
        <v>810</v>
      </c>
      <c r="C748" s="15" t="s">
        <v>1730</v>
      </c>
      <c r="D748" s="15" t="s">
        <v>3078</v>
      </c>
      <c r="E748" s="23" t="s">
        <v>19</v>
      </c>
      <c r="F748" s="16"/>
      <c r="G748" s="16"/>
      <c r="H748" s="19" t="n">
        <f aca="false">LEN(IF(F748&lt;&gt;"",F748,D748))</f>
        <v>33</v>
      </c>
      <c r="I748" s="24" t="str">
        <f aca="false">IF(OR(H748&lt;2,H748&gt;140),"분량 확인","")</f>
        <v/>
      </c>
    </row>
    <row r="749" customFormat="false" ht="48" hidden="false" customHeight="true" outlineLevel="0" collapsed="false">
      <c r="A749" s="13" t="s">
        <v>3079</v>
      </c>
      <c r="B749" s="14" t="s">
        <v>810</v>
      </c>
      <c r="C749" s="15" t="s">
        <v>1733</v>
      </c>
      <c r="D749" s="14" t="s">
        <v>1734</v>
      </c>
      <c r="E749" s="23" t="s">
        <v>19</v>
      </c>
      <c r="F749" s="16"/>
      <c r="G749" s="16"/>
      <c r="H749" s="19" t="n">
        <f aca="false">LEN(IF(F749&lt;&gt;"",F749,D749))</f>
        <v>2</v>
      </c>
      <c r="I749" s="24" t="str">
        <f aca="false">IF(OR(H749&lt;2,H749&gt;140),"분량 확인","")</f>
        <v/>
      </c>
    </row>
    <row r="750" customFormat="false" ht="48" hidden="false" customHeight="true" outlineLevel="0" collapsed="false">
      <c r="A750" s="13" t="s">
        <v>3080</v>
      </c>
      <c r="B750" s="14" t="s">
        <v>810</v>
      </c>
      <c r="C750" s="15" t="s">
        <v>1736</v>
      </c>
      <c r="D750" s="15" t="s">
        <v>3081</v>
      </c>
      <c r="E750" s="23" t="s">
        <v>19</v>
      </c>
      <c r="F750" s="16"/>
      <c r="G750" s="16"/>
      <c r="H750" s="19" t="n">
        <f aca="false">LEN(IF(F750&lt;&gt;"",F750,D750))</f>
        <v>39</v>
      </c>
      <c r="I750" s="24" t="str">
        <f aca="false">IF(OR(H750&lt;2,H750&gt;140),"분량 확인","")</f>
        <v/>
      </c>
    </row>
    <row r="751" customFormat="false" ht="48" hidden="false" customHeight="true" outlineLevel="0" collapsed="false">
      <c r="A751" s="13" t="s">
        <v>3082</v>
      </c>
      <c r="B751" s="14" t="s">
        <v>810</v>
      </c>
      <c r="C751" s="15" t="s">
        <v>1739</v>
      </c>
      <c r="D751" s="15" t="s">
        <v>3083</v>
      </c>
      <c r="E751" s="23" t="s">
        <v>19</v>
      </c>
      <c r="F751" s="16"/>
      <c r="G751" s="16"/>
      <c r="H751" s="19" t="n">
        <f aca="false">LEN(IF(F751&lt;&gt;"",F751,D751))</f>
        <v>12</v>
      </c>
      <c r="I751" s="24" t="str">
        <f aca="false">IF(OR(H751&lt;2,H751&gt;140),"분량 확인","")</f>
        <v/>
      </c>
    </row>
    <row r="752" customFormat="false" ht="48" hidden="false" customHeight="true" outlineLevel="0" collapsed="false">
      <c r="A752" s="13" t="s">
        <v>3084</v>
      </c>
      <c r="B752" s="14" t="s">
        <v>810</v>
      </c>
      <c r="C752" s="15" t="s">
        <v>1742</v>
      </c>
      <c r="D752" s="15" t="s">
        <v>3085</v>
      </c>
      <c r="E752" s="23" t="s">
        <v>19</v>
      </c>
      <c r="F752" s="16"/>
      <c r="G752" s="16"/>
      <c r="H752" s="19" t="n">
        <f aca="false">LEN(IF(F752&lt;&gt;"",F752,D752))</f>
        <v>57</v>
      </c>
      <c r="I752" s="24" t="str">
        <f aca="false">IF(OR(H752&lt;2,H752&gt;140),"분량 확인","")</f>
        <v/>
      </c>
    </row>
    <row r="753" customFormat="false" ht="48" hidden="false" customHeight="true" outlineLevel="0" collapsed="false">
      <c r="A753" s="13" t="s">
        <v>3086</v>
      </c>
      <c r="B753" s="14" t="s">
        <v>810</v>
      </c>
      <c r="C753" s="15" t="s">
        <v>1745</v>
      </c>
      <c r="D753" s="15" t="s">
        <v>1689</v>
      </c>
      <c r="E753" s="23" t="s">
        <v>19</v>
      </c>
      <c r="F753" s="16"/>
      <c r="G753" s="16"/>
      <c r="H753" s="19" t="n">
        <f aca="false">LEN(IF(F753&lt;&gt;"",F753,D753))</f>
        <v>4</v>
      </c>
      <c r="I753" s="24" t="str">
        <f aca="false">IF(OR(H753&lt;2,H753&gt;140),"분량 확인","")</f>
        <v/>
      </c>
    </row>
    <row r="754" customFormat="false" ht="48" hidden="false" customHeight="true" outlineLevel="0" collapsed="false">
      <c r="A754" s="13" t="s">
        <v>3087</v>
      </c>
      <c r="B754" s="14" t="s">
        <v>810</v>
      </c>
      <c r="C754" s="15" t="s">
        <v>1747</v>
      </c>
      <c r="D754" s="15" t="s">
        <v>3088</v>
      </c>
      <c r="E754" s="23" t="s">
        <v>19</v>
      </c>
      <c r="F754" s="16"/>
      <c r="G754" s="16"/>
      <c r="H754" s="19" t="n">
        <f aca="false">LEN(IF(F754&lt;&gt;"",F754,D754))</f>
        <v>48</v>
      </c>
      <c r="I754" s="24" t="str">
        <f aca="false">IF(OR(H754&lt;2,H754&gt;140),"분량 확인","")</f>
        <v/>
      </c>
    </row>
    <row r="755" customFormat="false" ht="61.5" hidden="false" customHeight="true" outlineLevel="0" collapsed="false">
      <c r="A755" s="13" t="s">
        <v>3089</v>
      </c>
      <c r="B755" s="14" t="s">
        <v>810</v>
      </c>
      <c r="C755" s="15" t="s">
        <v>1750</v>
      </c>
      <c r="D755" s="15" t="s">
        <v>3090</v>
      </c>
      <c r="E755" s="23" t="s">
        <v>19</v>
      </c>
      <c r="F755" s="16"/>
      <c r="G755" s="16"/>
      <c r="H755" s="19" t="n">
        <f aca="false">LEN(IF(F755&lt;&gt;"",F755,D755))</f>
        <v>15</v>
      </c>
      <c r="I755" s="24" t="str">
        <f aca="false">IF(OR(H755&lt;2,H755&gt;140),"분량 확인","")</f>
        <v/>
      </c>
    </row>
    <row r="756" customFormat="false" ht="61.5" hidden="false" customHeight="true" outlineLevel="0" collapsed="false">
      <c r="A756" s="13" t="s">
        <v>3091</v>
      </c>
      <c r="B756" s="14" t="s">
        <v>810</v>
      </c>
      <c r="C756" s="15" t="s">
        <v>1753</v>
      </c>
      <c r="D756" s="15" t="s">
        <v>3092</v>
      </c>
      <c r="E756" s="23" t="s">
        <v>19</v>
      </c>
      <c r="F756" s="16"/>
      <c r="G756" s="16"/>
      <c r="H756" s="19" t="n">
        <f aca="false">LEN(IF(F756&lt;&gt;"",F756,D756))</f>
        <v>54</v>
      </c>
      <c r="I756" s="24" t="str">
        <f aca="false">IF(OR(H756&lt;2,H756&gt;140),"분량 확인","")</f>
        <v/>
      </c>
    </row>
    <row r="757" customFormat="false" ht="61.5" hidden="false" customHeight="true" outlineLevel="0" collapsed="false">
      <c r="A757" s="13" t="s">
        <v>3093</v>
      </c>
      <c r="B757" s="14" t="s">
        <v>810</v>
      </c>
      <c r="C757" s="15" t="s">
        <v>1756</v>
      </c>
      <c r="D757" s="15" t="s">
        <v>3094</v>
      </c>
      <c r="E757" s="23" t="s">
        <v>19</v>
      </c>
      <c r="F757" s="16"/>
      <c r="G757" s="16"/>
      <c r="H757" s="19" t="n">
        <f aca="false">LEN(IF(F757&lt;&gt;"",F757,D757))</f>
        <v>58</v>
      </c>
      <c r="I757" s="24" t="str">
        <f aca="false">IF(OR(H757&lt;2,H757&gt;140),"분량 확인","")</f>
        <v/>
      </c>
    </row>
    <row r="758" customFormat="false" ht="48" hidden="false" customHeight="true" outlineLevel="0" collapsed="false">
      <c r="A758" s="13" t="s">
        <v>3095</v>
      </c>
      <c r="B758" s="14" t="s">
        <v>810</v>
      </c>
      <c r="C758" s="15" t="s">
        <v>1759</v>
      </c>
      <c r="D758" s="15" t="s">
        <v>3096</v>
      </c>
      <c r="E758" s="23" t="s">
        <v>19</v>
      </c>
      <c r="F758" s="16"/>
      <c r="G758" s="16"/>
      <c r="H758" s="19" t="n">
        <f aca="false">LEN(IF(F758&lt;&gt;"",F758,D758))</f>
        <v>14</v>
      </c>
      <c r="I758" s="24" t="str">
        <f aca="false">IF(OR(H758&lt;2,H758&gt;140),"분량 확인","")</f>
        <v/>
      </c>
    </row>
    <row r="759" customFormat="false" ht="48" hidden="false" customHeight="true" outlineLevel="0" collapsed="false">
      <c r="A759" s="13" t="s">
        <v>3097</v>
      </c>
      <c r="B759" s="14" t="s">
        <v>810</v>
      </c>
      <c r="C759" s="15" t="s">
        <v>1762</v>
      </c>
      <c r="D759" s="15" t="s">
        <v>3098</v>
      </c>
      <c r="E759" s="23" t="s">
        <v>19</v>
      </c>
      <c r="F759" s="16"/>
      <c r="G759" s="16"/>
      <c r="H759" s="19" t="n">
        <f aca="false">LEN(IF(F759&lt;&gt;"",F759,D759))</f>
        <v>63</v>
      </c>
      <c r="I759" s="24" t="str">
        <f aca="false">IF(OR(H759&lt;2,H759&gt;140),"분량 확인","")</f>
        <v/>
      </c>
    </row>
    <row r="760" customFormat="false" ht="48" hidden="false" customHeight="true" outlineLevel="0" collapsed="false">
      <c r="A760" s="13" t="s">
        <v>3099</v>
      </c>
      <c r="B760" s="14" t="s">
        <v>810</v>
      </c>
      <c r="C760" s="15" t="s">
        <v>1765</v>
      </c>
      <c r="D760" s="14" t="s">
        <v>1710</v>
      </c>
      <c r="E760" s="23" t="s">
        <v>19</v>
      </c>
      <c r="F760" s="16"/>
      <c r="G760" s="16"/>
      <c r="H760" s="19" t="n">
        <f aca="false">LEN(IF(F760&lt;&gt;"",F760,D760))</f>
        <v>3</v>
      </c>
      <c r="I760" s="24" t="str">
        <f aca="false">IF(OR(H760&lt;2,H760&gt;140),"분량 확인","")</f>
        <v/>
      </c>
    </row>
    <row r="761" customFormat="false" ht="48" hidden="false" customHeight="true" outlineLevel="0" collapsed="false">
      <c r="A761" s="13" t="s">
        <v>3100</v>
      </c>
      <c r="B761" s="14" t="s">
        <v>810</v>
      </c>
      <c r="C761" s="15" t="s">
        <v>1768</v>
      </c>
      <c r="D761" s="15" t="s">
        <v>3101</v>
      </c>
      <c r="E761" s="23" t="s">
        <v>19</v>
      </c>
      <c r="F761" s="16"/>
      <c r="G761" s="16"/>
      <c r="H761" s="19" t="n">
        <f aca="false">LEN(IF(F761&lt;&gt;"",F761,D761))</f>
        <v>42</v>
      </c>
      <c r="I761" s="24" t="str">
        <f aca="false">IF(OR(H761&lt;2,H761&gt;140),"분량 확인","")</f>
        <v/>
      </c>
    </row>
    <row r="762" customFormat="false" ht="61.5" hidden="false" customHeight="true" outlineLevel="0" collapsed="false">
      <c r="A762" s="13" t="s">
        <v>3102</v>
      </c>
      <c r="B762" s="14" t="s">
        <v>823</v>
      </c>
      <c r="C762" s="15" t="s">
        <v>1658</v>
      </c>
      <c r="D762" s="15" t="s">
        <v>3103</v>
      </c>
      <c r="E762" s="23" t="s">
        <v>19</v>
      </c>
      <c r="F762" s="16"/>
      <c r="G762" s="16"/>
      <c r="H762" s="19" t="n">
        <f aca="false">LEN(IF(F762&lt;&gt;"",F762,D762))</f>
        <v>13</v>
      </c>
      <c r="I762" s="24" t="str">
        <f aca="false">IF(OR(H762&lt;2,H762&gt;140),"분량 확인","")</f>
        <v/>
      </c>
    </row>
    <row r="763" customFormat="false" ht="61.5" hidden="false" customHeight="true" outlineLevel="0" collapsed="false">
      <c r="A763" s="13" t="s">
        <v>3104</v>
      </c>
      <c r="B763" s="14" t="s">
        <v>823</v>
      </c>
      <c r="C763" s="15" t="s">
        <v>1661</v>
      </c>
      <c r="D763" s="15" t="s">
        <v>3105</v>
      </c>
      <c r="E763" s="23" t="s">
        <v>19</v>
      </c>
      <c r="F763" s="16"/>
      <c r="G763" s="16"/>
      <c r="H763" s="19" t="n">
        <f aca="false">LEN(IF(F763&lt;&gt;"",F763,D763))</f>
        <v>14</v>
      </c>
      <c r="I763" s="24" t="str">
        <f aca="false">IF(OR(H763&lt;2,H763&gt;140),"분량 확인","")</f>
        <v/>
      </c>
    </row>
    <row r="764" customFormat="false" ht="61.5" hidden="false" customHeight="true" outlineLevel="0" collapsed="false">
      <c r="A764" s="13" t="s">
        <v>3106</v>
      </c>
      <c r="B764" s="14" t="s">
        <v>823</v>
      </c>
      <c r="C764" s="15" t="s">
        <v>1664</v>
      </c>
      <c r="D764" s="15" t="s">
        <v>3107</v>
      </c>
      <c r="E764" s="23" t="s">
        <v>19</v>
      </c>
      <c r="F764" s="16"/>
      <c r="G764" s="16"/>
      <c r="H764" s="19" t="n">
        <f aca="false">LEN(IF(F764&lt;&gt;"",F764,D764))</f>
        <v>45</v>
      </c>
      <c r="I764" s="24" t="str">
        <f aca="false">IF(OR(H764&lt;2,H764&gt;140),"분량 확인","")</f>
        <v/>
      </c>
    </row>
    <row r="765" customFormat="false" ht="61.5" hidden="false" customHeight="true" outlineLevel="0" collapsed="false">
      <c r="A765" s="13" t="s">
        <v>3108</v>
      </c>
      <c r="B765" s="14" t="s">
        <v>823</v>
      </c>
      <c r="C765" s="15" t="s">
        <v>1667</v>
      </c>
      <c r="D765" s="15" t="s">
        <v>3109</v>
      </c>
      <c r="E765" s="23" t="s">
        <v>19</v>
      </c>
      <c r="F765" s="16"/>
      <c r="G765" s="16"/>
      <c r="H765" s="19" t="n">
        <f aca="false">LEN(IF(F765&lt;&gt;"",F765,D765))</f>
        <v>60</v>
      </c>
      <c r="I765" s="24" t="str">
        <f aca="false">IF(OR(H765&lt;2,H765&gt;140),"분량 확인","")</f>
        <v/>
      </c>
    </row>
    <row r="766" customFormat="false" ht="48" hidden="false" customHeight="true" outlineLevel="0" collapsed="false">
      <c r="A766" s="13" t="s">
        <v>3110</v>
      </c>
      <c r="B766" s="14" t="s">
        <v>823</v>
      </c>
      <c r="C766" s="15" t="s">
        <v>1670</v>
      </c>
      <c r="D766" s="15" t="s">
        <v>3111</v>
      </c>
      <c r="E766" s="23" t="s">
        <v>19</v>
      </c>
      <c r="F766" s="16"/>
      <c r="G766" s="16"/>
      <c r="H766" s="19" t="n">
        <f aca="false">LEN(IF(F766&lt;&gt;"",F766,D766))</f>
        <v>13</v>
      </c>
      <c r="I766" s="24" t="str">
        <f aca="false">IF(OR(H766&lt;2,H766&gt;140),"분량 확인","")</f>
        <v/>
      </c>
    </row>
    <row r="767" customFormat="false" ht="48" hidden="false" customHeight="true" outlineLevel="0" collapsed="false">
      <c r="A767" s="13" t="s">
        <v>3112</v>
      </c>
      <c r="B767" s="14" t="s">
        <v>823</v>
      </c>
      <c r="C767" s="15" t="s">
        <v>1673</v>
      </c>
      <c r="D767" s="15" t="s">
        <v>3113</v>
      </c>
      <c r="E767" s="23" t="s">
        <v>19</v>
      </c>
      <c r="F767" s="16"/>
      <c r="G767" s="16"/>
      <c r="H767" s="19" t="n">
        <f aca="false">LEN(IF(F767&lt;&gt;"",F767,D767))</f>
        <v>33</v>
      </c>
      <c r="I767" s="24" t="str">
        <f aca="false">IF(OR(H767&lt;2,H767&gt;140),"분량 확인","")</f>
        <v/>
      </c>
    </row>
    <row r="768" customFormat="false" ht="48" hidden="false" customHeight="true" outlineLevel="0" collapsed="false">
      <c r="A768" s="13" t="s">
        <v>3114</v>
      </c>
      <c r="B768" s="14" t="s">
        <v>823</v>
      </c>
      <c r="C768" s="15" t="s">
        <v>1676</v>
      </c>
      <c r="D768" s="14" t="s">
        <v>1783</v>
      </c>
      <c r="E768" s="23" t="s">
        <v>19</v>
      </c>
      <c r="F768" s="16"/>
      <c r="G768" s="16"/>
      <c r="H768" s="19" t="n">
        <f aca="false">LEN(IF(F768&lt;&gt;"",F768,D768))</f>
        <v>2</v>
      </c>
      <c r="I768" s="24" t="str">
        <f aca="false">IF(OR(H768&lt;2,H768&gt;140),"분량 확인","")</f>
        <v/>
      </c>
    </row>
    <row r="769" customFormat="false" ht="48" hidden="false" customHeight="true" outlineLevel="0" collapsed="false">
      <c r="A769" s="13" t="s">
        <v>3115</v>
      </c>
      <c r="B769" s="14" t="s">
        <v>823</v>
      </c>
      <c r="C769" s="15" t="s">
        <v>1679</v>
      </c>
      <c r="D769" s="15" t="s">
        <v>3116</v>
      </c>
      <c r="E769" s="23" t="s">
        <v>19</v>
      </c>
      <c r="F769" s="16"/>
      <c r="G769" s="16"/>
      <c r="H769" s="19" t="n">
        <f aca="false">LEN(IF(F769&lt;&gt;"",F769,D769))</f>
        <v>35</v>
      </c>
      <c r="I769" s="24" t="str">
        <f aca="false">IF(OR(H769&lt;2,H769&gt;140),"분량 확인","")</f>
        <v/>
      </c>
    </row>
    <row r="770" customFormat="false" ht="48" hidden="false" customHeight="true" outlineLevel="0" collapsed="false">
      <c r="A770" s="13" t="s">
        <v>3117</v>
      </c>
      <c r="B770" s="14" t="s">
        <v>823</v>
      </c>
      <c r="C770" s="15" t="s">
        <v>1682</v>
      </c>
      <c r="D770" s="15" t="s">
        <v>3118</v>
      </c>
      <c r="E770" s="23" t="s">
        <v>19</v>
      </c>
      <c r="F770" s="16"/>
      <c r="G770" s="16"/>
      <c r="H770" s="19" t="n">
        <f aca="false">LEN(IF(F770&lt;&gt;"",F770,D770))</f>
        <v>15</v>
      </c>
      <c r="I770" s="24" t="str">
        <f aca="false">IF(OR(H770&lt;2,H770&gt;140),"분량 확인","")</f>
        <v/>
      </c>
    </row>
    <row r="771" customFormat="false" ht="48" hidden="false" customHeight="true" outlineLevel="0" collapsed="false">
      <c r="A771" s="13" t="s">
        <v>3119</v>
      </c>
      <c r="B771" s="14" t="s">
        <v>823</v>
      </c>
      <c r="C771" s="15" t="s">
        <v>1685</v>
      </c>
      <c r="D771" s="15" t="s">
        <v>3120</v>
      </c>
      <c r="E771" s="23" t="s">
        <v>19</v>
      </c>
      <c r="F771" s="16"/>
      <c r="G771" s="16"/>
      <c r="H771" s="19" t="n">
        <f aca="false">LEN(IF(F771&lt;&gt;"",F771,D771))</f>
        <v>56</v>
      </c>
      <c r="I771" s="24" t="str">
        <f aca="false">IF(OR(H771&lt;2,H771&gt;140),"분량 확인","")</f>
        <v/>
      </c>
    </row>
    <row r="772" customFormat="false" ht="48" hidden="false" customHeight="true" outlineLevel="0" collapsed="false">
      <c r="A772" s="13" t="s">
        <v>3121</v>
      </c>
      <c r="B772" s="14" t="s">
        <v>823</v>
      </c>
      <c r="C772" s="15" t="s">
        <v>1688</v>
      </c>
      <c r="D772" s="15" t="s">
        <v>1689</v>
      </c>
      <c r="E772" s="23" t="s">
        <v>19</v>
      </c>
      <c r="F772" s="16"/>
      <c r="G772" s="16"/>
      <c r="H772" s="19" t="n">
        <f aca="false">LEN(IF(F772&lt;&gt;"",F772,D772))</f>
        <v>4</v>
      </c>
      <c r="I772" s="24" t="str">
        <f aca="false">IF(OR(H772&lt;2,H772&gt;140),"분량 확인","")</f>
        <v/>
      </c>
    </row>
    <row r="773" customFormat="false" ht="48" hidden="false" customHeight="true" outlineLevel="0" collapsed="false">
      <c r="A773" s="13" t="s">
        <v>3122</v>
      </c>
      <c r="B773" s="14" t="s">
        <v>823</v>
      </c>
      <c r="C773" s="15" t="s">
        <v>1691</v>
      </c>
      <c r="D773" s="15" t="s">
        <v>3123</v>
      </c>
      <c r="E773" s="23" t="s">
        <v>19</v>
      </c>
      <c r="F773" s="16"/>
      <c r="G773" s="16"/>
      <c r="H773" s="19" t="n">
        <f aca="false">LEN(IF(F773&lt;&gt;"",F773,D773))</f>
        <v>47</v>
      </c>
      <c r="I773" s="24" t="str">
        <f aca="false">IF(OR(H773&lt;2,H773&gt;140),"분량 확인","")</f>
        <v/>
      </c>
    </row>
    <row r="774" customFormat="false" ht="61.5" hidden="false" customHeight="true" outlineLevel="0" collapsed="false">
      <c r="A774" s="13" t="s">
        <v>3124</v>
      </c>
      <c r="B774" s="14" t="s">
        <v>823</v>
      </c>
      <c r="C774" s="15" t="s">
        <v>1694</v>
      </c>
      <c r="D774" s="15" t="s">
        <v>3125</v>
      </c>
      <c r="E774" s="23" t="s">
        <v>19</v>
      </c>
      <c r="F774" s="16"/>
      <c r="G774" s="16"/>
      <c r="H774" s="19" t="n">
        <f aca="false">LEN(IF(F774&lt;&gt;"",F774,D774))</f>
        <v>18</v>
      </c>
      <c r="I774" s="24" t="str">
        <f aca="false">IF(OR(H774&lt;2,H774&gt;140),"분량 확인","")</f>
        <v/>
      </c>
    </row>
    <row r="775" customFormat="false" ht="61.5" hidden="false" customHeight="true" outlineLevel="0" collapsed="false">
      <c r="A775" s="13" t="s">
        <v>3126</v>
      </c>
      <c r="B775" s="14" t="s">
        <v>823</v>
      </c>
      <c r="C775" s="15" t="s">
        <v>1697</v>
      </c>
      <c r="D775" s="14" t="s">
        <v>3127</v>
      </c>
      <c r="E775" s="23" t="s">
        <v>19</v>
      </c>
      <c r="F775" s="16"/>
      <c r="G775" s="16"/>
      <c r="H775" s="19" t="n">
        <f aca="false">LEN(IF(F775&lt;&gt;"",F775,D775))</f>
        <v>73</v>
      </c>
      <c r="I775" s="24" t="str">
        <f aca="false">IF(OR(H775&lt;2,H775&gt;140),"분량 확인","")</f>
        <v/>
      </c>
    </row>
    <row r="776" customFormat="false" ht="61.5" hidden="false" customHeight="true" outlineLevel="0" collapsed="false">
      <c r="A776" s="13" t="s">
        <v>3128</v>
      </c>
      <c r="B776" s="14" t="s">
        <v>823</v>
      </c>
      <c r="C776" s="15" t="s">
        <v>1700</v>
      </c>
      <c r="D776" s="15" t="s">
        <v>3129</v>
      </c>
      <c r="E776" s="23" t="s">
        <v>19</v>
      </c>
      <c r="F776" s="16"/>
      <c r="G776" s="16"/>
      <c r="H776" s="19" t="n">
        <f aca="false">LEN(IF(F776&lt;&gt;"",F776,D776))</f>
        <v>60</v>
      </c>
      <c r="I776" s="24" t="str">
        <f aca="false">IF(OR(H776&lt;2,H776&gt;140),"분량 확인","")</f>
        <v/>
      </c>
    </row>
    <row r="777" customFormat="false" ht="48" hidden="false" customHeight="true" outlineLevel="0" collapsed="false">
      <c r="A777" s="13" t="s">
        <v>3130</v>
      </c>
      <c r="B777" s="14" t="s">
        <v>823</v>
      </c>
      <c r="C777" s="15" t="s">
        <v>1703</v>
      </c>
      <c r="D777" s="15" t="s">
        <v>3131</v>
      </c>
      <c r="E777" s="23" t="s">
        <v>19</v>
      </c>
      <c r="F777" s="16"/>
      <c r="G777" s="16"/>
      <c r="H777" s="19" t="n">
        <f aca="false">LEN(IF(F777&lt;&gt;"",F777,D777))</f>
        <v>18</v>
      </c>
      <c r="I777" s="24" t="str">
        <f aca="false">IF(OR(H777&lt;2,H777&gt;140),"분량 확인","")</f>
        <v/>
      </c>
    </row>
    <row r="778" customFormat="false" ht="48" hidden="false" customHeight="true" outlineLevel="0" collapsed="false">
      <c r="A778" s="13" t="s">
        <v>3132</v>
      </c>
      <c r="B778" s="14" t="s">
        <v>823</v>
      </c>
      <c r="C778" s="15" t="s">
        <v>1706</v>
      </c>
      <c r="D778" s="14" t="s">
        <v>3133</v>
      </c>
      <c r="E778" s="23" t="s">
        <v>19</v>
      </c>
      <c r="F778" s="16"/>
      <c r="G778" s="16"/>
      <c r="H778" s="19" t="n">
        <f aca="false">LEN(IF(F778&lt;&gt;"",F778,D778))</f>
        <v>58</v>
      </c>
      <c r="I778" s="24" t="str">
        <f aca="false">IF(OR(H778&lt;2,H778&gt;140),"분량 확인","")</f>
        <v/>
      </c>
    </row>
    <row r="779" customFormat="false" ht="48" hidden="false" customHeight="true" outlineLevel="0" collapsed="false">
      <c r="A779" s="13" t="s">
        <v>3134</v>
      </c>
      <c r="B779" s="14" t="s">
        <v>823</v>
      </c>
      <c r="C779" s="15" t="s">
        <v>1709</v>
      </c>
      <c r="D779" s="14" t="s">
        <v>1710</v>
      </c>
      <c r="E779" s="23" t="s">
        <v>19</v>
      </c>
      <c r="F779" s="16"/>
      <c r="G779" s="16"/>
      <c r="H779" s="19" t="n">
        <f aca="false">LEN(IF(F779&lt;&gt;"",F779,D779))</f>
        <v>3</v>
      </c>
      <c r="I779" s="24" t="str">
        <f aca="false">IF(OR(H779&lt;2,H779&gt;140),"분량 확인","")</f>
        <v/>
      </c>
    </row>
    <row r="780" customFormat="false" ht="48" hidden="false" customHeight="true" outlineLevel="0" collapsed="false">
      <c r="A780" s="13" t="s">
        <v>3135</v>
      </c>
      <c r="B780" s="14" t="s">
        <v>823</v>
      </c>
      <c r="C780" s="15" t="s">
        <v>1712</v>
      </c>
      <c r="D780" s="15" t="s">
        <v>3136</v>
      </c>
      <c r="E780" s="23" t="s">
        <v>19</v>
      </c>
      <c r="F780" s="16"/>
      <c r="G780" s="16"/>
      <c r="H780" s="19" t="n">
        <f aca="false">LEN(IF(F780&lt;&gt;"",F780,D780))</f>
        <v>41</v>
      </c>
      <c r="I780" s="24" t="str">
        <f aca="false">IF(OR(H780&lt;2,H780&gt;140),"분량 확인","")</f>
        <v/>
      </c>
    </row>
    <row r="781" customFormat="false" ht="61.5" hidden="false" customHeight="true" outlineLevel="0" collapsed="false">
      <c r="A781" s="13" t="s">
        <v>3137</v>
      </c>
      <c r="B781" s="14" t="s">
        <v>823</v>
      </c>
      <c r="C781" s="15" t="s">
        <v>1715</v>
      </c>
      <c r="D781" s="15" t="s">
        <v>3138</v>
      </c>
      <c r="E781" s="23" t="s">
        <v>19</v>
      </c>
      <c r="F781" s="16"/>
      <c r="G781" s="16"/>
      <c r="H781" s="19" t="n">
        <f aca="false">LEN(IF(F781&lt;&gt;"",F781,D781))</f>
        <v>14</v>
      </c>
      <c r="I781" s="24" t="str">
        <f aca="false">IF(OR(H781&lt;2,H781&gt;140),"분량 확인","")</f>
        <v/>
      </c>
    </row>
    <row r="782" customFormat="false" ht="61.5" hidden="false" customHeight="true" outlineLevel="0" collapsed="false">
      <c r="A782" s="13" t="s">
        <v>3139</v>
      </c>
      <c r="B782" s="14" t="s">
        <v>823</v>
      </c>
      <c r="C782" s="15" t="s">
        <v>1718</v>
      </c>
      <c r="D782" s="15" t="s">
        <v>3140</v>
      </c>
      <c r="E782" s="23" t="s">
        <v>19</v>
      </c>
      <c r="F782" s="16"/>
      <c r="G782" s="16"/>
      <c r="H782" s="19" t="n">
        <f aca="false">LEN(IF(F782&lt;&gt;"",F782,D782))</f>
        <v>13</v>
      </c>
      <c r="I782" s="24" t="str">
        <f aca="false">IF(OR(H782&lt;2,H782&gt;140),"분량 확인","")</f>
        <v/>
      </c>
    </row>
    <row r="783" customFormat="false" ht="61.5" hidden="false" customHeight="true" outlineLevel="0" collapsed="false">
      <c r="A783" s="13" t="s">
        <v>3141</v>
      </c>
      <c r="B783" s="14" t="s">
        <v>823</v>
      </c>
      <c r="C783" s="15" t="s">
        <v>1721</v>
      </c>
      <c r="D783" s="15" t="s">
        <v>3142</v>
      </c>
      <c r="E783" s="23" t="s">
        <v>19</v>
      </c>
      <c r="F783" s="16"/>
      <c r="G783" s="16"/>
      <c r="H783" s="19" t="n">
        <f aca="false">LEN(IF(F783&lt;&gt;"",F783,D783))</f>
        <v>49</v>
      </c>
      <c r="I783" s="24" t="str">
        <f aca="false">IF(OR(H783&lt;2,H783&gt;140),"분량 확인","")</f>
        <v/>
      </c>
    </row>
    <row r="784" customFormat="false" ht="61.5" hidden="false" customHeight="true" outlineLevel="0" collapsed="false">
      <c r="A784" s="13" t="s">
        <v>3143</v>
      </c>
      <c r="B784" s="14" t="s">
        <v>823</v>
      </c>
      <c r="C784" s="15" t="s">
        <v>1724</v>
      </c>
      <c r="D784" s="15" t="s">
        <v>3144</v>
      </c>
      <c r="E784" s="23" t="s">
        <v>19</v>
      </c>
      <c r="F784" s="16"/>
      <c r="G784" s="16"/>
      <c r="H784" s="19" t="n">
        <f aca="false">LEN(IF(F784&lt;&gt;"",F784,D784))</f>
        <v>58</v>
      </c>
      <c r="I784" s="24" t="str">
        <f aca="false">IF(OR(H784&lt;2,H784&gt;140),"분량 확인","")</f>
        <v/>
      </c>
    </row>
    <row r="785" customFormat="false" ht="48" hidden="false" customHeight="true" outlineLevel="0" collapsed="false">
      <c r="A785" s="13" t="s">
        <v>3145</v>
      </c>
      <c r="B785" s="14" t="s">
        <v>823</v>
      </c>
      <c r="C785" s="15" t="s">
        <v>1727</v>
      </c>
      <c r="D785" s="15" t="s">
        <v>3146</v>
      </c>
      <c r="E785" s="23" t="s">
        <v>19</v>
      </c>
      <c r="F785" s="16"/>
      <c r="G785" s="16"/>
      <c r="H785" s="19" t="n">
        <f aca="false">LEN(IF(F785&lt;&gt;"",F785,D785))</f>
        <v>11</v>
      </c>
      <c r="I785" s="24" t="str">
        <f aca="false">IF(OR(H785&lt;2,H785&gt;140),"분량 확인","")</f>
        <v/>
      </c>
    </row>
    <row r="786" customFormat="false" ht="48" hidden="false" customHeight="true" outlineLevel="0" collapsed="false">
      <c r="A786" s="13" t="s">
        <v>3147</v>
      </c>
      <c r="B786" s="14" t="s">
        <v>823</v>
      </c>
      <c r="C786" s="15" t="s">
        <v>1730</v>
      </c>
      <c r="D786" s="15" t="s">
        <v>3148</v>
      </c>
      <c r="E786" s="23" t="s">
        <v>19</v>
      </c>
      <c r="F786" s="16"/>
      <c r="G786" s="16"/>
      <c r="H786" s="19" t="n">
        <f aca="false">LEN(IF(F786&lt;&gt;"",F786,D786))</f>
        <v>39</v>
      </c>
      <c r="I786" s="24" t="str">
        <f aca="false">IF(OR(H786&lt;2,H786&gt;140),"분량 확인","")</f>
        <v/>
      </c>
    </row>
    <row r="787" customFormat="false" ht="48" hidden="false" customHeight="true" outlineLevel="0" collapsed="false">
      <c r="A787" s="13" t="s">
        <v>3149</v>
      </c>
      <c r="B787" s="14" t="s">
        <v>823</v>
      </c>
      <c r="C787" s="15" t="s">
        <v>1733</v>
      </c>
      <c r="D787" s="14" t="s">
        <v>1734</v>
      </c>
      <c r="E787" s="23" t="s">
        <v>19</v>
      </c>
      <c r="F787" s="16"/>
      <c r="G787" s="16"/>
      <c r="H787" s="19" t="n">
        <f aca="false">LEN(IF(F787&lt;&gt;"",F787,D787))</f>
        <v>2</v>
      </c>
      <c r="I787" s="24" t="str">
        <f aca="false">IF(OR(H787&lt;2,H787&gt;140),"분량 확인","")</f>
        <v/>
      </c>
    </row>
    <row r="788" customFormat="false" ht="48" hidden="false" customHeight="true" outlineLevel="0" collapsed="false">
      <c r="A788" s="13" t="s">
        <v>3150</v>
      </c>
      <c r="B788" s="14" t="s">
        <v>823</v>
      </c>
      <c r="C788" s="15" t="s">
        <v>1736</v>
      </c>
      <c r="D788" s="15" t="s">
        <v>3151</v>
      </c>
      <c r="E788" s="23" t="s">
        <v>19</v>
      </c>
      <c r="F788" s="16"/>
      <c r="G788" s="16"/>
      <c r="H788" s="19" t="n">
        <f aca="false">LEN(IF(F788&lt;&gt;"",F788,D788))</f>
        <v>38</v>
      </c>
      <c r="I788" s="24" t="str">
        <f aca="false">IF(OR(H788&lt;2,H788&gt;140),"분량 확인","")</f>
        <v/>
      </c>
    </row>
    <row r="789" customFormat="false" ht="48" hidden="false" customHeight="true" outlineLevel="0" collapsed="false">
      <c r="A789" s="13" t="s">
        <v>3152</v>
      </c>
      <c r="B789" s="14" t="s">
        <v>823</v>
      </c>
      <c r="C789" s="15" t="s">
        <v>1739</v>
      </c>
      <c r="D789" s="15" t="s">
        <v>3153</v>
      </c>
      <c r="E789" s="23" t="s">
        <v>19</v>
      </c>
      <c r="F789" s="16"/>
      <c r="G789" s="16"/>
      <c r="H789" s="19" t="n">
        <f aca="false">LEN(IF(F789&lt;&gt;"",F789,D789))</f>
        <v>12</v>
      </c>
      <c r="I789" s="24" t="str">
        <f aca="false">IF(OR(H789&lt;2,H789&gt;140),"분량 확인","")</f>
        <v/>
      </c>
    </row>
    <row r="790" customFormat="false" ht="48" hidden="false" customHeight="true" outlineLevel="0" collapsed="false">
      <c r="A790" s="13" t="s">
        <v>3154</v>
      </c>
      <c r="B790" s="14" t="s">
        <v>823</v>
      </c>
      <c r="C790" s="15" t="s">
        <v>1742</v>
      </c>
      <c r="D790" s="15" t="s">
        <v>3155</v>
      </c>
      <c r="E790" s="23" t="s">
        <v>19</v>
      </c>
      <c r="F790" s="16"/>
      <c r="G790" s="16"/>
      <c r="H790" s="19" t="n">
        <f aca="false">LEN(IF(F790&lt;&gt;"",F790,D790))</f>
        <v>57</v>
      </c>
      <c r="I790" s="24" t="str">
        <f aca="false">IF(OR(H790&lt;2,H790&gt;140),"분량 확인","")</f>
        <v/>
      </c>
    </row>
    <row r="791" customFormat="false" ht="48" hidden="false" customHeight="true" outlineLevel="0" collapsed="false">
      <c r="A791" s="13" t="s">
        <v>3156</v>
      </c>
      <c r="B791" s="14" t="s">
        <v>823</v>
      </c>
      <c r="C791" s="15" t="s">
        <v>1745</v>
      </c>
      <c r="D791" s="15" t="s">
        <v>1689</v>
      </c>
      <c r="E791" s="23" t="s">
        <v>19</v>
      </c>
      <c r="F791" s="16"/>
      <c r="G791" s="16"/>
      <c r="H791" s="19" t="n">
        <f aca="false">LEN(IF(F791&lt;&gt;"",F791,D791))</f>
        <v>4</v>
      </c>
      <c r="I791" s="24" t="str">
        <f aca="false">IF(OR(H791&lt;2,H791&gt;140),"분량 확인","")</f>
        <v/>
      </c>
    </row>
    <row r="792" customFormat="false" ht="48" hidden="false" customHeight="true" outlineLevel="0" collapsed="false">
      <c r="A792" s="13" t="s">
        <v>3157</v>
      </c>
      <c r="B792" s="14" t="s">
        <v>823</v>
      </c>
      <c r="C792" s="15" t="s">
        <v>1747</v>
      </c>
      <c r="D792" s="15" t="s">
        <v>3158</v>
      </c>
      <c r="E792" s="23" t="s">
        <v>19</v>
      </c>
      <c r="F792" s="16"/>
      <c r="G792" s="16"/>
      <c r="H792" s="19" t="n">
        <f aca="false">LEN(IF(F792&lt;&gt;"",F792,D792))</f>
        <v>43</v>
      </c>
      <c r="I792" s="24" t="str">
        <f aca="false">IF(OR(H792&lt;2,H792&gt;140),"분량 확인","")</f>
        <v/>
      </c>
    </row>
    <row r="793" customFormat="false" ht="61.5" hidden="false" customHeight="true" outlineLevel="0" collapsed="false">
      <c r="A793" s="13" t="s">
        <v>3159</v>
      </c>
      <c r="B793" s="14" t="s">
        <v>823</v>
      </c>
      <c r="C793" s="15" t="s">
        <v>1750</v>
      </c>
      <c r="D793" s="15" t="s">
        <v>3160</v>
      </c>
      <c r="E793" s="23" t="s">
        <v>19</v>
      </c>
      <c r="F793" s="16"/>
      <c r="G793" s="16"/>
      <c r="H793" s="19" t="n">
        <f aca="false">LEN(IF(F793&lt;&gt;"",F793,D793))</f>
        <v>13</v>
      </c>
      <c r="I793" s="24" t="str">
        <f aca="false">IF(OR(H793&lt;2,H793&gt;140),"분량 확인","")</f>
        <v/>
      </c>
    </row>
    <row r="794" customFormat="false" ht="61.5" hidden="false" customHeight="true" outlineLevel="0" collapsed="false">
      <c r="A794" s="13" t="s">
        <v>3161</v>
      </c>
      <c r="B794" s="14" t="s">
        <v>823</v>
      </c>
      <c r="C794" s="15" t="s">
        <v>1753</v>
      </c>
      <c r="D794" s="15" t="s">
        <v>3162</v>
      </c>
      <c r="E794" s="23" t="s">
        <v>19</v>
      </c>
      <c r="F794" s="16"/>
      <c r="G794" s="16"/>
      <c r="H794" s="19" t="n">
        <f aca="false">LEN(IF(F794&lt;&gt;"",F794,D794))</f>
        <v>60</v>
      </c>
      <c r="I794" s="24" t="str">
        <f aca="false">IF(OR(H794&lt;2,H794&gt;140),"분량 확인","")</f>
        <v/>
      </c>
    </row>
    <row r="795" customFormat="false" ht="61.5" hidden="false" customHeight="true" outlineLevel="0" collapsed="false">
      <c r="A795" s="13" t="s">
        <v>3163</v>
      </c>
      <c r="B795" s="14" t="s">
        <v>823</v>
      </c>
      <c r="C795" s="15" t="s">
        <v>1756</v>
      </c>
      <c r="D795" s="15" t="s">
        <v>3164</v>
      </c>
      <c r="E795" s="23" t="s">
        <v>19</v>
      </c>
      <c r="F795" s="16"/>
      <c r="G795" s="16"/>
      <c r="H795" s="19" t="n">
        <f aca="false">LEN(IF(F795&lt;&gt;"",F795,D795))</f>
        <v>59</v>
      </c>
      <c r="I795" s="24" t="str">
        <f aca="false">IF(OR(H795&lt;2,H795&gt;140),"분량 확인","")</f>
        <v/>
      </c>
    </row>
    <row r="796" customFormat="false" ht="48" hidden="false" customHeight="true" outlineLevel="0" collapsed="false">
      <c r="A796" s="13" t="s">
        <v>3165</v>
      </c>
      <c r="B796" s="14" t="s">
        <v>823</v>
      </c>
      <c r="C796" s="15" t="s">
        <v>1759</v>
      </c>
      <c r="D796" s="15" t="s">
        <v>3166</v>
      </c>
      <c r="E796" s="23" t="s">
        <v>19</v>
      </c>
      <c r="F796" s="16"/>
      <c r="G796" s="16"/>
      <c r="H796" s="19" t="n">
        <f aca="false">LEN(IF(F796&lt;&gt;"",F796,D796))</f>
        <v>17</v>
      </c>
      <c r="I796" s="24" t="str">
        <f aca="false">IF(OR(H796&lt;2,H796&gt;140),"분량 확인","")</f>
        <v/>
      </c>
    </row>
    <row r="797" customFormat="false" ht="48" hidden="false" customHeight="true" outlineLevel="0" collapsed="false">
      <c r="A797" s="13" t="s">
        <v>3167</v>
      </c>
      <c r="B797" s="14" t="s">
        <v>823</v>
      </c>
      <c r="C797" s="15" t="s">
        <v>1762</v>
      </c>
      <c r="D797" s="15" t="s">
        <v>3168</v>
      </c>
      <c r="E797" s="23" t="s">
        <v>19</v>
      </c>
      <c r="F797" s="16"/>
      <c r="G797" s="16"/>
      <c r="H797" s="19" t="n">
        <f aca="false">LEN(IF(F797&lt;&gt;"",F797,D797))</f>
        <v>69</v>
      </c>
      <c r="I797" s="24" t="str">
        <f aca="false">IF(OR(H797&lt;2,H797&gt;140),"분량 확인","")</f>
        <v/>
      </c>
    </row>
    <row r="798" customFormat="false" ht="48" hidden="false" customHeight="true" outlineLevel="0" collapsed="false">
      <c r="A798" s="13" t="s">
        <v>3169</v>
      </c>
      <c r="B798" s="14" t="s">
        <v>823</v>
      </c>
      <c r="C798" s="15" t="s">
        <v>1765</v>
      </c>
      <c r="D798" s="14" t="s">
        <v>1710</v>
      </c>
      <c r="E798" s="23" t="s">
        <v>19</v>
      </c>
      <c r="F798" s="16"/>
      <c r="G798" s="16"/>
      <c r="H798" s="19" t="n">
        <f aca="false">LEN(IF(F798&lt;&gt;"",F798,D798))</f>
        <v>3</v>
      </c>
      <c r="I798" s="24" t="str">
        <f aca="false">IF(OR(H798&lt;2,H798&gt;140),"분량 확인","")</f>
        <v/>
      </c>
    </row>
    <row r="799" customFormat="false" ht="48" hidden="false" customHeight="true" outlineLevel="0" collapsed="false">
      <c r="A799" s="13" t="s">
        <v>3170</v>
      </c>
      <c r="B799" s="14" t="s">
        <v>823</v>
      </c>
      <c r="C799" s="15" t="s">
        <v>1768</v>
      </c>
      <c r="D799" s="15" t="s">
        <v>3171</v>
      </c>
      <c r="E799" s="23" t="s">
        <v>19</v>
      </c>
      <c r="F799" s="16"/>
      <c r="G799" s="16"/>
      <c r="H799" s="19" t="n">
        <f aca="false">LEN(IF(F799&lt;&gt;"",F799,D799))</f>
        <v>40</v>
      </c>
      <c r="I799" s="24" t="str">
        <f aca="false">IF(OR(H799&lt;2,H799&gt;140),"분량 확인","")</f>
        <v/>
      </c>
    </row>
    <row r="800" customFormat="false" ht="61.5" hidden="false" customHeight="true" outlineLevel="0" collapsed="false">
      <c r="A800" s="13" t="s">
        <v>3172</v>
      </c>
      <c r="B800" s="14" t="s">
        <v>836</v>
      </c>
      <c r="C800" s="15" t="s">
        <v>1658</v>
      </c>
      <c r="D800" s="15" t="s">
        <v>3173</v>
      </c>
      <c r="E800" s="23" t="s">
        <v>19</v>
      </c>
      <c r="F800" s="16"/>
      <c r="G800" s="16"/>
      <c r="H800" s="19" t="n">
        <f aca="false">LEN(IF(F800&lt;&gt;"",F800,D800))</f>
        <v>13</v>
      </c>
      <c r="I800" s="24" t="str">
        <f aca="false">IF(OR(H800&lt;2,H800&gt;140),"분량 확인","")</f>
        <v/>
      </c>
    </row>
    <row r="801" customFormat="false" ht="61.5" hidden="false" customHeight="true" outlineLevel="0" collapsed="false">
      <c r="A801" s="13" t="s">
        <v>3174</v>
      </c>
      <c r="B801" s="14" t="s">
        <v>836</v>
      </c>
      <c r="C801" s="15" t="s">
        <v>1661</v>
      </c>
      <c r="D801" s="15" t="s">
        <v>3175</v>
      </c>
      <c r="E801" s="23" t="s">
        <v>19</v>
      </c>
      <c r="F801" s="16"/>
      <c r="G801" s="16"/>
      <c r="H801" s="19" t="n">
        <f aca="false">LEN(IF(F801&lt;&gt;"",F801,D801))</f>
        <v>17</v>
      </c>
      <c r="I801" s="24" t="str">
        <f aca="false">IF(OR(H801&lt;2,H801&gt;140),"분량 확인","")</f>
        <v/>
      </c>
    </row>
    <row r="802" customFormat="false" ht="61.5" hidden="false" customHeight="true" outlineLevel="0" collapsed="false">
      <c r="A802" s="13" t="s">
        <v>3176</v>
      </c>
      <c r="B802" s="14" t="s">
        <v>836</v>
      </c>
      <c r="C802" s="15" t="s">
        <v>1664</v>
      </c>
      <c r="D802" s="15" t="s">
        <v>3177</v>
      </c>
      <c r="E802" s="23" t="s">
        <v>19</v>
      </c>
      <c r="F802" s="16"/>
      <c r="G802" s="16"/>
      <c r="H802" s="19" t="n">
        <f aca="false">LEN(IF(F802&lt;&gt;"",F802,D802))</f>
        <v>48</v>
      </c>
      <c r="I802" s="24" t="str">
        <f aca="false">IF(OR(H802&lt;2,H802&gt;140),"분량 확인","")</f>
        <v/>
      </c>
    </row>
    <row r="803" customFormat="false" ht="61.5" hidden="false" customHeight="true" outlineLevel="0" collapsed="false">
      <c r="A803" s="13" t="s">
        <v>3178</v>
      </c>
      <c r="B803" s="14" t="s">
        <v>836</v>
      </c>
      <c r="C803" s="15" t="s">
        <v>1667</v>
      </c>
      <c r="D803" s="15" t="s">
        <v>3179</v>
      </c>
      <c r="E803" s="23" t="s">
        <v>19</v>
      </c>
      <c r="F803" s="16"/>
      <c r="G803" s="16"/>
      <c r="H803" s="19" t="n">
        <f aca="false">LEN(IF(F803&lt;&gt;"",F803,D803))</f>
        <v>64</v>
      </c>
      <c r="I803" s="24" t="str">
        <f aca="false">IF(OR(H803&lt;2,H803&gt;140),"분량 확인","")</f>
        <v/>
      </c>
    </row>
    <row r="804" customFormat="false" ht="48" hidden="false" customHeight="true" outlineLevel="0" collapsed="false">
      <c r="A804" s="13" t="s">
        <v>3180</v>
      </c>
      <c r="B804" s="14" t="s">
        <v>836</v>
      </c>
      <c r="C804" s="15" t="s">
        <v>1670</v>
      </c>
      <c r="D804" s="15" t="s">
        <v>3181</v>
      </c>
      <c r="E804" s="23" t="s">
        <v>19</v>
      </c>
      <c r="F804" s="16"/>
      <c r="G804" s="16"/>
      <c r="H804" s="19" t="n">
        <f aca="false">LEN(IF(F804&lt;&gt;"",F804,D804))</f>
        <v>12</v>
      </c>
      <c r="I804" s="24" t="str">
        <f aca="false">IF(OR(H804&lt;2,H804&gt;140),"분량 확인","")</f>
        <v/>
      </c>
    </row>
    <row r="805" customFormat="false" ht="48" hidden="false" customHeight="true" outlineLevel="0" collapsed="false">
      <c r="A805" s="13" t="s">
        <v>3182</v>
      </c>
      <c r="B805" s="14" t="s">
        <v>836</v>
      </c>
      <c r="C805" s="15" t="s">
        <v>1673</v>
      </c>
      <c r="D805" s="15" t="s">
        <v>3183</v>
      </c>
      <c r="E805" s="23" t="s">
        <v>19</v>
      </c>
      <c r="F805" s="16"/>
      <c r="G805" s="16"/>
      <c r="H805" s="19" t="n">
        <f aca="false">LEN(IF(F805&lt;&gt;"",F805,D805))</f>
        <v>32</v>
      </c>
      <c r="I805" s="24" t="str">
        <f aca="false">IF(OR(H805&lt;2,H805&gt;140),"분량 확인","")</f>
        <v/>
      </c>
    </row>
    <row r="806" customFormat="false" ht="48" hidden="false" customHeight="true" outlineLevel="0" collapsed="false">
      <c r="A806" s="13" t="s">
        <v>3184</v>
      </c>
      <c r="B806" s="14" t="s">
        <v>836</v>
      </c>
      <c r="C806" s="15" t="s">
        <v>1676</v>
      </c>
      <c r="D806" s="14" t="s">
        <v>1677</v>
      </c>
      <c r="E806" s="23" t="s">
        <v>19</v>
      </c>
      <c r="F806" s="16"/>
      <c r="G806" s="16"/>
      <c r="H806" s="19" t="n">
        <f aca="false">LEN(IF(F806&lt;&gt;"",F806,D806))</f>
        <v>2</v>
      </c>
      <c r="I806" s="24" t="str">
        <f aca="false">IF(OR(H806&lt;2,H806&gt;140),"분량 확인","")</f>
        <v/>
      </c>
    </row>
    <row r="807" customFormat="false" ht="48" hidden="false" customHeight="true" outlineLevel="0" collapsed="false">
      <c r="A807" s="13" t="s">
        <v>3185</v>
      </c>
      <c r="B807" s="14" t="s">
        <v>836</v>
      </c>
      <c r="C807" s="15" t="s">
        <v>1679</v>
      </c>
      <c r="D807" s="15" t="s">
        <v>3186</v>
      </c>
      <c r="E807" s="23" t="s">
        <v>19</v>
      </c>
      <c r="F807" s="16"/>
      <c r="G807" s="16"/>
      <c r="H807" s="19" t="n">
        <f aca="false">LEN(IF(F807&lt;&gt;"",F807,D807))</f>
        <v>34</v>
      </c>
      <c r="I807" s="24" t="str">
        <f aca="false">IF(OR(H807&lt;2,H807&gt;140),"분량 확인","")</f>
        <v/>
      </c>
    </row>
    <row r="808" customFormat="false" ht="48" hidden="false" customHeight="true" outlineLevel="0" collapsed="false">
      <c r="A808" s="13" t="s">
        <v>3187</v>
      </c>
      <c r="B808" s="14" t="s">
        <v>836</v>
      </c>
      <c r="C808" s="15" t="s">
        <v>1682</v>
      </c>
      <c r="D808" s="15" t="s">
        <v>3188</v>
      </c>
      <c r="E808" s="23" t="s">
        <v>19</v>
      </c>
      <c r="F808" s="16"/>
      <c r="G808" s="16"/>
      <c r="H808" s="19" t="n">
        <f aca="false">LEN(IF(F808&lt;&gt;"",F808,D808))</f>
        <v>14</v>
      </c>
      <c r="I808" s="24" t="str">
        <f aca="false">IF(OR(H808&lt;2,H808&gt;140),"분량 확인","")</f>
        <v/>
      </c>
    </row>
    <row r="809" customFormat="false" ht="48" hidden="false" customHeight="true" outlineLevel="0" collapsed="false">
      <c r="A809" s="13" t="s">
        <v>3189</v>
      </c>
      <c r="B809" s="14" t="s">
        <v>836</v>
      </c>
      <c r="C809" s="15" t="s">
        <v>1685</v>
      </c>
      <c r="D809" s="15" t="s">
        <v>3190</v>
      </c>
      <c r="E809" s="23" t="s">
        <v>19</v>
      </c>
      <c r="F809" s="16"/>
      <c r="G809" s="16"/>
      <c r="H809" s="19" t="n">
        <f aca="false">LEN(IF(F809&lt;&gt;"",F809,D809))</f>
        <v>57</v>
      </c>
      <c r="I809" s="24" t="str">
        <f aca="false">IF(OR(H809&lt;2,H809&gt;140),"분량 확인","")</f>
        <v/>
      </c>
    </row>
    <row r="810" customFormat="false" ht="48" hidden="false" customHeight="true" outlineLevel="0" collapsed="false">
      <c r="A810" s="13" t="s">
        <v>3191</v>
      </c>
      <c r="B810" s="14" t="s">
        <v>836</v>
      </c>
      <c r="C810" s="15" t="s">
        <v>1688</v>
      </c>
      <c r="D810" s="15" t="s">
        <v>1689</v>
      </c>
      <c r="E810" s="23" t="s">
        <v>19</v>
      </c>
      <c r="F810" s="16"/>
      <c r="G810" s="16"/>
      <c r="H810" s="19" t="n">
        <f aca="false">LEN(IF(F810&lt;&gt;"",F810,D810))</f>
        <v>4</v>
      </c>
      <c r="I810" s="24" t="str">
        <f aca="false">IF(OR(H810&lt;2,H810&gt;140),"분량 확인","")</f>
        <v/>
      </c>
    </row>
    <row r="811" customFormat="false" ht="48" hidden="false" customHeight="true" outlineLevel="0" collapsed="false">
      <c r="A811" s="13" t="s">
        <v>3192</v>
      </c>
      <c r="B811" s="14" t="s">
        <v>836</v>
      </c>
      <c r="C811" s="15" t="s">
        <v>1691</v>
      </c>
      <c r="D811" s="15" t="s">
        <v>3193</v>
      </c>
      <c r="E811" s="23" t="s">
        <v>19</v>
      </c>
      <c r="F811" s="16"/>
      <c r="G811" s="16"/>
      <c r="H811" s="19" t="n">
        <f aca="false">LEN(IF(F811&lt;&gt;"",F811,D811))</f>
        <v>40</v>
      </c>
      <c r="I811" s="24" t="str">
        <f aca="false">IF(OR(H811&lt;2,H811&gt;140),"분량 확인","")</f>
        <v/>
      </c>
    </row>
    <row r="812" customFormat="false" ht="61.5" hidden="false" customHeight="true" outlineLevel="0" collapsed="false">
      <c r="A812" s="13" t="s">
        <v>3194</v>
      </c>
      <c r="B812" s="14" t="s">
        <v>836</v>
      </c>
      <c r="C812" s="15" t="s">
        <v>1694</v>
      </c>
      <c r="D812" s="15" t="s">
        <v>3195</v>
      </c>
      <c r="E812" s="23" t="s">
        <v>19</v>
      </c>
      <c r="F812" s="16"/>
      <c r="G812" s="16"/>
      <c r="H812" s="19" t="n">
        <f aca="false">LEN(IF(F812&lt;&gt;"",F812,D812))</f>
        <v>15</v>
      </c>
      <c r="I812" s="24" t="str">
        <f aca="false">IF(OR(H812&lt;2,H812&gt;140),"분량 확인","")</f>
        <v/>
      </c>
    </row>
    <row r="813" customFormat="false" ht="61.5" hidden="false" customHeight="true" outlineLevel="0" collapsed="false">
      <c r="A813" s="13" t="s">
        <v>3196</v>
      </c>
      <c r="B813" s="14" t="s">
        <v>836</v>
      </c>
      <c r="C813" s="15" t="s">
        <v>1697</v>
      </c>
      <c r="D813" s="15" t="s">
        <v>3197</v>
      </c>
      <c r="E813" s="23" t="s">
        <v>19</v>
      </c>
      <c r="F813" s="16"/>
      <c r="G813" s="16"/>
      <c r="H813" s="19" t="n">
        <f aca="false">LEN(IF(F813&lt;&gt;"",F813,D813))</f>
        <v>49</v>
      </c>
      <c r="I813" s="24" t="str">
        <f aca="false">IF(OR(H813&lt;2,H813&gt;140),"분량 확인","")</f>
        <v/>
      </c>
    </row>
    <row r="814" customFormat="false" ht="61.5" hidden="false" customHeight="true" outlineLevel="0" collapsed="false">
      <c r="A814" s="13" t="s">
        <v>3198</v>
      </c>
      <c r="B814" s="14" t="s">
        <v>836</v>
      </c>
      <c r="C814" s="15" t="s">
        <v>1700</v>
      </c>
      <c r="D814" s="15" t="s">
        <v>3199</v>
      </c>
      <c r="E814" s="23" t="s">
        <v>19</v>
      </c>
      <c r="F814" s="16"/>
      <c r="G814" s="16"/>
      <c r="H814" s="19" t="n">
        <f aca="false">LEN(IF(F814&lt;&gt;"",F814,D814))</f>
        <v>60</v>
      </c>
      <c r="I814" s="24" t="str">
        <f aca="false">IF(OR(H814&lt;2,H814&gt;140),"분량 확인","")</f>
        <v/>
      </c>
    </row>
    <row r="815" customFormat="false" ht="48" hidden="false" customHeight="true" outlineLevel="0" collapsed="false">
      <c r="A815" s="13" t="s">
        <v>3200</v>
      </c>
      <c r="B815" s="14" t="s">
        <v>836</v>
      </c>
      <c r="C815" s="15" t="s">
        <v>1703</v>
      </c>
      <c r="D815" s="15" t="s">
        <v>3201</v>
      </c>
      <c r="E815" s="23" t="s">
        <v>19</v>
      </c>
      <c r="F815" s="16"/>
      <c r="G815" s="16"/>
      <c r="H815" s="19" t="n">
        <f aca="false">LEN(IF(F815&lt;&gt;"",F815,D815))</f>
        <v>15</v>
      </c>
      <c r="I815" s="24" t="str">
        <f aca="false">IF(OR(H815&lt;2,H815&gt;140),"분량 확인","")</f>
        <v/>
      </c>
    </row>
    <row r="816" customFormat="false" ht="48" hidden="false" customHeight="true" outlineLevel="0" collapsed="false">
      <c r="A816" s="13" t="s">
        <v>3202</v>
      </c>
      <c r="B816" s="14" t="s">
        <v>836</v>
      </c>
      <c r="C816" s="15" t="s">
        <v>1706</v>
      </c>
      <c r="D816" s="15" t="s">
        <v>3203</v>
      </c>
      <c r="E816" s="23" t="s">
        <v>19</v>
      </c>
      <c r="F816" s="16"/>
      <c r="G816" s="16"/>
      <c r="H816" s="19" t="n">
        <f aca="false">LEN(IF(F816&lt;&gt;"",F816,D816))</f>
        <v>61</v>
      </c>
      <c r="I816" s="24" t="str">
        <f aca="false">IF(OR(H816&lt;2,H816&gt;140),"분량 확인","")</f>
        <v/>
      </c>
    </row>
    <row r="817" customFormat="false" ht="48" hidden="false" customHeight="true" outlineLevel="0" collapsed="false">
      <c r="A817" s="13" t="s">
        <v>3204</v>
      </c>
      <c r="B817" s="14" t="s">
        <v>836</v>
      </c>
      <c r="C817" s="15" t="s">
        <v>1709</v>
      </c>
      <c r="D817" s="14" t="s">
        <v>1766</v>
      </c>
      <c r="E817" s="23" t="s">
        <v>19</v>
      </c>
      <c r="F817" s="16"/>
      <c r="G817" s="16"/>
      <c r="H817" s="19" t="n">
        <f aca="false">LEN(IF(F817&lt;&gt;"",F817,D817))</f>
        <v>3</v>
      </c>
      <c r="I817" s="24" t="str">
        <f aca="false">IF(OR(H817&lt;2,H817&gt;140),"분량 확인","")</f>
        <v/>
      </c>
    </row>
    <row r="818" customFormat="false" ht="48" hidden="false" customHeight="true" outlineLevel="0" collapsed="false">
      <c r="A818" s="13" t="s">
        <v>3205</v>
      </c>
      <c r="B818" s="14" t="s">
        <v>836</v>
      </c>
      <c r="C818" s="15" t="s">
        <v>1712</v>
      </c>
      <c r="D818" s="15" t="s">
        <v>3206</v>
      </c>
      <c r="E818" s="23" t="s">
        <v>19</v>
      </c>
      <c r="F818" s="16"/>
      <c r="G818" s="16"/>
      <c r="H818" s="19" t="n">
        <f aca="false">LEN(IF(F818&lt;&gt;"",F818,D818))</f>
        <v>46</v>
      </c>
      <c r="I818" s="24" t="str">
        <f aca="false">IF(OR(H818&lt;2,H818&gt;140),"분량 확인","")</f>
        <v/>
      </c>
    </row>
    <row r="819" customFormat="false" ht="61.5" hidden="false" customHeight="true" outlineLevel="0" collapsed="false">
      <c r="A819" s="13" t="s">
        <v>3207</v>
      </c>
      <c r="B819" s="14" t="s">
        <v>836</v>
      </c>
      <c r="C819" s="15" t="s">
        <v>1715</v>
      </c>
      <c r="D819" s="15" t="s">
        <v>3208</v>
      </c>
      <c r="E819" s="23" t="s">
        <v>19</v>
      </c>
      <c r="F819" s="16"/>
      <c r="G819" s="16"/>
      <c r="H819" s="19" t="n">
        <f aca="false">LEN(IF(F819&lt;&gt;"",F819,D819))</f>
        <v>19</v>
      </c>
      <c r="I819" s="24" t="str">
        <f aca="false">IF(OR(H819&lt;2,H819&gt;140),"분량 확인","")</f>
        <v/>
      </c>
    </row>
    <row r="820" customFormat="false" ht="61.5" hidden="false" customHeight="true" outlineLevel="0" collapsed="false">
      <c r="A820" s="13" t="s">
        <v>3209</v>
      </c>
      <c r="B820" s="14" t="s">
        <v>836</v>
      </c>
      <c r="C820" s="15" t="s">
        <v>1718</v>
      </c>
      <c r="D820" s="15" t="s">
        <v>3210</v>
      </c>
      <c r="E820" s="23" t="s">
        <v>19</v>
      </c>
      <c r="F820" s="16"/>
      <c r="G820" s="16"/>
      <c r="H820" s="19" t="n">
        <f aca="false">LEN(IF(F820&lt;&gt;"",F820,D820))</f>
        <v>13</v>
      </c>
      <c r="I820" s="24" t="str">
        <f aca="false">IF(OR(H820&lt;2,H820&gt;140),"분량 확인","")</f>
        <v/>
      </c>
    </row>
    <row r="821" customFormat="false" ht="61.5" hidden="false" customHeight="true" outlineLevel="0" collapsed="false">
      <c r="A821" s="13" t="s">
        <v>3211</v>
      </c>
      <c r="B821" s="14" t="s">
        <v>836</v>
      </c>
      <c r="C821" s="15" t="s">
        <v>1721</v>
      </c>
      <c r="D821" s="15" t="s">
        <v>3212</v>
      </c>
      <c r="E821" s="23" t="s">
        <v>19</v>
      </c>
      <c r="F821" s="16"/>
      <c r="G821" s="16"/>
      <c r="H821" s="19" t="n">
        <f aca="false">LEN(IF(F821&lt;&gt;"",F821,D821))</f>
        <v>46</v>
      </c>
      <c r="I821" s="24" t="str">
        <f aca="false">IF(OR(H821&lt;2,H821&gt;140),"분량 확인","")</f>
        <v/>
      </c>
    </row>
    <row r="822" customFormat="false" ht="61.5" hidden="false" customHeight="true" outlineLevel="0" collapsed="false">
      <c r="A822" s="13" t="s">
        <v>3213</v>
      </c>
      <c r="B822" s="14" t="s">
        <v>836</v>
      </c>
      <c r="C822" s="15" t="s">
        <v>1724</v>
      </c>
      <c r="D822" s="15" t="s">
        <v>3214</v>
      </c>
      <c r="E822" s="23" t="s">
        <v>19</v>
      </c>
      <c r="F822" s="16"/>
      <c r="G822" s="16"/>
      <c r="H822" s="19" t="n">
        <f aca="false">LEN(IF(F822&lt;&gt;"",F822,D822))</f>
        <v>54</v>
      </c>
      <c r="I822" s="24" t="str">
        <f aca="false">IF(OR(H822&lt;2,H822&gt;140),"분량 확인","")</f>
        <v/>
      </c>
    </row>
    <row r="823" customFormat="false" ht="48" hidden="false" customHeight="true" outlineLevel="0" collapsed="false">
      <c r="A823" s="13" t="s">
        <v>3215</v>
      </c>
      <c r="B823" s="14" t="s">
        <v>836</v>
      </c>
      <c r="C823" s="15" t="s">
        <v>1727</v>
      </c>
      <c r="D823" s="15" t="s">
        <v>3216</v>
      </c>
      <c r="E823" s="23" t="s">
        <v>19</v>
      </c>
      <c r="F823" s="16"/>
      <c r="G823" s="16"/>
      <c r="H823" s="19" t="n">
        <f aca="false">LEN(IF(F823&lt;&gt;"",F823,D823))</f>
        <v>11</v>
      </c>
      <c r="I823" s="24" t="str">
        <f aca="false">IF(OR(H823&lt;2,H823&gt;140),"분량 확인","")</f>
        <v/>
      </c>
    </row>
    <row r="824" customFormat="false" ht="48" hidden="false" customHeight="true" outlineLevel="0" collapsed="false">
      <c r="A824" s="13" t="s">
        <v>3217</v>
      </c>
      <c r="B824" s="14" t="s">
        <v>836</v>
      </c>
      <c r="C824" s="15" t="s">
        <v>1730</v>
      </c>
      <c r="D824" s="15" t="s">
        <v>3218</v>
      </c>
      <c r="E824" s="23" t="s">
        <v>19</v>
      </c>
      <c r="F824" s="16"/>
      <c r="G824" s="16"/>
      <c r="H824" s="19" t="n">
        <f aca="false">LEN(IF(F824&lt;&gt;"",F824,D824))</f>
        <v>45</v>
      </c>
      <c r="I824" s="24" t="str">
        <f aca="false">IF(OR(H824&lt;2,H824&gt;140),"분량 확인","")</f>
        <v/>
      </c>
    </row>
    <row r="825" customFormat="false" ht="48" hidden="false" customHeight="true" outlineLevel="0" collapsed="false">
      <c r="A825" s="13" t="s">
        <v>3219</v>
      </c>
      <c r="B825" s="14" t="s">
        <v>836</v>
      </c>
      <c r="C825" s="15" t="s">
        <v>1733</v>
      </c>
      <c r="D825" s="14" t="s">
        <v>1783</v>
      </c>
      <c r="E825" s="23" t="s">
        <v>19</v>
      </c>
      <c r="F825" s="16"/>
      <c r="G825" s="16"/>
      <c r="H825" s="19" t="n">
        <f aca="false">LEN(IF(F825&lt;&gt;"",F825,D825))</f>
        <v>2</v>
      </c>
      <c r="I825" s="24" t="str">
        <f aca="false">IF(OR(H825&lt;2,H825&gt;140),"분량 확인","")</f>
        <v/>
      </c>
    </row>
    <row r="826" customFormat="false" ht="48" hidden="false" customHeight="true" outlineLevel="0" collapsed="false">
      <c r="A826" s="13" t="s">
        <v>3220</v>
      </c>
      <c r="B826" s="14" t="s">
        <v>836</v>
      </c>
      <c r="C826" s="15" t="s">
        <v>1736</v>
      </c>
      <c r="D826" s="15" t="s">
        <v>3221</v>
      </c>
      <c r="E826" s="23" t="s">
        <v>19</v>
      </c>
      <c r="F826" s="16"/>
      <c r="G826" s="16"/>
      <c r="H826" s="19" t="n">
        <f aca="false">LEN(IF(F826&lt;&gt;"",F826,D826))</f>
        <v>37</v>
      </c>
      <c r="I826" s="24" t="str">
        <f aca="false">IF(OR(H826&lt;2,H826&gt;140),"분량 확인","")</f>
        <v/>
      </c>
    </row>
    <row r="827" customFormat="false" ht="48" hidden="false" customHeight="true" outlineLevel="0" collapsed="false">
      <c r="A827" s="13" t="s">
        <v>3222</v>
      </c>
      <c r="B827" s="14" t="s">
        <v>836</v>
      </c>
      <c r="C827" s="15" t="s">
        <v>1739</v>
      </c>
      <c r="D827" s="15" t="s">
        <v>3223</v>
      </c>
      <c r="E827" s="23" t="s">
        <v>19</v>
      </c>
      <c r="F827" s="16"/>
      <c r="G827" s="16"/>
      <c r="H827" s="19" t="n">
        <f aca="false">LEN(IF(F827&lt;&gt;"",F827,D827))</f>
        <v>15</v>
      </c>
      <c r="I827" s="24" t="str">
        <f aca="false">IF(OR(H827&lt;2,H827&gt;140),"분량 확인","")</f>
        <v/>
      </c>
    </row>
    <row r="828" customFormat="false" ht="48" hidden="false" customHeight="true" outlineLevel="0" collapsed="false">
      <c r="A828" s="13" t="s">
        <v>3224</v>
      </c>
      <c r="B828" s="14" t="s">
        <v>836</v>
      </c>
      <c r="C828" s="15" t="s">
        <v>1742</v>
      </c>
      <c r="D828" s="15" t="s">
        <v>3225</v>
      </c>
      <c r="E828" s="23" t="s">
        <v>19</v>
      </c>
      <c r="F828" s="16"/>
      <c r="G828" s="16"/>
      <c r="H828" s="19" t="n">
        <f aca="false">LEN(IF(F828&lt;&gt;"",F828,D828))</f>
        <v>53</v>
      </c>
      <c r="I828" s="24" t="str">
        <f aca="false">IF(OR(H828&lt;2,H828&gt;140),"분량 확인","")</f>
        <v/>
      </c>
    </row>
    <row r="829" customFormat="false" ht="48" hidden="false" customHeight="true" outlineLevel="0" collapsed="false">
      <c r="A829" s="13" t="s">
        <v>3226</v>
      </c>
      <c r="B829" s="14" t="s">
        <v>836</v>
      </c>
      <c r="C829" s="15" t="s">
        <v>1745</v>
      </c>
      <c r="D829" s="15" t="s">
        <v>1689</v>
      </c>
      <c r="E829" s="23" t="s">
        <v>19</v>
      </c>
      <c r="F829" s="16"/>
      <c r="G829" s="16"/>
      <c r="H829" s="19" t="n">
        <f aca="false">LEN(IF(F829&lt;&gt;"",F829,D829))</f>
        <v>4</v>
      </c>
      <c r="I829" s="24" t="str">
        <f aca="false">IF(OR(H829&lt;2,H829&gt;140),"분량 확인","")</f>
        <v/>
      </c>
    </row>
    <row r="830" customFormat="false" ht="48" hidden="false" customHeight="true" outlineLevel="0" collapsed="false">
      <c r="A830" s="13" t="s">
        <v>3227</v>
      </c>
      <c r="B830" s="14" t="s">
        <v>836</v>
      </c>
      <c r="C830" s="15" t="s">
        <v>1747</v>
      </c>
      <c r="D830" s="15" t="s">
        <v>3228</v>
      </c>
      <c r="E830" s="23" t="s">
        <v>19</v>
      </c>
      <c r="F830" s="16"/>
      <c r="G830" s="16"/>
      <c r="H830" s="19" t="n">
        <f aca="false">LEN(IF(F830&lt;&gt;"",F830,D830))</f>
        <v>44</v>
      </c>
      <c r="I830" s="24" t="str">
        <f aca="false">IF(OR(H830&lt;2,H830&gt;140),"분량 확인","")</f>
        <v/>
      </c>
    </row>
    <row r="831" customFormat="false" ht="61.5" hidden="false" customHeight="true" outlineLevel="0" collapsed="false">
      <c r="A831" s="13" t="s">
        <v>3229</v>
      </c>
      <c r="B831" s="14" t="s">
        <v>836</v>
      </c>
      <c r="C831" s="15" t="s">
        <v>1750</v>
      </c>
      <c r="D831" s="15" t="s">
        <v>3230</v>
      </c>
      <c r="E831" s="23" t="s">
        <v>19</v>
      </c>
      <c r="F831" s="16"/>
      <c r="G831" s="16"/>
      <c r="H831" s="19" t="n">
        <f aca="false">LEN(IF(F831&lt;&gt;"",F831,D831))</f>
        <v>19</v>
      </c>
      <c r="I831" s="24" t="str">
        <f aca="false">IF(OR(H831&lt;2,H831&gt;140),"분량 확인","")</f>
        <v/>
      </c>
    </row>
    <row r="832" customFormat="false" ht="61.5" hidden="false" customHeight="true" outlineLevel="0" collapsed="false">
      <c r="A832" s="13" t="s">
        <v>3231</v>
      </c>
      <c r="B832" s="14" t="s">
        <v>836</v>
      </c>
      <c r="C832" s="15" t="s">
        <v>1753</v>
      </c>
      <c r="D832" s="15" t="s">
        <v>3232</v>
      </c>
      <c r="E832" s="23" t="s">
        <v>19</v>
      </c>
      <c r="F832" s="16"/>
      <c r="G832" s="16"/>
      <c r="H832" s="19" t="n">
        <f aca="false">LEN(IF(F832&lt;&gt;"",F832,D832))</f>
        <v>60</v>
      </c>
      <c r="I832" s="24" t="str">
        <f aca="false">IF(OR(H832&lt;2,H832&gt;140),"분량 확인","")</f>
        <v/>
      </c>
    </row>
    <row r="833" customFormat="false" ht="61.5" hidden="false" customHeight="true" outlineLevel="0" collapsed="false">
      <c r="A833" s="13" t="s">
        <v>3233</v>
      </c>
      <c r="B833" s="14" t="s">
        <v>836</v>
      </c>
      <c r="C833" s="15" t="s">
        <v>1756</v>
      </c>
      <c r="D833" s="15" t="s">
        <v>3234</v>
      </c>
      <c r="E833" s="23" t="s">
        <v>19</v>
      </c>
      <c r="F833" s="16"/>
      <c r="G833" s="16"/>
      <c r="H833" s="19" t="n">
        <f aca="false">LEN(IF(F833&lt;&gt;"",F833,D833))</f>
        <v>58</v>
      </c>
      <c r="I833" s="24" t="str">
        <f aca="false">IF(OR(H833&lt;2,H833&gt;140),"분량 확인","")</f>
        <v/>
      </c>
    </row>
    <row r="834" customFormat="false" ht="48" hidden="false" customHeight="true" outlineLevel="0" collapsed="false">
      <c r="A834" s="13" t="s">
        <v>3235</v>
      </c>
      <c r="B834" s="14" t="s">
        <v>836</v>
      </c>
      <c r="C834" s="15" t="s">
        <v>1759</v>
      </c>
      <c r="D834" s="15" t="s">
        <v>3236</v>
      </c>
      <c r="E834" s="23" t="s">
        <v>19</v>
      </c>
      <c r="F834" s="16"/>
      <c r="G834" s="16"/>
      <c r="H834" s="19" t="n">
        <f aca="false">LEN(IF(F834&lt;&gt;"",F834,D834))</f>
        <v>14</v>
      </c>
      <c r="I834" s="24" t="str">
        <f aca="false">IF(OR(H834&lt;2,H834&gt;140),"분량 확인","")</f>
        <v/>
      </c>
    </row>
    <row r="835" customFormat="false" ht="48" hidden="false" customHeight="true" outlineLevel="0" collapsed="false">
      <c r="A835" s="13" t="s">
        <v>3237</v>
      </c>
      <c r="B835" s="14" t="s">
        <v>836</v>
      </c>
      <c r="C835" s="15" t="s">
        <v>1762</v>
      </c>
      <c r="D835" s="15" t="s">
        <v>3238</v>
      </c>
      <c r="E835" s="23" t="s">
        <v>19</v>
      </c>
      <c r="F835" s="16"/>
      <c r="G835" s="16"/>
      <c r="H835" s="19" t="n">
        <f aca="false">LEN(IF(F835&lt;&gt;"",F835,D835))</f>
        <v>64</v>
      </c>
      <c r="I835" s="24" t="str">
        <f aca="false">IF(OR(H835&lt;2,H835&gt;140),"분량 확인","")</f>
        <v/>
      </c>
    </row>
    <row r="836" customFormat="false" ht="48" hidden="false" customHeight="true" outlineLevel="0" collapsed="false">
      <c r="A836" s="13" t="s">
        <v>3239</v>
      </c>
      <c r="B836" s="14" t="s">
        <v>836</v>
      </c>
      <c r="C836" s="15" t="s">
        <v>1765</v>
      </c>
      <c r="D836" s="14" t="s">
        <v>1710</v>
      </c>
      <c r="E836" s="23" t="s">
        <v>19</v>
      </c>
      <c r="F836" s="16"/>
      <c r="G836" s="16"/>
      <c r="H836" s="19" t="n">
        <f aca="false">LEN(IF(F836&lt;&gt;"",F836,D836))</f>
        <v>3</v>
      </c>
      <c r="I836" s="24" t="str">
        <f aca="false">IF(OR(H836&lt;2,H836&gt;140),"분량 확인","")</f>
        <v/>
      </c>
    </row>
    <row r="837" customFormat="false" ht="48" hidden="false" customHeight="true" outlineLevel="0" collapsed="false">
      <c r="A837" s="13" t="s">
        <v>3240</v>
      </c>
      <c r="B837" s="14" t="s">
        <v>836</v>
      </c>
      <c r="C837" s="15" t="s">
        <v>1768</v>
      </c>
      <c r="D837" s="15" t="s">
        <v>3241</v>
      </c>
      <c r="E837" s="23" t="s">
        <v>19</v>
      </c>
      <c r="F837" s="16"/>
      <c r="G837" s="16"/>
      <c r="H837" s="19" t="n">
        <f aca="false">LEN(IF(F837&lt;&gt;"",F837,D837))</f>
        <v>48</v>
      </c>
      <c r="I837" s="24" t="str">
        <f aca="false">IF(OR(H837&lt;2,H837&gt;140),"분량 확인","")</f>
        <v/>
      </c>
    </row>
  </sheetData>
  <autoFilter ref="A1:I837"/>
  <conditionalFormatting sqref="E2:E837">
    <cfRule type="cellIs" priority="2" operator="equal" aboveAverage="0" equalAverage="0" bottom="0" percent="0" rank="0" text="" dxfId="5">
      <formula>"확정"</formula>
    </cfRule>
    <cfRule type="cellIs" priority="3" operator="equal" aboveAverage="0" equalAverage="0" bottom="0" percent="0" rank="0" text="" dxfId="6">
      <formula>"수정요청"</formula>
    </cfRule>
    <cfRule type="cellIs" priority="4" operator="equal" aboveAverage="0" equalAverage="0" bottom="0" percent="0" rank="0" text="" dxfId="7">
      <formula>"검수중"</formula>
    </cfRule>
    <cfRule type="cellIs" priority="5" operator="equal" aboveAverage="0" equalAverage="0" bottom="0" percent="0" rank="0" text="" dxfId="8">
      <formula>"삭제"</formula>
    </cfRule>
  </conditionalFormatting>
  <conditionalFormatting sqref="I2:I837">
    <cfRule type="expression" priority="6" aboveAverage="0" equalAverage="0" bottom="0" percent="0" rank="0" text="" dxfId="9">
      <formula>I2="분량 확인"</formula>
    </cfRule>
  </conditionalFormatting>
  <dataValidations count="1">
    <dataValidation allowBlank="false" error="초안 · 검수중 · 수정요청 · 확정 · 삭제 중에서 골라 주세요." errorStyle="stop" errorTitle="상태" operator="between" showDropDown="false" showErrorMessage="false" showInputMessage="false" sqref="E2:E837" type="list">
      <formula1>"초안,검수중,수정요청,확정,삭제"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12F53"/>
    <pageSetUpPr fitToPage="false"/>
  </sheetPr>
  <dimension ref="A1:I45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2"/>
    <col collapsed="false" customWidth="true" hidden="false" outlineLevel="0" max="3" min="3" style="0" width="26"/>
    <col collapsed="false" customWidth="true" hidden="false" outlineLevel="0" max="4" min="4" style="0" width="62"/>
    <col collapsed="false" customWidth="true" hidden="false" outlineLevel="0" max="5" min="5" style="0" width="10"/>
    <col collapsed="false" customWidth="true" hidden="false" outlineLevel="0" max="6" min="6" style="0" width="56"/>
    <col collapsed="false" customWidth="true" hidden="false" outlineLevel="0" max="7" min="7" style="0" width="30"/>
    <col collapsed="false" customWidth="true" hidden="false" outlineLevel="0" max="8" min="8" style="0" width="9"/>
    <col collapsed="false" customWidth="true" hidden="false" outlineLevel="0" max="9" min="9" style="0" width="10"/>
  </cols>
  <sheetData>
    <row r="1" customFormat="false" ht="30" hidden="false" customHeight="true" outlineLevel="0" collapsed="false">
      <c r="A1" s="11" t="s">
        <v>554</v>
      </c>
      <c r="B1" s="12" t="s">
        <v>25</v>
      </c>
      <c r="C1" s="12" t="s">
        <v>26</v>
      </c>
      <c r="D1" s="12" t="s">
        <v>27</v>
      </c>
      <c r="E1" s="12" t="s">
        <v>28</v>
      </c>
      <c r="F1" s="12" t="s">
        <v>29</v>
      </c>
      <c r="G1" s="12" t="s">
        <v>30</v>
      </c>
      <c r="H1" s="12" t="s">
        <v>555</v>
      </c>
      <c r="I1" s="12" t="s">
        <v>556</v>
      </c>
    </row>
    <row r="2" customFormat="false" ht="75.75" hidden="false" customHeight="true" outlineLevel="0" collapsed="false">
      <c r="A2" s="13" t="s">
        <v>3242</v>
      </c>
      <c r="B2" s="14" t="s">
        <v>558</v>
      </c>
      <c r="C2" s="15" t="s">
        <v>3243</v>
      </c>
      <c r="D2" s="15" t="s">
        <v>3244</v>
      </c>
      <c r="E2" s="23" t="s">
        <v>19</v>
      </c>
      <c r="F2" s="16"/>
      <c r="G2" s="16"/>
      <c r="H2" s="19" t="n">
        <f aca="false">LEN(IF(F2&lt;&gt;"",F2,D2))</f>
        <v>84</v>
      </c>
      <c r="I2" s="24" t="str">
        <f aca="false">IF(OR(H2&lt;60,H2&gt;160),"분량 확인","")</f>
        <v/>
      </c>
    </row>
    <row r="3" customFormat="false" ht="75.75" hidden="false" customHeight="true" outlineLevel="0" collapsed="false">
      <c r="A3" s="13" t="s">
        <v>3245</v>
      </c>
      <c r="B3" s="14" t="s">
        <v>558</v>
      </c>
      <c r="C3" s="15" t="s">
        <v>3246</v>
      </c>
      <c r="D3" s="15" t="s">
        <v>3247</v>
      </c>
      <c r="E3" s="23" t="s">
        <v>19</v>
      </c>
      <c r="F3" s="16"/>
      <c r="G3" s="16"/>
      <c r="H3" s="19" t="n">
        <f aca="false">LEN(IF(F3&lt;&gt;"",F3,D3))</f>
        <v>85</v>
      </c>
      <c r="I3" s="24" t="str">
        <f aca="false">IF(OR(H3&lt;60,H3&gt;160),"분량 확인","")</f>
        <v/>
      </c>
    </row>
    <row r="4" customFormat="false" ht="75.75" hidden="false" customHeight="true" outlineLevel="0" collapsed="false">
      <c r="A4" s="13" t="s">
        <v>3248</v>
      </c>
      <c r="B4" s="14" t="s">
        <v>577</v>
      </c>
      <c r="C4" s="15" t="s">
        <v>3243</v>
      </c>
      <c r="D4" s="15" t="s">
        <v>3249</v>
      </c>
      <c r="E4" s="23" t="s">
        <v>19</v>
      </c>
      <c r="F4" s="16"/>
      <c r="G4" s="16"/>
      <c r="H4" s="19" t="n">
        <f aca="false">LEN(IF(F4&lt;&gt;"",F4,D4))</f>
        <v>85</v>
      </c>
      <c r="I4" s="24" t="str">
        <f aca="false">IF(OR(H4&lt;60,H4&gt;160),"분량 확인","")</f>
        <v/>
      </c>
    </row>
    <row r="5" customFormat="false" ht="75.75" hidden="false" customHeight="true" outlineLevel="0" collapsed="false">
      <c r="A5" s="13" t="s">
        <v>3250</v>
      </c>
      <c r="B5" s="14" t="s">
        <v>577</v>
      </c>
      <c r="C5" s="15" t="s">
        <v>3246</v>
      </c>
      <c r="D5" s="15" t="s">
        <v>3251</v>
      </c>
      <c r="E5" s="23" t="s">
        <v>19</v>
      </c>
      <c r="F5" s="16"/>
      <c r="G5" s="16"/>
      <c r="H5" s="19" t="n">
        <f aca="false">LEN(IF(F5&lt;&gt;"",F5,D5))</f>
        <v>87</v>
      </c>
      <c r="I5" s="24" t="str">
        <f aca="false">IF(OR(H5&lt;60,H5&gt;160),"분량 확인","")</f>
        <v/>
      </c>
    </row>
    <row r="6" customFormat="false" ht="75.75" hidden="false" customHeight="true" outlineLevel="0" collapsed="false">
      <c r="A6" s="13" t="s">
        <v>3252</v>
      </c>
      <c r="B6" s="14" t="s">
        <v>590</v>
      </c>
      <c r="C6" s="15" t="s">
        <v>3243</v>
      </c>
      <c r="D6" s="15" t="s">
        <v>3253</v>
      </c>
      <c r="E6" s="23" t="s">
        <v>19</v>
      </c>
      <c r="F6" s="16"/>
      <c r="G6" s="16"/>
      <c r="H6" s="19" t="n">
        <f aca="false">LEN(IF(F6&lt;&gt;"",F6,D6))</f>
        <v>90</v>
      </c>
      <c r="I6" s="24" t="str">
        <f aca="false">IF(OR(H6&lt;60,H6&gt;160),"분량 확인","")</f>
        <v/>
      </c>
    </row>
    <row r="7" customFormat="false" ht="75.75" hidden="false" customHeight="true" outlineLevel="0" collapsed="false">
      <c r="A7" s="13" t="s">
        <v>3254</v>
      </c>
      <c r="B7" s="14" t="s">
        <v>590</v>
      </c>
      <c r="C7" s="15" t="s">
        <v>3246</v>
      </c>
      <c r="D7" s="15" t="s">
        <v>3255</v>
      </c>
      <c r="E7" s="23" t="s">
        <v>19</v>
      </c>
      <c r="F7" s="16"/>
      <c r="G7" s="16"/>
      <c r="H7" s="19" t="n">
        <f aca="false">LEN(IF(F7&lt;&gt;"",F7,D7))</f>
        <v>93</v>
      </c>
      <c r="I7" s="24" t="str">
        <f aca="false">IF(OR(H7&lt;60,H7&gt;160),"분량 확인","")</f>
        <v/>
      </c>
    </row>
    <row r="8" customFormat="false" ht="75.75" hidden="false" customHeight="true" outlineLevel="0" collapsed="false">
      <c r="A8" s="13" t="s">
        <v>3256</v>
      </c>
      <c r="B8" s="14" t="s">
        <v>603</v>
      </c>
      <c r="C8" s="15" t="s">
        <v>3243</v>
      </c>
      <c r="D8" s="15" t="s">
        <v>3257</v>
      </c>
      <c r="E8" s="23" t="s">
        <v>19</v>
      </c>
      <c r="F8" s="16"/>
      <c r="G8" s="16"/>
      <c r="H8" s="19" t="n">
        <f aca="false">LEN(IF(F8&lt;&gt;"",F8,D8))</f>
        <v>79</v>
      </c>
      <c r="I8" s="24" t="str">
        <f aca="false">IF(OR(H8&lt;60,H8&gt;160),"분량 확인","")</f>
        <v/>
      </c>
    </row>
    <row r="9" customFormat="false" ht="75.75" hidden="false" customHeight="true" outlineLevel="0" collapsed="false">
      <c r="A9" s="13" t="s">
        <v>3258</v>
      </c>
      <c r="B9" s="14" t="s">
        <v>603</v>
      </c>
      <c r="C9" s="15" t="s">
        <v>3246</v>
      </c>
      <c r="D9" s="15" t="s">
        <v>3259</v>
      </c>
      <c r="E9" s="23" t="s">
        <v>19</v>
      </c>
      <c r="F9" s="16"/>
      <c r="G9" s="16"/>
      <c r="H9" s="19" t="n">
        <f aca="false">LEN(IF(F9&lt;&gt;"",F9,D9))</f>
        <v>85</v>
      </c>
      <c r="I9" s="24" t="str">
        <f aca="false">IF(OR(H9&lt;60,H9&gt;160),"분량 확인","")</f>
        <v/>
      </c>
    </row>
    <row r="10" customFormat="false" ht="75.75" hidden="false" customHeight="true" outlineLevel="0" collapsed="false">
      <c r="A10" s="13" t="s">
        <v>3260</v>
      </c>
      <c r="B10" s="14" t="s">
        <v>616</v>
      </c>
      <c r="C10" s="15" t="s">
        <v>3243</v>
      </c>
      <c r="D10" s="15" t="s">
        <v>3261</v>
      </c>
      <c r="E10" s="23" t="s">
        <v>19</v>
      </c>
      <c r="F10" s="16"/>
      <c r="G10" s="16"/>
      <c r="H10" s="19" t="n">
        <f aca="false">LEN(IF(F10&lt;&gt;"",F10,D10))</f>
        <v>80</v>
      </c>
      <c r="I10" s="24" t="str">
        <f aca="false">IF(OR(H10&lt;60,H10&gt;160),"분량 확인","")</f>
        <v/>
      </c>
    </row>
    <row r="11" customFormat="false" ht="75.75" hidden="false" customHeight="true" outlineLevel="0" collapsed="false">
      <c r="A11" s="13" t="s">
        <v>3262</v>
      </c>
      <c r="B11" s="14" t="s">
        <v>616</v>
      </c>
      <c r="C11" s="15" t="s">
        <v>3246</v>
      </c>
      <c r="D11" s="15" t="s">
        <v>3263</v>
      </c>
      <c r="E11" s="23" t="s">
        <v>19</v>
      </c>
      <c r="F11" s="16"/>
      <c r="G11" s="16"/>
      <c r="H11" s="19" t="n">
        <f aca="false">LEN(IF(F11&lt;&gt;"",F11,D11))</f>
        <v>83</v>
      </c>
      <c r="I11" s="24" t="str">
        <f aca="false">IF(OR(H11&lt;60,H11&gt;160),"분량 확인","")</f>
        <v/>
      </c>
    </row>
    <row r="12" customFormat="false" ht="75.75" hidden="false" customHeight="true" outlineLevel="0" collapsed="false">
      <c r="A12" s="13" t="s">
        <v>3264</v>
      </c>
      <c r="B12" s="14" t="s">
        <v>629</v>
      </c>
      <c r="C12" s="15" t="s">
        <v>3243</v>
      </c>
      <c r="D12" s="15" t="s">
        <v>3265</v>
      </c>
      <c r="E12" s="23" t="s">
        <v>19</v>
      </c>
      <c r="F12" s="16"/>
      <c r="G12" s="16"/>
      <c r="H12" s="19" t="n">
        <f aca="false">LEN(IF(F12&lt;&gt;"",F12,D12))</f>
        <v>86</v>
      </c>
      <c r="I12" s="24" t="str">
        <f aca="false">IF(OR(H12&lt;60,H12&gt;160),"분량 확인","")</f>
        <v/>
      </c>
    </row>
    <row r="13" customFormat="false" ht="75.75" hidden="false" customHeight="true" outlineLevel="0" collapsed="false">
      <c r="A13" s="13" t="s">
        <v>3266</v>
      </c>
      <c r="B13" s="14" t="s">
        <v>629</v>
      </c>
      <c r="C13" s="15" t="s">
        <v>3246</v>
      </c>
      <c r="D13" s="15" t="s">
        <v>3267</v>
      </c>
      <c r="E13" s="23" t="s">
        <v>19</v>
      </c>
      <c r="F13" s="16"/>
      <c r="G13" s="16"/>
      <c r="H13" s="19" t="n">
        <f aca="false">LEN(IF(F13&lt;&gt;"",F13,D13))</f>
        <v>85</v>
      </c>
      <c r="I13" s="24" t="str">
        <f aca="false">IF(OR(H13&lt;60,H13&gt;160),"분량 확인","")</f>
        <v/>
      </c>
    </row>
    <row r="14" customFormat="false" ht="75.75" hidden="false" customHeight="true" outlineLevel="0" collapsed="false">
      <c r="A14" s="13" t="s">
        <v>3268</v>
      </c>
      <c r="B14" s="14" t="s">
        <v>642</v>
      </c>
      <c r="C14" s="15" t="s">
        <v>3243</v>
      </c>
      <c r="D14" s="15" t="s">
        <v>3269</v>
      </c>
      <c r="E14" s="23" t="s">
        <v>19</v>
      </c>
      <c r="F14" s="16"/>
      <c r="G14" s="16"/>
      <c r="H14" s="19" t="n">
        <f aca="false">LEN(IF(F14&lt;&gt;"",F14,D14))</f>
        <v>85</v>
      </c>
      <c r="I14" s="24" t="str">
        <f aca="false">IF(OR(H14&lt;60,H14&gt;160),"분량 확인","")</f>
        <v/>
      </c>
    </row>
    <row r="15" customFormat="false" ht="75.75" hidden="false" customHeight="true" outlineLevel="0" collapsed="false">
      <c r="A15" s="13" t="s">
        <v>3270</v>
      </c>
      <c r="B15" s="14" t="s">
        <v>642</v>
      </c>
      <c r="C15" s="15" t="s">
        <v>3246</v>
      </c>
      <c r="D15" s="15" t="s">
        <v>3271</v>
      </c>
      <c r="E15" s="23" t="s">
        <v>19</v>
      </c>
      <c r="F15" s="16"/>
      <c r="G15" s="16"/>
      <c r="H15" s="19" t="n">
        <f aca="false">LEN(IF(F15&lt;&gt;"",F15,D15))</f>
        <v>85</v>
      </c>
      <c r="I15" s="24" t="str">
        <f aca="false">IF(OR(H15&lt;60,H15&gt;160),"분량 확인","")</f>
        <v/>
      </c>
    </row>
    <row r="16" customFormat="false" ht="75.75" hidden="false" customHeight="true" outlineLevel="0" collapsed="false">
      <c r="A16" s="13" t="s">
        <v>3272</v>
      </c>
      <c r="B16" s="14" t="s">
        <v>655</v>
      </c>
      <c r="C16" s="15" t="s">
        <v>3243</v>
      </c>
      <c r="D16" s="15" t="s">
        <v>3273</v>
      </c>
      <c r="E16" s="23" t="s">
        <v>19</v>
      </c>
      <c r="F16" s="16"/>
      <c r="G16" s="16"/>
      <c r="H16" s="19" t="n">
        <f aca="false">LEN(IF(F16&lt;&gt;"",F16,D16))</f>
        <v>82</v>
      </c>
      <c r="I16" s="24" t="str">
        <f aca="false">IF(OR(H16&lt;60,H16&gt;160),"분량 확인","")</f>
        <v/>
      </c>
    </row>
    <row r="17" customFormat="false" ht="75.75" hidden="false" customHeight="true" outlineLevel="0" collapsed="false">
      <c r="A17" s="13" t="s">
        <v>3274</v>
      </c>
      <c r="B17" s="14" t="s">
        <v>655</v>
      </c>
      <c r="C17" s="15" t="s">
        <v>3246</v>
      </c>
      <c r="D17" s="15" t="s">
        <v>3275</v>
      </c>
      <c r="E17" s="23" t="s">
        <v>19</v>
      </c>
      <c r="F17" s="16"/>
      <c r="G17" s="16"/>
      <c r="H17" s="19" t="n">
        <f aca="false">LEN(IF(F17&lt;&gt;"",F17,D17))</f>
        <v>87</v>
      </c>
      <c r="I17" s="24" t="str">
        <f aca="false">IF(OR(H17&lt;60,H17&gt;160),"분량 확인","")</f>
        <v/>
      </c>
    </row>
    <row r="18" customFormat="false" ht="75.75" hidden="false" customHeight="true" outlineLevel="0" collapsed="false">
      <c r="A18" s="13" t="s">
        <v>3276</v>
      </c>
      <c r="B18" s="14" t="s">
        <v>668</v>
      </c>
      <c r="C18" s="15" t="s">
        <v>3243</v>
      </c>
      <c r="D18" s="15" t="s">
        <v>3277</v>
      </c>
      <c r="E18" s="23" t="s">
        <v>19</v>
      </c>
      <c r="F18" s="16"/>
      <c r="G18" s="16"/>
      <c r="H18" s="19" t="n">
        <f aca="false">LEN(IF(F18&lt;&gt;"",F18,D18))</f>
        <v>90</v>
      </c>
      <c r="I18" s="24" t="str">
        <f aca="false">IF(OR(H18&lt;60,H18&gt;160),"분량 확인","")</f>
        <v/>
      </c>
    </row>
    <row r="19" customFormat="false" ht="75.75" hidden="false" customHeight="true" outlineLevel="0" collapsed="false">
      <c r="A19" s="13" t="s">
        <v>3278</v>
      </c>
      <c r="B19" s="14" t="s">
        <v>668</v>
      </c>
      <c r="C19" s="15" t="s">
        <v>3246</v>
      </c>
      <c r="D19" s="15" t="s">
        <v>3279</v>
      </c>
      <c r="E19" s="23" t="s">
        <v>19</v>
      </c>
      <c r="F19" s="16"/>
      <c r="G19" s="16"/>
      <c r="H19" s="19" t="n">
        <f aca="false">LEN(IF(F19&lt;&gt;"",F19,D19))</f>
        <v>80</v>
      </c>
      <c r="I19" s="24" t="str">
        <f aca="false">IF(OR(H19&lt;60,H19&gt;160),"분량 확인","")</f>
        <v/>
      </c>
    </row>
    <row r="20" customFormat="false" ht="75.75" hidden="false" customHeight="true" outlineLevel="0" collapsed="false">
      <c r="A20" s="13" t="s">
        <v>3280</v>
      </c>
      <c r="B20" s="14" t="s">
        <v>681</v>
      </c>
      <c r="C20" s="15" t="s">
        <v>3243</v>
      </c>
      <c r="D20" s="15" t="s">
        <v>3281</v>
      </c>
      <c r="E20" s="23" t="s">
        <v>19</v>
      </c>
      <c r="F20" s="16"/>
      <c r="G20" s="16"/>
      <c r="H20" s="19" t="n">
        <f aca="false">LEN(IF(F20&lt;&gt;"",F20,D20))</f>
        <v>83</v>
      </c>
      <c r="I20" s="24" t="str">
        <f aca="false">IF(OR(H20&lt;60,H20&gt;160),"분량 확인","")</f>
        <v/>
      </c>
    </row>
    <row r="21" customFormat="false" ht="75.75" hidden="false" customHeight="true" outlineLevel="0" collapsed="false">
      <c r="A21" s="13" t="s">
        <v>3282</v>
      </c>
      <c r="B21" s="14" t="s">
        <v>681</v>
      </c>
      <c r="C21" s="15" t="s">
        <v>3246</v>
      </c>
      <c r="D21" s="15" t="s">
        <v>3283</v>
      </c>
      <c r="E21" s="23" t="s">
        <v>19</v>
      </c>
      <c r="F21" s="16"/>
      <c r="G21" s="16"/>
      <c r="H21" s="19" t="n">
        <f aca="false">LEN(IF(F21&lt;&gt;"",F21,D21))</f>
        <v>90</v>
      </c>
      <c r="I21" s="24" t="str">
        <f aca="false">IF(OR(H21&lt;60,H21&gt;160),"분량 확인","")</f>
        <v/>
      </c>
    </row>
    <row r="22" customFormat="false" ht="75.75" hidden="false" customHeight="true" outlineLevel="0" collapsed="false">
      <c r="A22" s="13" t="s">
        <v>3284</v>
      </c>
      <c r="B22" s="14" t="s">
        <v>694</v>
      </c>
      <c r="C22" s="15" t="s">
        <v>3243</v>
      </c>
      <c r="D22" s="15" t="s">
        <v>3285</v>
      </c>
      <c r="E22" s="23" t="s">
        <v>19</v>
      </c>
      <c r="F22" s="16"/>
      <c r="G22" s="16"/>
      <c r="H22" s="19" t="n">
        <f aca="false">LEN(IF(F22&lt;&gt;"",F22,D22))</f>
        <v>87</v>
      </c>
      <c r="I22" s="24" t="str">
        <f aca="false">IF(OR(H22&lt;60,H22&gt;160),"분량 확인","")</f>
        <v/>
      </c>
    </row>
    <row r="23" customFormat="false" ht="75.75" hidden="false" customHeight="true" outlineLevel="0" collapsed="false">
      <c r="A23" s="13" t="s">
        <v>3286</v>
      </c>
      <c r="B23" s="14" t="s">
        <v>694</v>
      </c>
      <c r="C23" s="15" t="s">
        <v>3246</v>
      </c>
      <c r="D23" s="15" t="s">
        <v>3287</v>
      </c>
      <c r="E23" s="23" t="s">
        <v>19</v>
      </c>
      <c r="F23" s="16"/>
      <c r="G23" s="16"/>
      <c r="H23" s="19" t="n">
        <f aca="false">LEN(IF(F23&lt;&gt;"",F23,D23))</f>
        <v>86</v>
      </c>
      <c r="I23" s="24" t="str">
        <f aca="false">IF(OR(H23&lt;60,H23&gt;160),"분량 확인","")</f>
        <v/>
      </c>
    </row>
    <row r="24" customFormat="false" ht="75.75" hidden="false" customHeight="true" outlineLevel="0" collapsed="false">
      <c r="A24" s="13" t="s">
        <v>3288</v>
      </c>
      <c r="B24" s="14" t="s">
        <v>707</v>
      </c>
      <c r="C24" s="15" t="s">
        <v>3243</v>
      </c>
      <c r="D24" s="15" t="s">
        <v>3289</v>
      </c>
      <c r="E24" s="23" t="s">
        <v>19</v>
      </c>
      <c r="F24" s="16"/>
      <c r="G24" s="16"/>
      <c r="H24" s="19" t="n">
        <f aca="false">LEN(IF(F24&lt;&gt;"",F24,D24))</f>
        <v>88</v>
      </c>
      <c r="I24" s="24" t="str">
        <f aca="false">IF(OR(H24&lt;60,H24&gt;160),"분량 확인","")</f>
        <v/>
      </c>
    </row>
    <row r="25" customFormat="false" ht="75.75" hidden="false" customHeight="true" outlineLevel="0" collapsed="false">
      <c r="A25" s="13" t="s">
        <v>3290</v>
      </c>
      <c r="B25" s="14" t="s">
        <v>707</v>
      </c>
      <c r="C25" s="15" t="s">
        <v>3246</v>
      </c>
      <c r="D25" s="15" t="s">
        <v>3291</v>
      </c>
      <c r="E25" s="23" t="s">
        <v>19</v>
      </c>
      <c r="F25" s="16"/>
      <c r="G25" s="16"/>
      <c r="H25" s="19" t="n">
        <f aca="false">LEN(IF(F25&lt;&gt;"",F25,D25))</f>
        <v>78</v>
      </c>
      <c r="I25" s="24" t="str">
        <f aca="false">IF(OR(H25&lt;60,H25&gt;160),"분량 확인","")</f>
        <v/>
      </c>
    </row>
    <row r="26" customFormat="false" ht="75.75" hidden="false" customHeight="true" outlineLevel="0" collapsed="false">
      <c r="A26" s="13" t="s">
        <v>3292</v>
      </c>
      <c r="B26" s="14" t="s">
        <v>32</v>
      </c>
      <c r="C26" s="15" t="s">
        <v>3243</v>
      </c>
      <c r="D26" s="15" t="s">
        <v>3293</v>
      </c>
      <c r="E26" s="23" t="s">
        <v>19</v>
      </c>
      <c r="F26" s="16"/>
      <c r="G26" s="16"/>
      <c r="H26" s="19" t="n">
        <f aca="false">LEN(IF(F26&lt;&gt;"",F26,D26))</f>
        <v>84</v>
      </c>
      <c r="I26" s="24" t="str">
        <f aca="false">IF(OR(H26&lt;60,H26&gt;160),"분량 확인","")</f>
        <v/>
      </c>
    </row>
    <row r="27" customFormat="false" ht="75.75" hidden="false" customHeight="true" outlineLevel="0" collapsed="false">
      <c r="A27" s="13" t="s">
        <v>3294</v>
      </c>
      <c r="B27" s="14" t="s">
        <v>32</v>
      </c>
      <c r="C27" s="15" t="s">
        <v>3246</v>
      </c>
      <c r="D27" s="15" t="s">
        <v>3295</v>
      </c>
      <c r="E27" s="23" t="s">
        <v>19</v>
      </c>
      <c r="F27" s="16"/>
      <c r="G27" s="16"/>
      <c r="H27" s="19" t="n">
        <f aca="false">LEN(IF(F27&lt;&gt;"",F27,D27))</f>
        <v>81</v>
      </c>
      <c r="I27" s="24" t="str">
        <f aca="false">IF(OR(H27&lt;60,H27&gt;160),"분량 확인","")</f>
        <v/>
      </c>
    </row>
    <row r="28" customFormat="false" ht="75.75" hidden="false" customHeight="true" outlineLevel="0" collapsed="false">
      <c r="A28" s="13" t="s">
        <v>3296</v>
      </c>
      <c r="B28" s="14" t="s">
        <v>732</v>
      </c>
      <c r="C28" s="15" t="s">
        <v>3243</v>
      </c>
      <c r="D28" s="15" t="s">
        <v>3297</v>
      </c>
      <c r="E28" s="23" t="s">
        <v>19</v>
      </c>
      <c r="F28" s="16"/>
      <c r="G28" s="16"/>
      <c r="H28" s="19" t="n">
        <f aca="false">LEN(IF(F28&lt;&gt;"",F28,D28))</f>
        <v>94</v>
      </c>
      <c r="I28" s="24" t="str">
        <f aca="false">IF(OR(H28&lt;60,H28&gt;160),"분량 확인","")</f>
        <v/>
      </c>
    </row>
    <row r="29" customFormat="false" ht="75.75" hidden="false" customHeight="true" outlineLevel="0" collapsed="false">
      <c r="A29" s="13" t="s">
        <v>3298</v>
      </c>
      <c r="B29" s="14" t="s">
        <v>732</v>
      </c>
      <c r="C29" s="15" t="s">
        <v>3246</v>
      </c>
      <c r="D29" s="15" t="s">
        <v>3299</v>
      </c>
      <c r="E29" s="23" t="s">
        <v>19</v>
      </c>
      <c r="F29" s="16"/>
      <c r="G29" s="16"/>
      <c r="H29" s="19" t="n">
        <f aca="false">LEN(IF(F29&lt;&gt;"",F29,D29))</f>
        <v>99</v>
      </c>
      <c r="I29" s="24" t="str">
        <f aca="false">IF(OR(H29&lt;60,H29&gt;160),"분량 확인","")</f>
        <v/>
      </c>
    </row>
    <row r="30" customFormat="false" ht="75.75" hidden="false" customHeight="true" outlineLevel="0" collapsed="false">
      <c r="A30" s="13" t="s">
        <v>3300</v>
      </c>
      <c r="B30" s="14" t="s">
        <v>745</v>
      </c>
      <c r="C30" s="15" t="s">
        <v>3243</v>
      </c>
      <c r="D30" s="15" t="s">
        <v>3301</v>
      </c>
      <c r="E30" s="23" t="s">
        <v>19</v>
      </c>
      <c r="F30" s="16"/>
      <c r="G30" s="16"/>
      <c r="H30" s="19" t="n">
        <f aca="false">LEN(IF(F30&lt;&gt;"",F30,D30))</f>
        <v>87</v>
      </c>
      <c r="I30" s="24" t="str">
        <f aca="false">IF(OR(H30&lt;60,H30&gt;160),"분량 확인","")</f>
        <v/>
      </c>
    </row>
    <row r="31" customFormat="false" ht="75.75" hidden="false" customHeight="true" outlineLevel="0" collapsed="false">
      <c r="A31" s="13" t="s">
        <v>3302</v>
      </c>
      <c r="B31" s="14" t="s">
        <v>745</v>
      </c>
      <c r="C31" s="15" t="s">
        <v>3246</v>
      </c>
      <c r="D31" s="15" t="s">
        <v>3303</v>
      </c>
      <c r="E31" s="23" t="s">
        <v>19</v>
      </c>
      <c r="F31" s="16"/>
      <c r="G31" s="16"/>
      <c r="H31" s="19" t="n">
        <f aca="false">LEN(IF(F31&lt;&gt;"",F31,D31))</f>
        <v>80</v>
      </c>
      <c r="I31" s="24" t="str">
        <f aca="false">IF(OR(H31&lt;60,H31&gt;160),"분량 확인","")</f>
        <v/>
      </c>
    </row>
    <row r="32" customFormat="false" ht="75.75" hidden="false" customHeight="true" outlineLevel="0" collapsed="false">
      <c r="A32" s="13" t="s">
        <v>3304</v>
      </c>
      <c r="B32" s="14" t="s">
        <v>758</v>
      </c>
      <c r="C32" s="15" t="s">
        <v>3243</v>
      </c>
      <c r="D32" s="15" t="s">
        <v>3305</v>
      </c>
      <c r="E32" s="23" t="s">
        <v>19</v>
      </c>
      <c r="F32" s="16"/>
      <c r="G32" s="16"/>
      <c r="H32" s="19" t="n">
        <f aca="false">LEN(IF(F32&lt;&gt;"",F32,D32))</f>
        <v>90</v>
      </c>
      <c r="I32" s="24" t="str">
        <f aca="false">IF(OR(H32&lt;60,H32&gt;160),"분량 확인","")</f>
        <v/>
      </c>
    </row>
    <row r="33" customFormat="false" ht="75.75" hidden="false" customHeight="true" outlineLevel="0" collapsed="false">
      <c r="A33" s="13" t="s">
        <v>3306</v>
      </c>
      <c r="B33" s="14" t="s">
        <v>758</v>
      </c>
      <c r="C33" s="15" t="s">
        <v>3246</v>
      </c>
      <c r="D33" s="15" t="s">
        <v>3307</v>
      </c>
      <c r="E33" s="23" t="s">
        <v>19</v>
      </c>
      <c r="F33" s="16"/>
      <c r="G33" s="16"/>
      <c r="H33" s="19" t="n">
        <f aca="false">LEN(IF(F33&lt;&gt;"",F33,D33))</f>
        <v>93</v>
      </c>
      <c r="I33" s="24" t="str">
        <f aca="false">IF(OR(H33&lt;60,H33&gt;160),"분량 확인","")</f>
        <v/>
      </c>
    </row>
    <row r="34" customFormat="false" ht="75.75" hidden="false" customHeight="true" outlineLevel="0" collapsed="false">
      <c r="A34" s="13" t="s">
        <v>3308</v>
      </c>
      <c r="B34" s="14" t="s">
        <v>771</v>
      </c>
      <c r="C34" s="15" t="s">
        <v>3243</v>
      </c>
      <c r="D34" s="15" t="s">
        <v>3309</v>
      </c>
      <c r="E34" s="23" t="s">
        <v>19</v>
      </c>
      <c r="F34" s="16"/>
      <c r="G34" s="16"/>
      <c r="H34" s="19" t="n">
        <f aca="false">LEN(IF(F34&lt;&gt;"",F34,D34))</f>
        <v>92</v>
      </c>
      <c r="I34" s="24" t="str">
        <f aca="false">IF(OR(H34&lt;60,H34&gt;160),"분량 확인","")</f>
        <v/>
      </c>
    </row>
    <row r="35" customFormat="false" ht="75.75" hidden="false" customHeight="true" outlineLevel="0" collapsed="false">
      <c r="A35" s="13" t="s">
        <v>3310</v>
      </c>
      <c r="B35" s="14" t="s">
        <v>771</v>
      </c>
      <c r="C35" s="15" t="s">
        <v>3246</v>
      </c>
      <c r="D35" s="15" t="s">
        <v>3311</v>
      </c>
      <c r="E35" s="23" t="s">
        <v>19</v>
      </c>
      <c r="F35" s="16"/>
      <c r="G35" s="16"/>
      <c r="H35" s="19" t="n">
        <f aca="false">LEN(IF(F35&lt;&gt;"",F35,D35))</f>
        <v>82</v>
      </c>
      <c r="I35" s="24" t="str">
        <f aca="false">IF(OR(H35&lt;60,H35&gt;160),"분량 확인","")</f>
        <v/>
      </c>
    </row>
    <row r="36" customFormat="false" ht="75.75" hidden="false" customHeight="true" outlineLevel="0" collapsed="false">
      <c r="A36" s="13" t="s">
        <v>3312</v>
      </c>
      <c r="B36" s="14" t="s">
        <v>784</v>
      </c>
      <c r="C36" s="15" t="s">
        <v>3243</v>
      </c>
      <c r="D36" s="15" t="s">
        <v>3313</v>
      </c>
      <c r="E36" s="23" t="s">
        <v>19</v>
      </c>
      <c r="F36" s="16"/>
      <c r="G36" s="16"/>
      <c r="H36" s="19" t="n">
        <f aca="false">LEN(IF(F36&lt;&gt;"",F36,D36))</f>
        <v>92</v>
      </c>
      <c r="I36" s="24" t="str">
        <f aca="false">IF(OR(H36&lt;60,H36&gt;160),"분량 확인","")</f>
        <v/>
      </c>
    </row>
    <row r="37" customFormat="false" ht="75.75" hidden="false" customHeight="true" outlineLevel="0" collapsed="false">
      <c r="A37" s="13" t="s">
        <v>3314</v>
      </c>
      <c r="B37" s="14" t="s">
        <v>784</v>
      </c>
      <c r="C37" s="15" t="s">
        <v>3246</v>
      </c>
      <c r="D37" s="15" t="s">
        <v>3315</v>
      </c>
      <c r="E37" s="23" t="s">
        <v>19</v>
      </c>
      <c r="F37" s="16"/>
      <c r="G37" s="16"/>
      <c r="H37" s="19" t="n">
        <f aca="false">LEN(IF(F37&lt;&gt;"",F37,D37))</f>
        <v>83</v>
      </c>
      <c r="I37" s="24" t="str">
        <f aca="false">IF(OR(H37&lt;60,H37&gt;160),"분량 확인","")</f>
        <v/>
      </c>
    </row>
    <row r="38" customFormat="false" ht="75.75" hidden="false" customHeight="true" outlineLevel="0" collapsed="false">
      <c r="A38" s="13" t="s">
        <v>3316</v>
      </c>
      <c r="B38" s="14" t="s">
        <v>797</v>
      </c>
      <c r="C38" s="15" t="s">
        <v>3243</v>
      </c>
      <c r="D38" s="15" t="s">
        <v>3317</v>
      </c>
      <c r="E38" s="23" t="s">
        <v>19</v>
      </c>
      <c r="F38" s="16"/>
      <c r="G38" s="16"/>
      <c r="H38" s="19" t="n">
        <f aca="false">LEN(IF(F38&lt;&gt;"",F38,D38))</f>
        <v>91</v>
      </c>
      <c r="I38" s="24" t="str">
        <f aca="false">IF(OR(H38&lt;60,H38&gt;160),"분량 확인","")</f>
        <v/>
      </c>
    </row>
    <row r="39" customFormat="false" ht="75.75" hidden="false" customHeight="true" outlineLevel="0" collapsed="false">
      <c r="A39" s="13" t="s">
        <v>3318</v>
      </c>
      <c r="B39" s="14" t="s">
        <v>797</v>
      </c>
      <c r="C39" s="15" t="s">
        <v>3246</v>
      </c>
      <c r="D39" s="15" t="s">
        <v>3319</v>
      </c>
      <c r="E39" s="23" t="s">
        <v>19</v>
      </c>
      <c r="F39" s="16"/>
      <c r="G39" s="16"/>
      <c r="H39" s="19" t="n">
        <f aca="false">LEN(IF(F39&lt;&gt;"",F39,D39))</f>
        <v>93</v>
      </c>
      <c r="I39" s="24" t="str">
        <f aca="false">IF(OR(H39&lt;60,H39&gt;160),"분량 확인","")</f>
        <v/>
      </c>
    </row>
    <row r="40" customFormat="false" ht="75.75" hidden="false" customHeight="true" outlineLevel="0" collapsed="false">
      <c r="A40" s="13" t="s">
        <v>3320</v>
      </c>
      <c r="B40" s="14" t="s">
        <v>810</v>
      </c>
      <c r="C40" s="15" t="s">
        <v>3243</v>
      </c>
      <c r="D40" s="15" t="s">
        <v>3321</v>
      </c>
      <c r="E40" s="23" t="s">
        <v>19</v>
      </c>
      <c r="F40" s="16"/>
      <c r="G40" s="16"/>
      <c r="H40" s="19" t="n">
        <f aca="false">LEN(IF(F40&lt;&gt;"",F40,D40))</f>
        <v>84</v>
      </c>
      <c r="I40" s="24" t="str">
        <f aca="false">IF(OR(H40&lt;60,H40&gt;160),"분량 확인","")</f>
        <v/>
      </c>
    </row>
    <row r="41" customFormat="false" ht="75.75" hidden="false" customHeight="true" outlineLevel="0" collapsed="false">
      <c r="A41" s="13" t="s">
        <v>3322</v>
      </c>
      <c r="B41" s="14" t="s">
        <v>810</v>
      </c>
      <c r="C41" s="15" t="s">
        <v>3246</v>
      </c>
      <c r="D41" s="15" t="s">
        <v>3323</v>
      </c>
      <c r="E41" s="23" t="s">
        <v>19</v>
      </c>
      <c r="F41" s="16"/>
      <c r="G41" s="16"/>
      <c r="H41" s="19" t="n">
        <f aca="false">LEN(IF(F41&lt;&gt;"",F41,D41))</f>
        <v>82</v>
      </c>
      <c r="I41" s="24" t="str">
        <f aca="false">IF(OR(H41&lt;60,H41&gt;160),"분량 확인","")</f>
        <v/>
      </c>
    </row>
    <row r="42" customFormat="false" ht="75.75" hidden="false" customHeight="true" outlineLevel="0" collapsed="false">
      <c r="A42" s="13" t="s">
        <v>3324</v>
      </c>
      <c r="B42" s="14" t="s">
        <v>823</v>
      </c>
      <c r="C42" s="15" t="s">
        <v>3243</v>
      </c>
      <c r="D42" s="15" t="s">
        <v>3325</v>
      </c>
      <c r="E42" s="23" t="s">
        <v>19</v>
      </c>
      <c r="F42" s="16"/>
      <c r="G42" s="16"/>
      <c r="H42" s="19" t="n">
        <f aca="false">LEN(IF(F42&lt;&gt;"",F42,D42))</f>
        <v>99</v>
      </c>
      <c r="I42" s="24" t="str">
        <f aca="false">IF(OR(H42&lt;60,H42&gt;160),"분량 확인","")</f>
        <v/>
      </c>
    </row>
    <row r="43" customFormat="false" ht="75.75" hidden="false" customHeight="true" outlineLevel="0" collapsed="false">
      <c r="A43" s="13" t="s">
        <v>3326</v>
      </c>
      <c r="B43" s="14" t="s">
        <v>823</v>
      </c>
      <c r="C43" s="15" t="s">
        <v>3246</v>
      </c>
      <c r="D43" s="15" t="s">
        <v>3327</v>
      </c>
      <c r="E43" s="23" t="s">
        <v>19</v>
      </c>
      <c r="F43" s="16"/>
      <c r="G43" s="16"/>
      <c r="H43" s="19" t="n">
        <f aca="false">LEN(IF(F43&lt;&gt;"",F43,D43))</f>
        <v>85</v>
      </c>
      <c r="I43" s="24" t="str">
        <f aca="false">IF(OR(H43&lt;60,H43&gt;160),"분량 확인","")</f>
        <v/>
      </c>
    </row>
    <row r="44" customFormat="false" ht="75.75" hidden="false" customHeight="true" outlineLevel="0" collapsed="false">
      <c r="A44" s="13" t="s">
        <v>3328</v>
      </c>
      <c r="B44" s="14" t="s">
        <v>836</v>
      </c>
      <c r="C44" s="15" t="s">
        <v>3243</v>
      </c>
      <c r="D44" s="15" t="s">
        <v>3329</v>
      </c>
      <c r="E44" s="23" t="s">
        <v>19</v>
      </c>
      <c r="F44" s="16"/>
      <c r="G44" s="16"/>
      <c r="H44" s="19" t="n">
        <f aca="false">LEN(IF(F44&lt;&gt;"",F44,D44))</f>
        <v>91</v>
      </c>
      <c r="I44" s="24" t="str">
        <f aca="false">IF(OR(H44&lt;60,H44&gt;160),"분량 확인","")</f>
        <v/>
      </c>
    </row>
    <row r="45" customFormat="false" ht="75.75" hidden="false" customHeight="true" outlineLevel="0" collapsed="false">
      <c r="A45" s="13" t="s">
        <v>3330</v>
      </c>
      <c r="B45" s="14" t="s">
        <v>836</v>
      </c>
      <c r="C45" s="15" t="s">
        <v>3246</v>
      </c>
      <c r="D45" s="15" t="s">
        <v>3331</v>
      </c>
      <c r="E45" s="23" t="s">
        <v>19</v>
      </c>
      <c r="F45" s="16"/>
      <c r="G45" s="16"/>
      <c r="H45" s="19" t="n">
        <f aca="false">LEN(IF(F45&lt;&gt;"",F45,D45))</f>
        <v>96</v>
      </c>
      <c r="I45" s="24" t="str">
        <f aca="false">IF(OR(H45&lt;60,H45&gt;160),"분량 확인","")</f>
        <v/>
      </c>
    </row>
  </sheetData>
  <autoFilter ref="A1:I45"/>
  <conditionalFormatting sqref="E2:E45">
    <cfRule type="cellIs" priority="2" operator="equal" aboveAverage="0" equalAverage="0" bottom="0" percent="0" rank="0" text="" dxfId="5">
      <formula>"확정"</formula>
    </cfRule>
    <cfRule type="cellIs" priority="3" operator="equal" aboveAverage="0" equalAverage="0" bottom="0" percent="0" rank="0" text="" dxfId="6">
      <formula>"수정요청"</formula>
    </cfRule>
    <cfRule type="cellIs" priority="4" operator="equal" aboveAverage="0" equalAverage="0" bottom="0" percent="0" rank="0" text="" dxfId="7">
      <formula>"검수중"</formula>
    </cfRule>
    <cfRule type="cellIs" priority="5" operator="equal" aboveAverage="0" equalAverage="0" bottom="0" percent="0" rank="0" text="" dxfId="8">
      <formula>"삭제"</formula>
    </cfRule>
  </conditionalFormatting>
  <conditionalFormatting sqref="I2:I45">
    <cfRule type="expression" priority="6" aboveAverage="0" equalAverage="0" bottom="0" percent="0" rank="0" text="" dxfId="9">
      <formula>I2="분량 확인"</formula>
    </cfRule>
  </conditionalFormatting>
  <dataValidations count="1">
    <dataValidation allowBlank="false" error="초안 · 검수중 · 수정요청 · 확정 · 삭제 중에서 골라 주세요." errorStyle="stop" errorTitle="상태" operator="between" showDropDown="false" showErrorMessage="false" showInputMessage="false" sqref="E2:E45" type="list">
      <formula1>"초안,검수중,수정요청,확정,삭제"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12F53"/>
    <pageSetUpPr fitToPage="false"/>
  </sheetPr>
  <dimension ref="A1:I133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2"/>
    <col collapsed="false" customWidth="true" hidden="false" outlineLevel="0" max="3" min="3" style="0" width="26"/>
    <col collapsed="false" customWidth="true" hidden="false" outlineLevel="0" max="4" min="4" style="0" width="62"/>
    <col collapsed="false" customWidth="true" hidden="false" outlineLevel="0" max="5" min="5" style="0" width="10"/>
    <col collapsed="false" customWidth="true" hidden="false" outlineLevel="0" max="6" min="6" style="0" width="56"/>
    <col collapsed="false" customWidth="true" hidden="false" outlineLevel="0" max="7" min="7" style="0" width="30"/>
    <col collapsed="false" customWidth="true" hidden="false" outlineLevel="0" max="8" min="8" style="0" width="9"/>
    <col collapsed="false" customWidth="true" hidden="false" outlineLevel="0" max="9" min="9" style="0" width="10"/>
  </cols>
  <sheetData>
    <row r="1" customFormat="false" ht="30" hidden="false" customHeight="true" outlineLevel="0" collapsed="false">
      <c r="A1" s="11" t="s">
        <v>554</v>
      </c>
      <c r="B1" s="12" t="s">
        <v>25</v>
      </c>
      <c r="C1" s="12" t="s">
        <v>26</v>
      </c>
      <c r="D1" s="12" t="s">
        <v>27</v>
      </c>
      <c r="E1" s="12" t="s">
        <v>28</v>
      </c>
      <c r="F1" s="12" t="s">
        <v>29</v>
      </c>
      <c r="G1" s="12" t="s">
        <v>30</v>
      </c>
      <c r="H1" s="12" t="s">
        <v>555</v>
      </c>
      <c r="I1" s="12" t="s">
        <v>556</v>
      </c>
    </row>
    <row r="2" customFormat="false" ht="61.5" hidden="false" customHeight="true" outlineLevel="0" collapsed="false">
      <c r="A2" s="13" t="s">
        <v>3332</v>
      </c>
      <c r="B2" s="14" t="s">
        <v>558</v>
      </c>
      <c r="C2" s="15" t="s">
        <v>3333</v>
      </c>
      <c r="D2" s="15" t="s">
        <v>3334</v>
      </c>
      <c r="E2" s="23" t="s">
        <v>19</v>
      </c>
      <c r="F2" s="16"/>
      <c r="G2" s="16"/>
      <c r="H2" s="19" t="n">
        <f aca="false">LEN(IF(F2&lt;&gt;"",F2,D2))</f>
        <v>42</v>
      </c>
      <c r="I2" s="24" t="str">
        <f aca="false">IF(OR(H2&lt;20,H2&gt;80),"분량 확인","")</f>
        <v/>
      </c>
    </row>
    <row r="3" customFormat="false" ht="61.5" hidden="false" customHeight="true" outlineLevel="0" collapsed="false">
      <c r="A3" s="13" t="s">
        <v>3335</v>
      </c>
      <c r="B3" s="14" t="s">
        <v>558</v>
      </c>
      <c r="C3" s="15" t="s">
        <v>3336</v>
      </c>
      <c r="D3" s="15" t="s">
        <v>3337</v>
      </c>
      <c r="E3" s="23" t="s">
        <v>19</v>
      </c>
      <c r="F3" s="16"/>
      <c r="G3" s="16"/>
      <c r="H3" s="19" t="n">
        <f aca="false">LEN(IF(F3&lt;&gt;"",F3,D3))</f>
        <v>42</v>
      </c>
      <c r="I3" s="24" t="str">
        <f aca="false">IF(OR(H3&lt;20,H3&gt;80),"분량 확인","")</f>
        <v/>
      </c>
    </row>
    <row r="4" customFormat="false" ht="61.5" hidden="false" customHeight="true" outlineLevel="0" collapsed="false">
      <c r="A4" s="13" t="s">
        <v>3338</v>
      </c>
      <c r="B4" s="14" t="s">
        <v>558</v>
      </c>
      <c r="C4" s="15" t="s">
        <v>3339</v>
      </c>
      <c r="D4" s="15" t="s">
        <v>3340</v>
      </c>
      <c r="E4" s="23" t="s">
        <v>19</v>
      </c>
      <c r="F4" s="16"/>
      <c r="G4" s="16"/>
      <c r="H4" s="19" t="n">
        <f aca="false">LEN(IF(F4&lt;&gt;"",F4,D4))</f>
        <v>36</v>
      </c>
      <c r="I4" s="24" t="str">
        <f aca="false">IF(OR(H4&lt;20,H4&gt;80),"분량 확인","")</f>
        <v/>
      </c>
    </row>
    <row r="5" customFormat="false" ht="61.5" hidden="false" customHeight="true" outlineLevel="0" collapsed="false">
      <c r="A5" s="13" t="s">
        <v>3341</v>
      </c>
      <c r="B5" s="14" t="s">
        <v>558</v>
      </c>
      <c r="C5" s="15" t="s">
        <v>3342</v>
      </c>
      <c r="D5" s="15" t="s">
        <v>3343</v>
      </c>
      <c r="E5" s="23" t="s">
        <v>19</v>
      </c>
      <c r="F5" s="16"/>
      <c r="G5" s="16"/>
      <c r="H5" s="19" t="n">
        <f aca="false">LEN(IF(F5&lt;&gt;"",F5,D5))</f>
        <v>37</v>
      </c>
      <c r="I5" s="24" t="str">
        <f aca="false">IF(OR(H5&lt;20,H5&gt;80),"분량 확인","")</f>
        <v/>
      </c>
    </row>
    <row r="6" customFormat="false" ht="61.5" hidden="false" customHeight="true" outlineLevel="0" collapsed="false">
      <c r="A6" s="13" t="s">
        <v>3344</v>
      </c>
      <c r="B6" s="14" t="s">
        <v>558</v>
      </c>
      <c r="C6" s="15" t="s">
        <v>3345</v>
      </c>
      <c r="D6" s="15" t="s">
        <v>3346</v>
      </c>
      <c r="E6" s="23" t="s">
        <v>19</v>
      </c>
      <c r="F6" s="16"/>
      <c r="G6" s="16"/>
      <c r="H6" s="19" t="n">
        <f aca="false">LEN(IF(F6&lt;&gt;"",F6,D6))</f>
        <v>41</v>
      </c>
      <c r="I6" s="24" t="str">
        <f aca="false">IF(OR(H6&lt;20,H6&gt;80),"분량 확인","")</f>
        <v/>
      </c>
    </row>
    <row r="7" customFormat="false" ht="61.5" hidden="false" customHeight="true" outlineLevel="0" collapsed="false">
      <c r="A7" s="13" t="s">
        <v>3347</v>
      </c>
      <c r="B7" s="14" t="s">
        <v>558</v>
      </c>
      <c r="C7" s="15" t="s">
        <v>3348</v>
      </c>
      <c r="D7" s="15" t="s">
        <v>3349</v>
      </c>
      <c r="E7" s="23" t="s">
        <v>19</v>
      </c>
      <c r="F7" s="16"/>
      <c r="G7" s="16"/>
      <c r="H7" s="19" t="n">
        <f aca="false">LEN(IF(F7&lt;&gt;"",F7,D7))</f>
        <v>46</v>
      </c>
      <c r="I7" s="24" t="str">
        <f aca="false">IF(OR(H7&lt;20,H7&gt;80),"분량 확인","")</f>
        <v/>
      </c>
    </row>
    <row r="8" customFormat="false" ht="61.5" hidden="false" customHeight="true" outlineLevel="0" collapsed="false">
      <c r="A8" s="13" t="s">
        <v>3350</v>
      </c>
      <c r="B8" s="14" t="s">
        <v>577</v>
      </c>
      <c r="C8" s="15" t="s">
        <v>3333</v>
      </c>
      <c r="D8" s="15" t="s">
        <v>3351</v>
      </c>
      <c r="E8" s="23" t="s">
        <v>19</v>
      </c>
      <c r="F8" s="16"/>
      <c r="G8" s="16"/>
      <c r="H8" s="19" t="n">
        <f aca="false">LEN(IF(F8&lt;&gt;"",F8,D8))</f>
        <v>39</v>
      </c>
      <c r="I8" s="24" t="str">
        <f aca="false">IF(OR(H8&lt;20,H8&gt;80),"분량 확인","")</f>
        <v/>
      </c>
    </row>
    <row r="9" customFormat="false" ht="61.5" hidden="false" customHeight="true" outlineLevel="0" collapsed="false">
      <c r="A9" s="13" t="s">
        <v>3352</v>
      </c>
      <c r="B9" s="14" t="s">
        <v>577</v>
      </c>
      <c r="C9" s="15" t="s">
        <v>3336</v>
      </c>
      <c r="D9" s="15" t="s">
        <v>3353</v>
      </c>
      <c r="E9" s="23" t="s">
        <v>19</v>
      </c>
      <c r="F9" s="16"/>
      <c r="G9" s="16"/>
      <c r="H9" s="19" t="n">
        <f aca="false">LEN(IF(F9&lt;&gt;"",F9,D9))</f>
        <v>40</v>
      </c>
      <c r="I9" s="24" t="str">
        <f aca="false">IF(OR(H9&lt;20,H9&gt;80),"분량 확인","")</f>
        <v/>
      </c>
    </row>
    <row r="10" customFormat="false" ht="61.5" hidden="false" customHeight="true" outlineLevel="0" collapsed="false">
      <c r="A10" s="13" t="s">
        <v>3354</v>
      </c>
      <c r="B10" s="14" t="s">
        <v>577</v>
      </c>
      <c r="C10" s="15" t="s">
        <v>3339</v>
      </c>
      <c r="D10" s="15" t="s">
        <v>3355</v>
      </c>
      <c r="E10" s="23" t="s">
        <v>19</v>
      </c>
      <c r="F10" s="16"/>
      <c r="G10" s="16"/>
      <c r="H10" s="19" t="n">
        <f aca="false">LEN(IF(F10&lt;&gt;"",F10,D10))</f>
        <v>33</v>
      </c>
      <c r="I10" s="24" t="str">
        <f aca="false">IF(OR(H10&lt;20,H10&gt;80),"분량 확인","")</f>
        <v/>
      </c>
    </row>
    <row r="11" customFormat="false" ht="61.5" hidden="false" customHeight="true" outlineLevel="0" collapsed="false">
      <c r="A11" s="13" t="s">
        <v>3356</v>
      </c>
      <c r="B11" s="14" t="s">
        <v>577</v>
      </c>
      <c r="C11" s="15" t="s">
        <v>3342</v>
      </c>
      <c r="D11" s="15" t="s">
        <v>3357</v>
      </c>
      <c r="E11" s="23" t="s">
        <v>19</v>
      </c>
      <c r="F11" s="16"/>
      <c r="G11" s="16"/>
      <c r="H11" s="19" t="n">
        <f aca="false">LEN(IF(F11&lt;&gt;"",F11,D11))</f>
        <v>39</v>
      </c>
      <c r="I11" s="24" t="str">
        <f aca="false">IF(OR(H11&lt;20,H11&gt;80),"분량 확인","")</f>
        <v/>
      </c>
    </row>
    <row r="12" customFormat="false" ht="61.5" hidden="false" customHeight="true" outlineLevel="0" collapsed="false">
      <c r="A12" s="13" t="s">
        <v>3358</v>
      </c>
      <c r="B12" s="14" t="s">
        <v>577</v>
      </c>
      <c r="C12" s="15" t="s">
        <v>3345</v>
      </c>
      <c r="D12" s="15" t="s">
        <v>3359</v>
      </c>
      <c r="E12" s="23" t="s">
        <v>19</v>
      </c>
      <c r="F12" s="16"/>
      <c r="G12" s="16"/>
      <c r="H12" s="19" t="n">
        <f aca="false">LEN(IF(F12&lt;&gt;"",F12,D12))</f>
        <v>38</v>
      </c>
      <c r="I12" s="24" t="str">
        <f aca="false">IF(OR(H12&lt;20,H12&gt;80),"분량 확인","")</f>
        <v/>
      </c>
    </row>
    <row r="13" customFormat="false" ht="61.5" hidden="false" customHeight="true" outlineLevel="0" collapsed="false">
      <c r="A13" s="13" t="s">
        <v>3360</v>
      </c>
      <c r="B13" s="14" t="s">
        <v>577</v>
      </c>
      <c r="C13" s="15" t="s">
        <v>3348</v>
      </c>
      <c r="D13" s="15" t="s">
        <v>3361</v>
      </c>
      <c r="E13" s="23" t="s">
        <v>19</v>
      </c>
      <c r="F13" s="16"/>
      <c r="G13" s="16"/>
      <c r="H13" s="19" t="n">
        <f aca="false">LEN(IF(F13&lt;&gt;"",F13,D13))</f>
        <v>44</v>
      </c>
      <c r="I13" s="24" t="str">
        <f aca="false">IF(OR(H13&lt;20,H13&gt;80),"분량 확인","")</f>
        <v/>
      </c>
    </row>
    <row r="14" customFormat="false" ht="61.5" hidden="false" customHeight="true" outlineLevel="0" collapsed="false">
      <c r="A14" s="13" t="s">
        <v>3362</v>
      </c>
      <c r="B14" s="14" t="s">
        <v>590</v>
      </c>
      <c r="C14" s="15" t="s">
        <v>3333</v>
      </c>
      <c r="D14" s="15" t="s">
        <v>3363</v>
      </c>
      <c r="E14" s="23" t="s">
        <v>19</v>
      </c>
      <c r="F14" s="16"/>
      <c r="G14" s="16"/>
      <c r="H14" s="19" t="n">
        <f aca="false">LEN(IF(F14&lt;&gt;"",F14,D14))</f>
        <v>40</v>
      </c>
      <c r="I14" s="24" t="str">
        <f aca="false">IF(OR(H14&lt;20,H14&gt;80),"분량 확인","")</f>
        <v/>
      </c>
    </row>
    <row r="15" customFormat="false" ht="61.5" hidden="false" customHeight="true" outlineLevel="0" collapsed="false">
      <c r="A15" s="13" t="s">
        <v>3364</v>
      </c>
      <c r="B15" s="14" t="s">
        <v>590</v>
      </c>
      <c r="C15" s="15" t="s">
        <v>3336</v>
      </c>
      <c r="D15" s="15" t="s">
        <v>3365</v>
      </c>
      <c r="E15" s="23" t="s">
        <v>19</v>
      </c>
      <c r="F15" s="16"/>
      <c r="G15" s="16"/>
      <c r="H15" s="19" t="n">
        <f aca="false">LEN(IF(F15&lt;&gt;"",F15,D15))</f>
        <v>35</v>
      </c>
      <c r="I15" s="24" t="str">
        <f aca="false">IF(OR(H15&lt;20,H15&gt;80),"분량 확인","")</f>
        <v/>
      </c>
    </row>
    <row r="16" customFormat="false" ht="61.5" hidden="false" customHeight="true" outlineLevel="0" collapsed="false">
      <c r="A16" s="13" t="s">
        <v>3366</v>
      </c>
      <c r="B16" s="14" t="s">
        <v>590</v>
      </c>
      <c r="C16" s="15" t="s">
        <v>3339</v>
      </c>
      <c r="D16" s="15" t="s">
        <v>3367</v>
      </c>
      <c r="E16" s="23" t="s">
        <v>19</v>
      </c>
      <c r="F16" s="16"/>
      <c r="G16" s="16"/>
      <c r="H16" s="19" t="n">
        <f aca="false">LEN(IF(F16&lt;&gt;"",F16,D16))</f>
        <v>41</v>
      </c>
      <c r="I16" s="24" t="str">
        <f aca="false">IF(OR(H16&lt;20,H16&gt;80),"분량 확인","")</f>
        <v/>
      </c>
    </row>
    <row r="17" customFormat="false" ht="61.5" hidden="false" customHeight="true" outlineLevel="0" collapsed="false">
      <c r="A17" s="13" t="s">
        <v>3368</v>
      </c>
      <c r="B17" s="14" t="s">
        <v>590</v>
      </c>
      <c r="C17" s="15" t="s">
        <v>3342</v>
      </c>
      <c r="D17" s="15" t="s">
        <v>3369</v>
      </c>
      <c r="E17" s="23" t="s">
        <v>19</v>
      </c>
      <c r="F17" s="16"/>
      <c r="G17" s="16"/>
      <c r="H17" s="19" t="n">
        <f aca="false">LEN(IF(F17&lt;&gt;"",F17,D17))</f>
        <v>34</v>
      </c>
      <c r="I17" s="24" t="str">
        <f aca="false">IF(OR(H17&lt;20,H17&gt;80),"분량 확인","")</f>
        <v/>
      </c>
    </row>
    <row r="18" customFormat="false" ht="61.5" hidden="false" customHeight="true" outlineLevel="0" collapsed="false">
      <c r="A18" s="13" t="s">
        <v>3370</v>
      </c>
      <c r="B18" s="14" t="s">
        <v>590</v>
      </c>
      <c r="C18" s="15" t="s">
        <v>3345</v>
      </c>
      <c r="D18" s="15" t="s">
        <v>3371</v>
      </c>
      <c r="E18" s="23" t="s">
        <v>19</v>
      </c>
      <c r="F18" s="16"/>
      <c r="G18" s="16"/>
      <c r="H18" s="19" t="n">
        <f aca="false">LEN(IF(F18&lt;&gt;"",F18,D18))</f>
        <v>37</v>
      </c>
      <c r="I18" s="24" t="str">
        <f aca="false">IF(OR(H18&lt;20,H18&gt;80),"분량 확인","")</f>
        <v/>
      </c>
    </row>
    <row r="19" customFormat="false" ht="61.5" hidden="false" customHeight="true" outlineLevel="0" collapsed="false">
      <c r="A19" s="13" t="s">
        <v>3372</v>
      </c>
      <c r="B19" s="14" t="s">
        <v>590</v>
      </c>
      <c r="C19" s="15" t="s">
        <v>3348</v>
      </c>
      <c r="D19" s="15" t="s">
        <v>3373</v>
      </c>
      <c r="E19" s="23" t="s">
        <v>19</v>
      </c>
      <c r="F19" s="16"/>
      <c r="G19" s="16"/>
      <c r="H19" s="19" t="n">
        <f aca="false">LEN(IF(F19&lt;&gt;"",F19,D19))</f>
        <v>36</v>
      </c>
      <c r="I19" s="24" t="str">
        <f aca="false">IF(OR(H19&lt;20,H19&gt;80),"분량 확인","")</f>
        <v/>
      </c>
    </row>
    <row r="20" customFormat="false" ht="61.5" hidden="false" customHeight="true" outlineLevel="0" collapsed="false">
      <c r="A20" s="13" t="s">
        <v>3374</v>
      </c>
      <c r="B20" s="14" t="s">
        <v>603</v>
      </c>
      <c r="C20" s="15" t="s">
        <v>3333</v>
      </c>
      <c r="D20" s="15" t="s">
        <v>3375</v>
      </c>
      <c r="E20" s="23" t="s">
        <v>19</v>
      </c>
      <c r="F20" s="16"/>
      <c r="G20" s="16"/>
      <c r="H20" s="19" t="n">
        <f aca="false">LEN(IF(F20&lt;&gt;"",F20,D20))</f>
        <v>36</v>
      </c>
      <c r="I20" s="24" t="str">
        <f aca="false">IF(OR(H20&lt;20,H20&gt;80),"분량 확인","")</f>
        <v/>
      </c>
    </row>
    <row r="21" customFormat="false" ht="61.5" hidden="false" customHeight="true" outlineLevel="0" collapsed="false">
      <c r="A21" s="13" t="s">
        <v>3376</v>
      </c>
      <c r="B21" s="14" t="s">
        <v>603</v>
      </c>
      <c r="C21" s="15" t="s">
        <v>3336</v>
      </c>
      <c r="D21" s="15" t="s">
        <v>3377</v>
      </c>
      <c r="E21" s="23" t="s">
        <v>19</v>
      </c>
      <c r="F21" s="16"/>
      <c r="G21" s="16"/>
      <c r="H21" s="19" t="n">
        <f aca="false">LEN(IF(F21&lt;&gt;"",F21,D21))</f>
        <v>38</v>
      </c>
      <c r="I21" s="24" t="str">
        <f aca="false">IF(OR(H21&lt;20,H21&gt;80),"분량 확인","")</f>
        <v/>
      </c>
    </row>
    <row r="22" customFormat="false" ht="61.5" hidden="false" customHeight="true" outlineLevel="0" collapsed="false">
      <c r="A22" s="13" t="s">
        <v>3378</v>
      </c>
      <c r="B22" s="14" t="s">
        <v>603</v>
      </c>
      <c r="C22" s="15" t="s">
        <v>3339</v>
      </c>
      <c r="D22" s="15" t="s">
        <v>3379</v>
      </c>
      <c r="E22" s="23" t="s">
        <v>19</v>
      </c>
      <c r="F22" s="16"/>
      <c r="G22" s="16"/>
      <c r="H22" s="19" t="n">
        <f aca="false">LEN(IF(F22&lt;&gt;"",F22,D22))</f>
        <v>32</v>
      </c>
      <c r="I22" s="24" t="str">
        <f aca="false">IF(OR(H22&lt;20,H22&gt;80),"분량 확인","")</f>
        <v/>
      </c>
    </row>
    <row r="23" customFormat="false" ht="61.5" hidden="false" customHeight="true" outlineLevel="0" collapsed="false">
      <c r="A23" s="13" t="s">
        <v>3380</v>
      </c>
      <c r="B23" s="14" t="s">
        <v>603</v>
      </c>
      <c r="C23" s="15" t="s">
        <v>3342</v>
      </c>
      <c r="D23" s="15" t="s">
        <v>3381</v>
      </c>
      <c r="E23" s="23" t="s">
        <v>19</v>
      </c>
      <c r="F23" s="16"/>
      <c r="G23" s="16"/>
      <c r="H23" s="19" t="n">
        <f aca="false">LEN(IF(F23&lt;&gt;"",F23,D23))</f>
        <v>38</v>
      </c>
      <c r="I23" s="24" t="str">
        <f aca="false">IF(OR(H23&lt;20,H23&gt;80),"분량 확인","")</f>
        <v/>
      </c>
    </row>
    <row r="24" customFormat="false" ht="61.5" hidden="false" customHeight="true" outlineLevel="0" collapsed="false">
      <c r="A24" s="13" t="s">
        <v>3382</v>
      </c>
      <c r="B24" s="14" t="s">
        <v>603</v>
      </c>
      <c r="C24" s="15" t="s">
        <v>3345</v>
      </c>
      <c r="D24" s="15" t="s">
        <v>3383</v>
      </c>
      <c r="E24" s="23" t="s">
        <v>19</v>
      </c>
      <c r="F24" s="16"/>
      <c r="G24" s="16"/>
      <c r="H24" s="19" t="n">
        <f aca="false">LEN(IF(F24&lt;&gt;"",F24,D24))</f>
        <v>36</v>
      </c>
      <c r="I24" s="24" t="str">
        <f aca="false">IF(OR(H24&lt;20,H24&gt;80),"분량 확인","")</f>
        <v/>
      </c>
    </row>
    <row r="25" customFormat="false" ht="61.5" hidden="false" customHeight="true" outlineLevel="0" collapsed="false">
      <c r="A25" s="13" t="s">
        <v>3384</v>
      </c>
      <c r="B25" s="14" t="s">
        <v>603</v>
      </c>
      <c r="C25" s="15" t="s">
        <v>3348</v>
      </c>
      <c r="D25" s="15" t="s">
        <v>3385</v>
      </c>
      <c r="E25" s="23" t="s">
        <v>19</v>
      </c>
      <c r="F25" s="16"/>
      <c r="G25" s="16"/>
      <c r="H25" s="19" t="n">
        <f aca="false">LEN(IF(F25&lt;&gt;"",F25,D25))</f>
        <v>33</v>
      </c>
      <c r="I25" s="24" t="str">
        <f aca="false">IF(OR(H25&lt;20,H25&gt;80),"분량 확인","")</f>
        <v/>
      </c>
    </row>
    <row r="26" customFormat="false" ht="61.5" hidden="false" customHeight="true" outlineLevel="0" collapsed="false">
      <c r="A26" s="13" t="s">
        <v>3386</v>
      </c>
      <c r="B26" s="14" t="s">
        <v>616</v>
      </c>
      <c r="C26" s="15" t="s">
        <v>3333</v>
      </c>
      <c r="D26" s="15" t="s">
        <v>3387</v>
      </c>
      <c r="E26" s="23" t="s">
        <v>19</v>
      </c>
      <c r="F26" s="16"/>
      <c r="G26" s="16"/>
      <c r="H26" s="19" t="n">
        <f aca="false">LEN(IF(F26&lt;&gt;"",F26,D26))</f>
        <v>34</v>
      </c>
      <c r="I26" s="24" t="str">
        <f aca="false">IF(OR(H26&lt;20,H26&gt;80),"분량 확인","")</f>
        <v/>
      </c>
    </row>
    <row r="27" customFormat="false" ht="61.5" hidden="false" customHeight="true" outlineLevel="0" collapsed="false">
      <c r="A27" s="13" t="s">
        <v>3388</v>
      </c>
      <c r="B27" s="14" t="s">
        <v>616</v>
      </c>
      <c r="C27" s="15" t="s">
        <v>3336</v>
      </c>
      <c r="D27" s="15" t="s">
        <v>3389</v>
      </c>
      <c r="E27" s="23" t="s">
        <v>19</v>
      </c>
      <c r="F27" s="16"/>
      <c r="G27" s="16"/>
      <c r="H27" s="19" t="n">
        <f aca="false">LEN(IF(F27&lt;&gt;"",F27,D27))</f>
        <v>33</v>
      </c>
      <c r="I27" s="24" t="str">
        <f aca="false">IF(OR(H27&lt;20,H27&gt;80),"분량 확인","")</f>
        <v/>
      </c>
    </row>
    <row r="28" customFormat="false" ht="61.5" hidden="false" customHeight="true" outlineLevel="0" collapsed="false">
      <c r="A28" s="13" t="s">
        <v>3390</v>
      </c>
      <c r="B28" s="14" t="s">
        <v>616</v>
      </c>
      <c r="C28" s="15" t="s">
        <v>3339</v>
      </c>
      <c r="D28" s="15" t="s">
        <v>3391</v>
      </c>
      <c r="E28" s="23" t="s">
        <v>19</v>
      </c>
      <c r="F28" s="16"/>
      <c r="G28" s="16"/>
      <c r="H28" s="19" t="n">
        <f aca="false">LEN(IF(F28&lt;&gt;"",F28,D28))</f>
        <v>44</v>
      </c>
      <c r="I28" s="24" t="str">
        <f aca="false">IF(OR(H28&lt;20,H28&gt;80),"분량 확인","")</f>
        <v/>
      </c>
    </row>
    <row r="29" customFormat="false" ht="61.5" hidden="false" customHeight="true" outlineLevel="0" collapsed="false">
      <c r="A29" s="13" t="s">
        <v>3392</v>
      </c>
      <c r="B29" s="14" t="s">
        <v>616</v>
      </c>
      <c r="C29" s="15" t="s">
        <v>3342</v>
      </c>
      <c r="D29" s="15" t="s">
        <v>3393</v>
      </c>
      <c r="E29" s="23" t="s">
        <v>19</v>
      </c>
      <c r="F29" s="16"/>
      <c r="G29" s="16"/>
      <c r="H29" s="19" t="n">
        <f aca="false">LEN(IF(F29&lt;&gt;"",F29,D29))</f>
        <v>34</v>
      </c>
      <c r="I29" s="24" t="str">
        <f aca="false">IF(OR(H29&lt;20,H29&gt;80),"분량 확인","")</f>
        <v/>
      </c>
    </row>
    <row r="30" customFormat="false" ht="61.5" hidden="false" customHeight="true" outlineLevel="0" collapsed="false">
      <c r="A30" s="13" t="s">
        <v>3394</v>
      </c>
      <c r="B30" s="14" t="s">
        <v>616</v>
      </c>
      <c r="C30" s="15" t="s">
        <v>3345</v>
      </c>
      <c r="D30" s="15" t="s">
        <v>3395</v>
      </c>
      <c r="E30" s="23" t="s">
        <v>19</v>
      </c>
      <c r="F30" s="16"/>
      <c r="G30" s="16"/>
      <c r="H30" s="19" t="n">
        <f aca="false">LEN(IF(F30&lt;&gt;"",F30,D30))</f>
        <v>36</v>
      </c>
      <c r="I30" s="24" t="str">
        <f aca="false">IF(OR(H30&lt;20,H30&gt;80),"분량 확인","")</f>
        <v/>
      </c>
    </row>
    <row r="31" customFormat="false" ht="61.5" hidden="false" customHeight="true" outlineLevel="0" collapsed="false">
      <c r="A31" s="13" t="s">
        <v>3396</v>
      </c>
      <c r="B31" s="14" t="s">
        <v>616</v>
      </c>
      <c r="C31" s="15" t="s">
        <v>3348</v>
      </c>
      <c r="D31" s="15" t="s">
        <v>3397</v>
      </c>
      <c r="E31" s="23" t="s">
        <v>19</v>
      </c>
      <c r="F31" s="16"/>
      <c r="G31" s="16"/>
      <c r="H31" s="19" t="n">
        <f aca="false">LEN(IF(F31&lt;&gt;"",F31,D31))</f>
        <v>32</v>
      </c>
      <c r="I31" s="24" t="str">
        <f aca="false">IF(OR(H31&lt;20,H31&gt;80),"분량 확인","")</f>
        <v/>
      </c>
    </row>
    <row r="32" customFormat="false" ht="61.5" hidden="false" customHeight="true" outlineLevel="0" collapsed="false">
      <c r="A32" s="13" t="s">
        <v>3398</v>
      </c>
      <c r="B32" s="14" t="s">
        <v>629</v>
      </c>
      <c r="C32" s="15" t="s">
        <v>3333</v>
      </c>
      <c r="D32" s="15" t="s">
        <v>3399</v>
      </c>
      <c r="E32" s="23" t="s">
        <v>19</v>
      </c>
      <c r="F32" s="16"/>
      <c r="G32" s="16"/>
      <c r="H32" s="19" t="n">
        <f aca="false">LEN(IF(F32&lt;&gt;"",F32,D32))</f>
        <v>44</v>
      </c>
      <c r="I32" s="24" t="str">
        <f aca="false">IF(OR(H32&lt;20,H32&gt;80),"분량 확인","")</f>
        <v/>
      </c>
    </row>
    <row r="33" customFormat="false" ht="61.5" hidden="false" customHeight="true" outlineLevel="0" collapsed="false">
      <c r="A33" s="13" t="s">
        <v>3400</v>
      </c>
      <c r="B33" s="14" t="s">
        <v>629</v>
      </c>
      <c r="C33" s="15" t="s">
        <v>3336</v>
      </c>
      <c r="D33" s="15" t="s">
        <v>3401</v>
      </c>
      <c r="E33" s="23" t="s">
        <v>19</v>
      </c>
      <c r="F33" s="16"/>
      <c r="G33" s="16"/>
      <c r="H33" s="19" t="n">
        <f aca="false">LEN(IF(F33&lt;&gt;"",F33,D33))</f>
        <v>41</v>
      </c>
      <c r="I33" s="24" t="str">
        <f aca="false">IF(OR(H33&lt;20,H33&gt;80),"분량 확인","")</f>
        <v/>
      </c>
    </row>
    <row r="34" customFormat="false" ht="61.5" hidden="false" customHeight="true" outlineLevel="0" collapsed="false">
      <c r="A34" s="13" t="s">
        <v>3402</v>
      </c>
      <c r="B34" s="14" t="s">
        <v>629</v>
      </c>
      <c r="C34" s="15" t="s">
        <v>3339</v>
      </c>
      <c r="D34" s="15" t="s">
        <v>3403</v>
      </c>
      <c r="E34" s="23" t="s">
        <v>19</v>
      </c>
      <c r="F34" s="16"/>
      <c r="G34" s="16"/>
      <c r="H34" s="19" t="n">
        <f aca="false">LEN(IF(F34&lt;&gt;"",F34,D34))</f>
        <v>38</v>
      </c>
      <c r="I34" s="24" t="str">
        <f aca="false">IF(OR(H34&lt;20,H34&gt;80),"분량 확인","")</f>
        <v/>
      </c>
    </row>
    <row r="35" customFormat="false" ht="61.5" hidden="false" customHeight="true" outlineLevel="0" collapsed="false">
      <c r="A35" s="13" t="s">
        <v>3404</v>
      </c>
      <c r="B35" s="14" t="s">
        <v>629</v>
      </c>
      <c r="C35" s="15" t="s">
        <v>3342</v>
      </c>
      <c r="D35" s="15" t="s">
        <v>3405</v>
      </c>
      <c r="E35" s="23" t="s">
        <v>19</v>
      </c>
      <c r="F35" s="16"/>
      <c r="G35" s="16"/>
      <c r="H35" s="19" t="n">
        <f aca="false">LEN(IF(F35&lt;&gt;"",F35,D35))</f>
        <v>37</v>
      </c>
      <c r="I35" s="24" t="str">
        <f aca="false">IF(OR(H35&lt;20,H35&gt;80),"분량 확인","")</f>
        <v/>
      </c>
    </row>
    <row r="36" customFormat="false" ht="61.5" hidden="false" customHeight="true" outlineLevel="0" collapsed="false">
      <c r="A36" s="13" t="s">
        <v>3406</v>
      </c>
      <c r="B36" s="14" t="s">
        <v>629</v>
      </c>
      <c r="C36" s="15" t="s">
        <v>3345</v>
      </c>
      <c r="D36" s="15" t="s">
        <v>3407</v>
      </c>
      <c r="E36" s="23" t="s">
        <v>19</v>
      </c>
      <c r="F36" s="16"/>
      <c r="G36" s="16"/>
      <c r="H36" s="19" t="n">
        <f aca="false">LEN(IF(F36&lt;&gt;"",F36,D36))</f>
        <v>44</v>
      </c>
      <c r="I36" s="24" t="str">
        <f aca="false">IF(OR(H36&lt;20,H36&gt;80),"분량 확인","")</f>
        <v/>
      </c>
    </row>
    <row r="37" customFormat="false" ht="61.5" hidden="false" customHeight="true" outlineLevel="0" collapsed="false">
      <c r="A37" s="13" t="s">
        <v>3408</v>
      </c>
      <c r="B37" s="14" t="s">
        <v>629</v>
      </c>
      <c r="C37" s="15" t="s">
        <v>3348</v>
      </c>
      <c r="D37" s="15" t="s">
        <v>3409</v>
      </c>
      <c r="E37" s="23" t="s">
        <v>19</v>
      </c>
      <c r="F37" s="16"/>
      <c r="G37" s="16"/>
      <c r="H37" s="19" t="n">
        <f aca="false">LEN(IF(F37&lt;&gt;"",F37,D37))</f>
        <v>39</v>
      </c>
      <c r="I37" s="24" t="str">
        <f aca="false">IF(OR(H37&lt;20,H37&gt;80),"분량 확인","")</f>
        <v/>
      </c>
    </row>
    <row r="38" customFormat="false" ht="61.5" hidden="false" customHeight="true" outlineLevel="0" collapsed="false">
      <c r="A38" s="13" t="s">
        <v>3410</v>
      </c>
      <c r="B38" s="14" t="s">
        <v>642</v>
      </c>
      <c r="C38" s="15" t="s">
        <v>3333</v>
      </c>
      <c r="D38" s="15" t="s">
        <v>3411</v>
      </c>
      <c r="E38" s="23" t="s">
        <v>19</v>
      </c>
      <c r="F38" s="16"/>
      <c r="G38" s="16"/>
      <c r="H38" s="19" t="n">
        <f aca="false">LEN(IF(F38&lt;&gt;"",F38,D38))</f>
        <v>36</v>
      </c>
      <c r="I38" s="24" t="str">
        <f aca="false">IF(OR(H38&lt;20,H38&gt;80),"분량 확인","")</f>
        <v/>
      </c>
    </row>
    <row r="39" customFormat="false" ht="61.5" hidden="false" customHeight="true" outlineLevel="0" collapsed="false">
      <c r="A39" s="13" t="s">
        <v>3412</v>
      </c>
      <c r="B39" s="14" t="s">
        <v>642</v>
      </c>
      <c r="C39" s="15" t="s">
        <v>3336</v>
      </c>
      <c r="D39" s="15" t="s">
        <v>3413</v>
      </c>
      <c r="E39" s="23" t="s">
        <v>19</v>
      </c>
      <c r="F39" s="16"/>
      <c r="G39" s="16"/>
      <c r="H39" s="19" t="n">
        <f aca="false">LEN(IF(F39&lt;&gt;"",F39,D39))</f>
        <v>40</v>
      </c>
      <c r="I39" s="24" t="str">
        <f aca="false">IF(OR(H39&lt;20,H39&gt;80),"분량 확인","")</f>
        <v/>
      </c>
    </row>
    <row r="40" customFormat="false" ht="61.5" hidden="false" customHeight="true" outlineLevel="0" collapsed="false">
      <c r="A40" s="13" t="s">
        <v>3414</v>
      </c>
      <c r="B40" s="14" t="s">
        <v>642</v>
      </c>
      <c r="C40" s="15" t="s">
        <v>3339</v>
      </c>
      <c r="D40" s="15" t="s">
        <v>3415</v>
      </c>
      <c r="E40" s="23" t="s">
        <v>19</v>
      </c>
      <c r="F40" s="16"/>
      <c r="G40" s="16"/>
      <c r="H40" s="19" t="n">
        <f aca="false">LEN(IF(F40&lt;&gt;"",F40,D40))</f>
        <v>36</v>
      </c>
      <c r="I40" s="24" t="str">
        <f aca="false">IF(OR(H40&lt;20,H40&gt;80),"분량 확인","")</f>
        <v/>
      </c>
    </row>
    <row r="41" customFormat="false" ht="61.5" hidden="false" customHeight="true" outlineLevel="0" collapsed="false">
      <c r="A41" s="13" t="s">
        <v>3416</v>
      </c>
      <c r="B41" s="14" t="s">
        <v>642</v>
      </c>
      <c r="C41" s="15" t="s">
        <v>3342</v>
      </c>
      <c r="D41" s="15" t="s">
        <v>3417</v>
      </c>
      <c r="E41" s="23" t="s">
        <v>19</v>
      </c>
      <c r="F41" s="16"/>
      <c r="G41" s="16"/>
      <c r="H41" s="19" t="n">
        <f aca="false">LEN(IF(F41&lt;&gt;"",F41,D41))</f>
        <v>33</v>
      </c>
      <c r="I41" s="24" t="str">
        <f aca="false">IF(OR(H41&lt;20,H41&gt;80),"분량 확인","")</f>
        <v/>
      </c>
    </row>
    <row r="42" customFormat="false" ht="61.5" hidden="false" customHeight="true" outlineLevel="0" collapsed="false">
      <c r="A42" s="13" t="s">
        <v>3418</v>
      </c>
      <c r="B42" s="14" t="s">
        <v>642</v>
      </c>
      <c r="C42" s="15" t="s">
        <v>3345</v>
      </c>
      <c r="D42" s="14" t="s">
        <v>3419</v>
      </c>
      <c r="E42" s="23" t="s">
        <v>19</v>
      </c>
      <c r="F42" s="16"/>
      <c r="G42" s="16"/>
      <c r="H42" s="19" t="n">
        <f aca="false">LEN(IF(F42&lt;&gt;"",F42,D42))</f>
        <v>44</v>
      </c>
      <c r="I42" s="24" t="str">
        <f aca="false">IF(OR(H42&lt;20,H42&gt;80),"분량 확인","")</f>
        <v/>
      </c>
    </row>
    <row r="43" customFormat="false" ht="61.5" hidden="false" customHeight="true" outlineLevel="0" collapsed="false">
      <c r="A43" s="13" t="s">
        <v>3420</v>
      </c>
      <c r="B43" s="14" t="s">
        <v>642</v>
      </c>
      <c r="C43" s="15" t="s">
        <v>3348</v>
      </c>
      <c r="D43" s="15" t="s">
        <v>3421</v>
      </c>
      <c r="E43" s="23" t="s">
        <v>19</v>
      </c>
      <c r="F43" s="16"/>
      <c r="G43" s="16"/>
      <c r="H43" s="19" t="n">
        <f aca="false">LEN(IF(F43&lt;&gt;"",F43,D43))</f>
        <v>35</v>
      </c>
      <c r="I43" s="24" t="str">
        <f aca="false">IF(OR(H43&lt;20,H43&gt;80),"분량 확인","")</f>
        <v/>
      </c>
    </row>
    <row r="44" customFormat="false" ht="61.5" hidden="false" customHeight="true" outlineLevel="0" collapsed="false">
      <c r="A44" s="13" t="s">
        <v>3422</v>
      </c>
      <c r="B44" s="14" t="s">
        <v>655</v>
      </c>
      <c r="C44" s="15" t="s">
        <v>3333</v>
      </c>
      <c r="D44" s="15" t="s">
        <v>3423</v>
      </c>
      <c r="E44" s="23" t="s">
        <v>19</v>
      </c>
      <c r="F44" s="16"/>
      <c r="G44" s="16"/>
      <c r="H44" s="19" t="n">
        <f aca="false">LEN(IF(F44&lt;&gt;"",F44,D44))</f>
        <v>33</v>
      </c>
      <c r="I44" s="24" t="str">
        <f aca="false">IF(OR(H44&lt;20,H44&gt;80),"분량 확인","")</f>
        <v/>
      </c>
    </row>
    <row r="45" customFormat="false" ht="61.5" hidden="false" customHeight="true" outlineLevel="0" collapsed="false">
      <c r="A45" s="13" t="s">
        <v>3424</v>
      </c>
      <c r="B45" s="14" t="s">
        <v>655</v>
      </c>
      <c r="C45" s="15" t="s">
        <v>3336</v>
      </c>
      <c r="D45" s="15" t="s">
        <v>3425</v>
      </c>
      <c r="E45" s="23" t="s">
        <v>19</v>
      </c>
      <c r="F45" s="16"/>
      <c r="G45" s="16"/>
      <c r="H45" s="19" t="n">
        <f aca="false">LEN(IF(F45&lt;&gt;"",F45,D45))</f>
        <v>36</v>
      </c>
      <c r="I45" s="24" t="str">
        <f aca="false">IF(OR(H45&lt;20,H45&gt;80),"분량 확인","")</f>
        <v/>
      </c>
    </row>
    <row r="46" customFormat="false" ht="61.5" hidden="false" customHeight="true" outlineLevel="0" collapsed="false">
      <c r="A46" s="13" t="s">
        <v>3426</v>
      </c>
      <c r="B46" s="14" t="s">
        <v>655</v>
      </c>
      <c r="C46" s="15" t="s">
        <v>3339</v>
      </c>
      <c r="D46" s="15" t="s">
        <v>3427</v>
      </c>
      <c r="E46" s="23" t="s">
        <v>19</v>
      </c>
      <c r="F46" s="16"/>
      <c r="G46" s="16"/>
      <c r="H46" s="19" t="n">
        <f aca="false">LEN(IF(F46&lt;&gt;"",F46,D46))</f>
        <v>36</v>
      </c>
      <c r="I46" s="24" t="str">
        <f aca="false">IF(OR(H46&lt;20,H46&gt;80),"분량 확인","")</f>
        <v/>
      </c>
    </row>
    <row r="47" customFormat="false" ht="61.5" hidden="false" customHeight="true" outlineLevel="0" collapsed="false">
      <c r="A47" s="13" t="s">
        <v>3428</v>
      </c>
      <c r="B47" s="14" t="s">
        <v>655</v>
      </c>
      <c r="C47" s="15" t="s">
        <v>3342</v>
      </c>
      <c r="D47" s="15" t="s">
        <v>3429</v>
      </c>
      <c r="E47" s="23" t="s">
        <v>19</v>
      </c>
      <c r="F47" s="16"/>
      <c r="G47" s="16"/>
      <c r="H47" s="19" t="n">
        <f aca="false">LEN(IF(F47&lt;&gt;"",F47,D47))</f>
        <v>41</v>
      </c>
      <c r="I47" s="24" t="str">
        <f aca="false">IF(OR(H47&lt;20,H47&gt;80),"분량 확인","")</f>
        <v/>
      </c>
    </row>
    <row r="48" customFormat="false" ht="61.5" hidden="false" customHeight="true" outlineLevel="0" collapsed="false">
      <c r="A48" s="13" t="s">
        <v>3430</v>
      </c>
      <c r="B48" s="14" t="s">
        <v>655</v>
      </c>
      <c r="C48" s="15" t="s">
        <v>3345</v>
      </c>
      <c r="D48" s="15" t="s">
        <v>3431</v>
      </c>
      <c r="E48" s="23" t="s">
        <v>19</v>
      </c>
      <c r="F48" s="16"/>
      <c r="G48" s="16"/>
      <c r="H48" s="19" t="n">
        <f aca="false">LEN(IF(F48&lt;&gt;"",F48,D48))</f>
        <v>36</v>
      </c>
      <c r="I48" s="24" t="str">
        <f aca="false">IF(OR(H48&lt;20,H48&gt;80),"분량 확인","")</f>
        <v/>
      </c>
    </row>
    <row r="49" customFormat="false" ht="61.5" hidden="false" customHeight="true" outlineLevel="0" collapsed="false">
      <c r="A49" s="13" t="s">
        <v>3432</v>
      </c>
      <c r="B49" s="14" t="s">
        <v>655</v>
      </c>
      <c r="C49" s="15" t="s">
        <v>3348</v>
      </c>
      <c r="D49" s="15" t="s">
        <v>3433</v>
      </c>
      <c r="E49" s="23" t="s">
        <v>19</v>
      </c>
      <c r="F49" s="16"/>
      <c r="G49" s="16"/>
      <c r="H49" s="19" t="n">
        <f aca="false">LEN(IF(F49&lt;&gt;"",F49,D49))</f>
        <v>37</v>
      </c>
      <c r="I49" s="24" t="str">
        <f aca="false">IF(OR(H49&lt;20,H49&gt;80),"분량 확인","")</f>
        <v/>
      </c>
    </row>
    <row r="50" customFormat="false" ht="61.5" hidden="false" customHeight="true" outlineLevel="0" collapsed="false">
      <c r="A50" s="13" t="s">
        <v>3434</v>
      </c>
      <c r="B50" s="14" t="s">
        <v>668</v>
      </c>
      <c r="C50" s="15" t="s">
        <v>3333</v>
      </c>
      <c r="D50" s="15" t="s">
        <v>3435</v>
      </c>
      <c r="E50" s="23" t="s">
        <v>19</v>
      </c>
      <c r="F50" s="16"/>
      <c r="G50" s="16"/>
      <c r="H50" s="19" t="n">
        <f aca="false">LEN(IF(F50&lt;&gt;"",F50,D50))</f>
        <v>35</v>
      </c>
      <c r="I50" s="24" t="str">
        <f aca="false">IF(OR(H50&lt;20,H50&gt;80),"분량 확인","")</f>
        <v/>
      </c>
    </row>
    <row r="51" customFormat="false" ht="61.5" hidden="false" customHeight="true" outlineLevel="0" collapsed="false">
      <c r="A51" s="13" t="s">
        <v>3436</v>
      </c>
      <c r="B51" s="14" t="s">
        <v>668</v>
      </c>
      <c r="C51" s="15" t="s">
        <v>3336</v>
      </c>
      <c r="D51" s="15" t="s">
        <v>3437</v>
      </c>
      <c r="E51" s="23" t="s">
        <v>19</v>
      </c>
      <c r="F51" s="16"/>
      <c r="G51" s="16"/>
      <c r="H51" s="19" t="n">
        <f aca="false">LEN(IF(F51&lt;&gt;"",F51,D51))</f>
        <v>33</v>
      </c>
      <c r="I51" s="24" t="str">
        <f aca="false">IF(OR(H51&lt;20,H51&gt;80),"분량 확인","")</f>
        <v/>
      </c>
    </row>
    <row r="52" customFormat="false" ht="61.5" hidden="false" customHeight="true" outlineLevel="0" collapsed="false">
      <c r="A52" s="13" t="s">
        <v>3438</v>
      </c>
      <c r="B52" s="14" t="s">
        <v>668</v>
      </c>
      <c r="C52" s="15" t="s">
        <v>3339</v>
      </c>
      <c r="D52" s="15" t="s">
        <v>3439</v>
      </c>
      <c r="E52" s="23" t="s">
        <v>19</v>
      </c>
      <c r="F52" s="16"/>
      <c r="G52" s="16"/>
      <c r="H52" s="19" t="n">
        <f aca="false">LEN(IF(F52&lt;&gt;"",F52,D52))</f>
        <v>35</v>
      </c>
      <c r="I52" s="24" t="str">
        <f aca="false">IF(OR(H52&lt;20,H52&gt;80),"분량 확인","")</f>
        <v/>
      </c>
    </row>
    <row r="53" customFormat="false" ht="61.5" hidden="false" customHeight="true" outlineLevel="0" collapsed="false">
      <c r="A53" s="13" t="s">
        <v>3440</v>
      </c>
      <c r="B53" s="14" t="s">
        <v>668</v>
      </c>
      <c r="C53" s="15" t="s">
        <v>3342</v>
      </c>
      <c r="D53" s="15" t="s">
        <v>3441</v>
      </c>
      <c r="E53" s="23" t="s">
        <v>19</v>
      </c>
      <c r="F53" s="16"/>
      <c r="G53" s="16"/>
      <c r="H53" s="19" t="n">
        <f aca="false">LEN(IF(F53&lt;&gt;"",F53,D53))</f>
        <v>39</v>
      </c>
      <c r="I53" s="24" t="str">
        <f aca="false">IF(OR(H53&lt;20,H53&gt;80),"분량 확인","")</f>
        <v/>
      </c>
    </row>
    <row r="54" customFormat="false" ht="61.5" hidden="false" customHeight="true" outlineLevel="0" collapsed="false">
      <c r="A54" s="13" t="s">
        <v>3442</v>
      </c>
      <c r="B54" s="14" t="s">
        <v>668</v>
      </c>
      <c r="C54" s="15" t="s">
        <v>3345</v>
      </c>
      <c r="D54" s="15" t="s">
        <v>3443</v>
      </c>
      <c r="E54" s="23" t="s">
        <v>19</v>
      </c>
      <c r="F54" s="16"/>
      <c r="G54" s="16"/>
      <c r="H54" s="19" t="n">
        <f aca="false">LEN(IF(F54&lt;&gt;"",F54,D54))</f>
        <v>34</v>
      </c>
      <c r="I54" s="24" t="str">
        <f aca="false">IF(OR(H54&lt;20,H54&gt;80),"분량 확인","")</f>
        <v/>
      </c>
    </row>
    <row r="55" customFormat="false" ht="61.5" hidden="false" customHeight="true" outlineLevel="0" collapsed="false">
      <c r="A55" s="13" t="s">
        <v>3444</v>
      </c>
      <c r="B55" s="14" t="s">
        <v>668</v>
      </c>
      <c r="C55" s="15" t="s">
        <v>3348</v>
      </c>
      <c r="D55" s="15" t="s">
        <v>3445</v>
      </c>
      <c r="E55" s="23" t="s">
        <v>19</v>
      </c>
      <c r="F55" s="16"/>
      <c r="G55" s="16"/>
      <c r="H55" s="19" t="n">
        <f aca="false">LEN(IF(F55&lt;&gt;"",F55,D55))</f>
        <v>34</v>
      </c>
      <c r="I55" s="24" t="str">
        <f aca="false">IF(OR(H55&lt;20,H55&gt;80),"분량 확인","")</f>
        <v/>
      </c>
    </row>
    <row r="56" customFormat="false" ht="61.5" hidden="false" customHeight="true" outlineLevel="0" collapsed="false">
      <c r="A56" s="13" t="s">
        <v>3446</v>
      </c>
      <c r="B56" s="14" t="s">
        <v>681</v>
      </c>
      <c r="C56" s="15" t="s">
        <v>3333</v>
      </c>
      <c r="D56" s="15" t="s">
        <v>3447</v>
      </c>
      <c r="E56" s="23" t="s">
        <v>19</v>
      </c>
      <c r="F56" s="16"/>
      <c r="G56" s="16"/>
      <c r="H56" s="19" t="n">
        <f aca="false">LEN(IF(F56&lt;&gt;"",F56,D56))</f>
        <v>39</v>
      </c>
      <c r="I56" s="24" t="str">
        <f aca="false">IF(OR(H56&lt;20,H56&gt;80),"분량 확인","")</f>
        <v/>
      </c>
    </row>
    <row r="57" customFormat="false" ht="61.5" hidden="false" customHeight="true" outlineLevel="0" collapsed="false">
      <c r="A57" s="13" t="s">
        <v>3448</v>
      </c>
      <c r="B57" s="14" t="s">
        <v>681</v>
      </c>
      <c r="C57" s="15" t="s">
        <v>3336</v>
      </c>
      <c r="D57" s="15" t="s">
        <v>3449</v>
      </c>
      <c r="E57" s="23" t="s">
        <v>19</v>
      </c>
      <c r="F57" s="16"/>
      <c r="G57" s="16"/>
      <c r="H57" s="19" t="n">
        <f aca="false">LEN(IF(F57&lt;&gt;"",F57,D57))</f>
        <v>38</v>
      </c>
      <c r="I57" s="24" t="str">
        <f aca="false">IF(OR(H57&lt;20,H57&gt;80),"분량 확인","")</f>
        <v/>
      </c>
    </row>
    <row r="58" customFormat="false" ht="61.5" hidden="false" customHeight="true" outlineLevel="0" collapsed="false">
      <c r="A58" s="13" t="s">
        <v>3450</v>
      </c>
      <c r="B58" s="14" t="s">
        <v>681</v>
      </c>
      <c r="C58" s="15" t="s">
        <v>3339</v>
      </c>
      <c r="D58" s="15" t="s">
        <v>3451</v>
      </c>
      <c r="E58" s="23" t="s">
        <v>19</v>
      </c>
      <c r="F58" s="16"/>
      <c r="G58" s="16"/>
      <c r="H58" s="19" t="n">
        <f aca="false">LEN(IF(F58&lt;&gt;"",F58,D58))</f>
        <v>42</v>
      </c>
      <c r="I58" s="24" t="str">
        <f aca="false">IF(OR(H58&lt;20,H58&gt;80),"분량 확인","")</f>
        <v/>
      </c>
    </row>
    <row r="59" customFormat="false" ht="61.5" hidden="false" customHeight="true" outlineLevel="0" collapsed="false">
      <c r="A59" s="13" t="s">
        <v>3452</v>
      </c>
      <c r="B59" s="14" t="s">
        <v>681</v>
      </c>
      <c r="C59" s="15" t="s">
        <v>3342</v>
      </c>
      <c r="D59" s="15" t="s">
        <v>3453</v>
      </c>
      <c r="E59" s="23" t="s">
        <v>19</v>
      </c>
      <c r="F59" s="16"/>
      <c r="G59" s="16"/>
      <c r="H59" s="19" t="n">
        <f aca="false">LEN(IF(F59&lt;&gt;"",F59,D59))</f>
        <v>42</v>
      </c>
      <c r="I59" s="24" t="str">
        <f aca="false">IF(OR(H59&lt;20,H59&gt;80),"분량 확인","")</f>
        <v/>
      </c>
    </row>
    <row r="60" customFormat="false" ht="61.5" hidden="false" customHeight="true" outlineLevel="0" collapsed="false">
      <c r="A60" s="13" t="s">
        <v>3454</v>
      </c>
      <c r="B60" s="14" t="s">
        <v>681</v>
      </c>
      <c r="C60" s="15" t="s">
        <v>3345</v>
      </c>
      <c r="D60" s="15" t="s">
        <v>3455</v>
      </c>
      <c r="E60" s="23" t="s">
        <v>19</v>
      </c>
      <c r="F60" s="16"/>
      <c r="G60" s="16"/>
      <c r="H60" s="19" t="n">
        <f aca="false">LEN(IF(F60&lt;&gt;"",F60,D60))</f>
        <v>39</v>
      </c>
      <c r="I60" s="24" t="str">
        <f aca="false">IF(OR(H60&lt;20,H60&gt;80),"분량 확인","")</f>
        <v/>
      </c>
    </row>
    <row r="61" customFormat="false" ht="61.5" hidden="false" customHeight="true" outlineLevel="0" collapsed="false">
      <c r="A61" s="13" t="s">
        <v>3456</v>
      </c>
      <c r="B61" s="14" t="s">
        <v>681</v>
      </c>
      <c r="C61" s="15" t="s">
        <v>3348</v>
      </c>
      <c r="D61" s="15" t="s">
        <v>3457</v>
      </c>
      <c r="E61" s="23" t="s">
        <v>19</v>
      </c>
      <c r="F61" s="16"/>
      <c r="G61" s="16"/>
      <c r="H61" s="19" t="n">
        <f aca="false">LEN(IF(F61&lt;&gt;"",F61,D61))</f>
        <v>35</v>
      </c>
      <c r="I61" s="24" t="str">
        <f aca="false">IF(OR(H61&lt;20,H61&gt;80),"분량 확인","")</f>
        <v/>
      </c>
    </row>
    <row r="62" customFormat="false" ht="61.5" hidden="false" customHeight="true" outlineLevel="0" collapsed="false">
      <c r="A62" s="13" t="s">
        <v>3458</v>
      </c>
      <c r="B62" s="14" t="s">
        <v>694</v>
      </c>
      <c r="C62" s="15" t="s">
        <v>3333</v>
      </c>
      <c r="D62" s="15" t="s">
        <v>3459</v>
      </c>
      <c r="E62" s="23" t="s">
        <v>19</v>
      </c>
      <c r="F62" s="16"/>
      <c r="G62" s="16"/>
      <c r="H62" s="19" t="n">
        <f aca="false">LEN(IF(F62&lt;&gt;"",F62,D62))</f>
        <v>41</v>
      </c>
      <c r="I62" s="24" t="str">
        <f aca="false">IF(OR(H62&lt;20,H62&gt;80),"분량 확인","")</f>
        <v/>
      </c>
    </row>
    <row r="63" customFormat="false" ht="61.5" hidden="false" customHeight="true" outlineLevel="0" collapsed="false">
      <c r="A63" s="13" t="s">
        <v>3460</v>
      </c>
      <c r="B63" s="14" t="s">
        <v>694</v>
      </c>
      <c r="C63" s="15" t="s">
        <v>3336</v>
      </c>
      <c r="D63" s="15" t="s">
        <v>3461</v>
      </c>
      <c r="E63" s="23" t="s">
        <v>19</v>
      </c>
      <c r="F63" s="16"/>
      <c r="G63" s="16"/>
      <c r="H63" s="19" t="n">
        <f aca="false">LEN(IF(F63&lt;&gt;"",F63,D63))</f>
        <v>35</v>
      </c>
      <c r="I63" s="24" t="str">
        <f aca="false">IF(OR(H63&lt;20,H63&gt;80),"분량 확인","")</f>
        <v/>
      </c>
    </row>
    <row r="64" customFormat="false" ht="61.5" hidden="false" customHeight="true" outlineLevel="0" collapsed="false">
      <c r="A64" s="13" t="s">
        <v>3462</v>
      </c>
      <c r="B64" s="14" t="s">
        <v>694</v>
      </c>
      <c r="C64" s="15" t="s">
        <v>3339</v>
      </c>
      <c r="D64" s="15" t="s">
        <v>3463</v>
      </c>
      <c r="E64" s="23" t="s">
        <v>19</v>
      </c>
      <c r="F64" s="16"/>
      <c r="G64" s="16"/>
      <c r="H64" s="19" t="n">
        <f aca="false">LEN(IF(F64&lt;&gt;"",F64,D64))</f>
        <v>44</v>
      </c>
      <c r="I64" s="24" t="str">
        <f aca="false">IF(OR(H64&lt;20,H64&gt;80),"분량 확인","")</f>
        <v/>
      </c>
    </row>
    <row r="65" customFormat="false" ht="61.5" hidden="false" customHeight="true" outlineLevel="0" collapsed="false">
      <c r="A65" s="13" t="s">
        <v>3464</v>
      </c>
      <c r="B65" s="14" t="s">
        <v>694</v>
      </c>
      <c r="C65" s="15" t="s">
        <v>3342</v>
      </c>
      <c r="D65" s="15" t="s">
        <v>3465</v>
      </c>
      <c r="E65" s="23" t="s">
        <v>19</v>
      </c>
      <c r="F65" s="16"/>
      <c r="G65" s="16"/>
      <c r="H65" s="19" t="n">
        <f aca="false">LEN(IF(F65&lt;&gt;"",F65,D65))</f>
        <v>40</v>
      </c>
      <c r="I65" s="24" t="str">
        <f aca="false">IF(OR(H65&lt;20,H65&gt;80),"분량 확인","")</f>
        <v/>
      </c>
    </row>
    <row r="66" customFormat="false" ht="61.5" hidden="false" customHeight="true" outlineLevel="0" collapsed="false">
      <c r="A66" s="13" t="s">
        <v>3466</v>
      </c>
      <c r="B66" s="14" t="s">
        <v>694</v>
      </c>
      <c r="C66" s="15" t="s">
        <v>3345</v>
      </c>
      <c r="D66" s="15" t="s">
        <v>3467</v>
      </c>
      <c r="E66" s="23" t="s">
        <v>19</v>
      </c>
      <c r="F66" s="16"/>
      <c r="G66" s="16"/>
      <c r="H66" s="19" t="n">
        <f aca="false">LEN(IF(F66&lt;&gt;"",F66,D66))</f>
        <v>36</v>
      </c>
      <c r="I66" s="24" t="str">
        <f aca="false">IF(OR(H66&lt;20,H66&gt;80),"분량 확인","")</f>
        <v/>
      </c>
    </row>
    <row r="67" customFormat="false" ht="61.5" hidden="false" customHeight="true" outlineLevel="0" collapsed="false">
      <c r="A67" s="13" t="s">
        <v>3468</v>
      </c>
      <c r="B67" s="14" t="s">
        <v>694</v>
      </c>
      <c r="C67" s="15" t="s">
        <v>3348</v>
      </c>
      <c r="D67" s="15" t="s">
        <v>3469</v>
      </c>
      <c r="E67" s="23" t="s">
        <v>19</v>
      </c>
      <c r="F67" s="16"/>
      <c r="G67" s="16"/>
      <c r="H67" s="19" t="n">
        <f aca="false">LEN(IF(F67&lt;&gt;"",F67,D67))</f>
        <v>35</v>
      </c>
      <c r="I67" s="24" t="str">
        <f aca="false">IF(OR(H67&lt;20,H67&gt;80),"분량 확인","")</f>
        <v/>
      </c>
    </row>
    <row r="68" customFormat="false" ht="61.5" hidden="false" customHeight="true" outlineLevel="0" collapsed="false">
      <c r="A68" s="13" t="s">
        <v>3470</v>
      </c>
      <c r="B68" s="14" t="s">
        <v>707</v>
      </c>
      <c r="C68" s="15" t="s">
        <v>3333</v>
      </c>
      <c r="D68" s="15" t="s">
        <v>3471</v>
      </c>
      <c r="E68" s="23" t="s">
        <v>19</v>
      </c>
      <c r="F68" s="16"/>
      <c r="G68" s="16"/>
      <c r="H68" s="19" t="n">
        <f aca="false">LEN(IF(F68&lt;&gt;"",F68,D68))</f>
        <v>43</v>
      </c>
      <c r="I68" s="24" t="str">
        <f aca="false">IF(OR(H68&lt;20,H68&gt;80),"분량 확인","")</f>
        <v/>
      </c>
    </row>
    <row r="69" customFormat="false" ht="61.5" hidden="false" customHeight="true" outlineLevel="0" collapsed="false">
      <c r="A69" s="13" t="s">
        <v>3472</v>
      </c>
      <c r="B69" s="14" t="s">
        <v>707</v>
      </c>
      <c r="C69" s="15" t="s">
        <v>3336</v>
      </c>
      <c r="D69" s="15" t="s">
        <v>3473</v>
      </c>
      <c r="E69" s="23" t="s">
        <v>19</v>
      </c>
      <c r="F69" s="16"/>
      <c r="G69" s="16"/>
      <c r="H69" s="19" t="n">
        <f aca="false">LEN(IF(F69&lt;&gt;"",F69,D69))</f>
        <v>34</v>
      </c>
      <c r="I69" s="24" t="str">
        <f aca="false">IF(OR(H69&lt;20,H69&gt;80),"분량 확인","")</f>
        <v/>
      </c>
    </row>
    <row r="70" customFormat="false" ht="61.5" hidden="false" customHeight="true" outlineLevel="0" collapsed="false">
      <c r="A70" s="13" t="s">
        <v>3474</v>
      </c>
      <c r="B70" s="14" t="s">
        <v>707</v>
      </c>
      <c r="C70" s="15" t="s">
        <v>3339</v>
      </c>
      <c r="D70" s="15" t="s">
        <v>3475</v>
      </c>
      <c r="E70" s="23" t="s">
        <v>19</v>
      </c>
      <c r="F70" s="16"/>
      <c r="G70" s="16"/>
      <c r="H70" s="19" t="n">
        <f aca="false">LEN(IF(F70&lt;&gt;"",F70,D70))</f>
        <v>41</v>
      </c>
      <c r="I70" s="24" t="str">
        <f aca="false">IF(OR(H70&lt;20,H70&gt;80),"분량 확인","")</f>
        <v/>
      </c>
    </row>
    <row r="71" customFormat="false" ht="61.5" hidden="false" customHeight="true" outlineLevel="0" collapsed="false">
      <c r="A71" s="13" t="s">
        <v>3476</v>
      </c>
      <c r="B71" s="14" t="s">
        <v>707</v>
      </c>
      <c r="C71" s="15" t="s">
        <v>3342</v>
      </c>
      <c r="D71" s="15" t="s">
        <v>3477</v>
      </c>
      <c r="E71" s="23" t="s">
        <v>19</v>
      </c>
      <c r="F71" s="16"/>
      <c r="G71" s="16"/>
      <c r="H71" s="19" t="n">
        <f aca="false">LEN(IF(F71&lt;&gt;"",F71,D71))</f>
        <v>42</v>
      </c>
      <c r="I71" s="24" t="str">
        <f aca="false">IF(OR(H71&lt;20,H71&gt;80),"분량 확인","")</f>
        <v/>
      </c>
    </row>
    <row r="72" customFormat="false" ht="61.5" hidden="false" customHeight="true" outlineLevel="0" collapsed="false">
      <c r="A72" s="13" t="s">
        <v>3478</v>
      </c>
      <c r="B72" s="14" t="s">
        <v>707</v>
      </c>
      <c r="C72" s="15" t="s">
        <v>3345</v>
      </c>
      <c r="D72" s="15" t="s">
        <v>3479</v>
      </c>
      <c r="E72" s="23" t="s">
        <v>19</v>
      </c>
      <c r="F72" s="16"/>
      <c r="G72" s="16"/>
      <c r="H72" s="19" t="n">
        <f aca="false">LEN(IF(F72&lt;&gt;"",F72,D72))</f>
        <v>27</v>
      </c>
      <c r="I72" s="24" t="str">
        <f aca="false">IF(OR(H72&lt;20,H72&gt;80),"분량 확인","")</f>
        <v/>
      </c>
    </row>
    <row r="73" customFormat="false" ht="61.5" hidden="false" customHeight="true" outlineLevel="0" collapsed="false">
      <c r="A73" s="13" t="s">
        <v>3480</v>
      </c>
      <c r="B73" s="14" t="s">
        <v>707</v>
      </c>
      <c r="C73" s="15" t="s">
        <v>3348</v>
      </c>
      <c r="D73" s="15" t="s">
        <v>3481</v>
      </c>
      <c r="E73" s="23" t="s">
        <v>19</v>
      </c>
      <c r="F73" s="16"/>
      <c r="G73" s="16"/>
      <c r="H73" s="19" t="n">
        <f aca="false">LEN(IF(F73&lt;&gt;"",F73,D73))</f>
        <v>35</v>
      </c>
      <c r="I73" s="24" t="str">
        <f aca="false">IF(OR(H73&lt;20,H73&gt;80),"분량 확인","")</f>
        <v/>
      </c>
    </row>
    <row r="74" customFormat="false" ht="61.5" hidden="false" customHeight="true" outlineLevel="0" collapsed="false">
      <c r="A74" s="13" t="s">
        <v>3482</v>
      </c>
      <c r="B74" s="14" t="s">
        <v>32</v>
      </c>
      <c r="C74" s="15" t="s">
        <v>3333</v>
      </c>
      <c r="D74" s="15" t="s">
        <v>3483</v>
      </c>
      <c r="E74" s="23" t="s">
        <v>19</v>
      </c>
      <c r="F74" s="16"/>
      <c r="G74" s="16"/>
      <c r="H74" s="19" t="n">
        <f aca="false">LEN(IF(F74&lt;&gt;"",F74,D74))</f>
        <v>33</v>
      </c>
      <c r="I74" s="24" t="str">
        <f aca="false">IF(OR(H74&lt;20,H74&gt;80),"분량 확인","")</f>
        <v/>
      </c>
    </row>
    <row r="75" customFormat="false" ht="61.5" hidden="false" customHeight="true" outlineLevel="0" collapsed="false">
      <c r="A75" s="13" t="s">
        <v>3484</v>
      </c>
      <c r="B75" s="14" t="s">
        <v>32</v>
      </c>
      <c r="C75" s="15" t="s">
        <v>3336</v>
      </c>
      <c r="D75" s="15" t="s">
        <v>3485</v>
      </c>
      <c r="E75" s="23" t="s">
        <v>19</v>
      </c>
      <c r="F75" s="16"/>
      <c r="G75" s="16"/>
      <c r="H75" s="19" t="n">
        <f aca="false">LEN(IF(F75&lt;&gt;"",F75,D75))</f>
        <v>37</v>
      </c>
      <c r="I75" s="24" t="str">
        <f aca="false">IF(OR(H75&lt;20,H75&gt;80),"분량 확인","")</f>
        <v/>
      </c>
    </row>
    <row r="76" customFormat="false" ht="61.5" hidden="false" customHeight="true" outlineLevel="0" collapsed="false">
      <c r="A76" s="13" t="s">
        <v>3486</v>
      </c>
      <c r="B76" s="14" t="s">
        <v>32</v>
      </c>
      <c r="C76" s="15" t="s">
        <v>3339</v>
      </c>
      <c r="D76" s="15" t="s">
        <v>3487</v>
      </c>
      <c r="E76" s="23" t="s">
        <v>19</v>
      </c>
      <c r="F76" s="16"/>
      <c r="G76" s="16"/>
      <c r="H76" s="19" t="n">
        <f aca="false">LEN(IF(F76&lt;&gt;"",F76,D76))</f>
        <v>39</v>
      </c>
      <c r="I76" s="24" t="str">
        <f aca="false">IF(OR(H76&lt;20,H76&gt;80),"분량 확인","")</f>
        <v/>
      </c>
    </row>
    <row r="77" customFormat="false" ht="61.5" hidden="false" customHeight="true" outlineLevel="0" collapsed="false">
      <c r="A77" s="13" t="s">
        <v>3488</v>
      </c>
      <c r="B77" s="14" t="s">
        <v>32</v>
      </c>
      <c r="C77" s="15" t="s">
        <v>3342</v>
      </c>
      <c r="D77" s="15" t="s">
        <v>3489</v>
      </c>
      <c r="E77" s="23" t="s">
        <v>19</v>
      </c>
      <c r="F77" s="16"/>
      <c r="G77" s="16"/>
      <c r="H77" s="19" t="n">
        <f aca="false">LEN(IF(F77&lt;&gt;"",F77,D77))</f>
        <v>34</v>
      </c>
      <c r="I77" s="24" t="str">
        <f aca="false">IF(OR(H77&lt;20,H77&gt;80),"분량 확인","")</f>
        <v/>
      </c>
    </row>
    <row r="78" customFormat="false" ht="61.5" hidden="false" customHeight="true" outlineLevel="0" collapsed="false">
      <c r="A78" s="13" t="s">
        <v>3490</v>
      </c>
      <c r="B78" s="14" t="s">
        <v>32</v>
      </c>
      <c r="C78" s="15" t="s">
        <v>3345</v>
      </c>
      <c r="D78" s="15" t="s">
        <v>3491</v>
      </c>
      <c r="E78" s="23" t="s">
        <v>19</v>
      </c>
      <c r="F78" s="16"/>
      <c r="G78" s="16"/>
      <c r="H78" s="19" t="n">
        <f aca="false">LEN(IF(F78&lt;&gt;"",F78,D78))</f>
        <v>33</v>
      </c>
      <c r="I78" s="24" t="str">
        <f aca="false">IF(OR(H78&lt;20,H78&gt;80),"분량 확인","")</f>
        <v/>
      </c>
    </row>
    <row r="79" customFormat="false" ht="61.5" hidden="false" customHeight="true" outlineLevel="0" collapsed="false">
      <c r="A79" s="13" t="s">
        <v>3492</v>
      </c>
      <c r="B79" s="14" t="s">
        <v>32</v>
      </c>
      <c r="C79" s="15" t="s">
        <v>3348</v>
      </c>
      <c r="D79" s="15" t="s">
        <v>3493</v>
      </c>
      <c r="E79" s="23" t="s">
        <v>19</v>
      </c>
      <c r="F79" s="16"/>
      <c r="G79" s="16"/>
      <c r="H79" s="19" t="n">
        <f aca="false">LEN(IF(F79&lt;&gt;"",F79,D79))</f>
        <v>38</v>
      </c>
      <c r="I79" s="24" t="str">
        <f aca="false">IF(OR(H79&lt;20,H79&gt;80),"분량 확인","")</f>
        <v/>
      </c>
    </row>
    <row r="80" customFormat="false" ht="61.5" hidden="false" customHeight="true" outlineLevel="0" collapsed="false">
      <c r="A80" s="13" t="s">
        <v>3494</v>
      </c>
      <c r="B80" s="14" t="s">
        <v>732</v>
      </c>
      <c r="C80" s="15" t="s">
        <v>3333</v>
      </c>
      <c r="D80" s="15" t="s">
        <v>3495</v>
      </c>
      <c r="E80" s="23" t="s">
        <v>19</v>
      </c>
      <c r="F80" s="16"/>
      <c r="G80" s="16"/>
      <c r="H80" s="19" t="n">
        <f aca="false">LEN(IF(F80&lt;&gt;"",F80,D80))</f>
        <v>40</v>
      </c>
      <c r="I80" s="24" t="str">
        <f aca="false">IF(OR(H80&lt;20,H80&gt;80),"분량 확인","")</f>
        <v/>
      </c>
    </row>
    <row r="81" customFormat="false" ht="61.5" hidden="false" customHeight="true" outlineLevel="0" collapsed="false">
      <c r="A81" s="13" t="s">
        <v>3496</v>
      </c>
      <c r="B81" s="14" t="s">
        <v>732</v>
      </c>
      <c r="C81" s="15" t="s">
        <v>3336</v>
      </c>
      <c r="D81" s="15" t="s">
        <v>3497</v>
      </c>
      <c r="E81" s="23" t="s">
        <v>19</v>
      </c>
      <c r="F81" s="16"/>
      <c r="G81" s="16"/>
      <c r="H81" s="19" t="n">
        <f aca="false">LEN(IF(F81&lt;&gt;"",F81,D81))</f>
        <v>29</v>
      </c>
      <c r="I81" s="24" t="str">
        <f aca="false">IF(OR(H81&lt;20,H81&gt;80),"분량 확인","")</f>
        <v/>
      </c>
    </row>
    <row r="82" customFormat="false" ht="61.5" hidden="false" customHeight="true" outlineLevel="0" collapsed="false">
      <c r="A82" s="13" t="s">
        <v>3498</v>
      </c>
      <c r="B82" s="14" t="s">
        <v>732</v>
      </c>
      <c r="C82" s="15" t="s">
        <v>3339</v>
      </c>
      <c r="D82" s="15" t="s">
        <v>3499</v>
      </c>
      <c r="E82" s="23" t="s">
        <v>19</v>
      </c>
      <c r="F82" s="16"/>
      <c r="G82" s="16"/>
      <c r="H82" s="19" t="n">
        <f aca="false">LEN(IF(F82&lt;&gt;"",F82,D82))</f>
        <v>33</v>
      </c>
      <c r="I82" s="24" t="str">
        <f aca="false">IF(OR(H82&lt;20,H82&gt;80),"분량 확인","")</f>
        <v/>
      </c>
    </row>
    <row r="83" customFormat="false" ht="61.5" hidden="false" customHeight="true" outlineLevel="0" collapsed="false">
      <c r="A83" s="13" t="s">
        <v>3500</v>
      </c>
      <c r="B83" s="14" t="s">
        <v>732</v>
      </c>
      <c r="C83" s="15" t="s">
        <v>3342</v>
      </c>
      <c r="D83" s="15" t="s">
        <v>3501</v>
      </c>
      <c r="E83" s="23" t="s">
        <v>19</v>
      </c>
      <c r="F83" s="16"/>
      <c r="G83" s="16"/>
      <c r="H83" s="19" t="n">
        <f aca="false">LEN(IF(F83&lt;&gt;"",F83,D83))</f>
        <v>35</v>
      </c>
      <c r="I83" s="24" t="str">
        <f aca="false">IF(OR(H83&lt;20,H83&gt;80),"분량 확인","")</f>
        <v/>
      </c>
    </row>
    <row r="84" customFormat="false" ht="61.5" hidden="false" customHeight="true" outlineLevel="0" collapsed="false">
      <c r="A84" s="13" t="s">
        <v>3502</v>
      </c>
      <c r="B84" s="14" t="s">
        <v>732</v>
      </c>
      <c r="C84" s="15" t="s">
        <v>3345</v>
      </c>
      <c r="D84" s="15" t="s">
        <v>3503</v>
      </c>
      <c r="E84" s="23" t="s">
        <v>19</v>
      </c>
      <c r="F84" s="16"/>
      <c r="G84" s="16"/>
      <c r="H84" s="19" t="n">
        <f aca="false">LEN(IF(F84&lt;&gt;"",F84,D84))</f>
        <v>35</v>
      </c>
      <c r="I84" s="24" t="str">
        <f aca="false">IF(OR(H84&lt;20,H84&gt;80),"분량 확인","")</f>
        <v/>
      </c>
    </row>
    <row r="85" customFormat="false" ht="61.5" hidden="false" customHeight="true" outlineLevel="0" collapsed="false">
      <c r="A85" s="13" t="s">
        <v>3504</v>
      </c>
      <c r="B85" s="14" t="s">
        <v>732</v>
      </c>
      <c r="C85" s="15" t="s">
        <v>3348</v>
      </c>
      <c r="D85" s="15" t="s">
        <v>3505</v>
      </c>
      <c r="E85" s="23" t="s">
        <v>19</v>
      </c>
      <c r="F85" s="16"/>
      <c r="G85" s="16"/>
      <c r="H85" s="19" t="n">
        <f aca="false">LEN(IF(F85&lt;&gt;"",F85,D85))</f>
        <v>29</v>
      </c>
      <c r="I85" s="24" t="str">
        <f aca="false">IF(OR(H85&lt;20,H85&gt;80),"분량 확인","")</f>
        <v/>
      </c>
    </row>
    <row r="86" customFormat="false" ht="61.5" hidden="false" customHeight="true" outlineLevel="0" collapsed="false">
      <c r="A86" s="13" t="s">
        <v>3506</v>
      </c>
      <c r="B86" s="14" t="s">
        <v>745</v>
      </c>
      <c r="C86" s="15" t="s">
        <v>3333</v>
      </c>
      <c r="D86" s="15" t="s">
        <v>3507</v>
      </c>
      <c r="E86" s="23" t="s">
        <v>19</v>
      </c>
      <c r="F86" s="16"/>
      <c r="G86" s="16"/>
      <c r="H86" s="19" t="n">
        <f aca="false">LEN(IF(F86&lt;&gt;"",F86,D86))</f>
        <v>39</v>
      </c>
      <c r="I86" s="24" t="str">
        <f aca="false">IF(OR(H86&lt;20,H86&gt;80),"분량 확인","")</f>
        <v/>
      </c>
    </row>
    <row r="87" customFormat="false" ht="61.5" hidden="false" customHeight="true" outlineLevel="0" collapsed="false">
      <c r="A87" s="13" t="s">
        <v>3508</v>
      </c>
      <c r="B87" s="14" t="s">
        <v>745</v>
      </c>
      <c r="C87" s="15" t="s">
        <v>3336</v>
      </c>
      <c r="D87" s="15" t="s">
        <v>3509</v>
      </c>
      <c r="E87" s="23" t="s">
        <v>19</v>
      </c>
      <c r="F87" s="16"/>
      <c r="G87" s="16"/>
      <c r="H87" s="19" t="n">
        <f aca="false">LEN(IF(F87&lt;&gt;"",F87,D87))</f>
        <v>39</v>
      </c>
      <c r="I87" s="24" t="str">
        <f aca="false">IF(OR(H87&lt;20,H87&gt;80),"분량 확인","")</f>
        <v/>
      </c>
    </row>
    <row r="88" customFormat="false" ht="61.5" hidden="false" customHeight="true" outlineLevel="0" collapsed="false">
      <c r="A88" s="13" t="s">
        <v>3510</v>
      </c>
      <c r="B88" s="14" t="s">
        <v>745</v>
      </c>
      <c r="C88" s="15" t="s">
        <v>3339</v>
      </c>
      <c r="D88" s="15" t="s">
        <v>3511</v>
      </c>
      <c r="E88" s="23" t="s">
        <v>19</v>
      </c>
      <c r="F88" s="16"/>
      <c r="G88" s="16"/>
      <c r="H88" s="19" t="n">
        <f aca="false">LEN(IF(F88&lt;&gt;"",F88,D88))</f>
        <v>42</v>
      </c>
      <c r="I88" s="24" t="str">
        <f aca="false">IF(OR(H88&lt;20,H88&gt;80),"분량 확인","")</f>
        <v/>
      </c>
    </row>
    <row r="89" customFormat="false" ht="61.5" hidden="false" customHeight="true" outlineLevel="0" collapsed="false">
      <c r="A89" s="13" t="s">
        <v>3512</v>
      </c>
      <c r="B89" s="14" t="s">
        <v>745</v>
      </c>
      <c r="C89" s="15" t="s">
        <v>3342</v>
      </c>
      <c r="D89" s="15" t="s">
        <v>3513</v>
      </c>
      <c r="E89" s="23" t="s">
        <v>19</v>
      </c>
      <c r="F89" s="16"/>
      <c r="G89" s="16"/>
      <c r="H89" s="19" t="n">
        <f aca="false">LEN(IF(F89&lt;&gt;"",F89,D89))</f>
        <v>33</v>
      </c>
      <c r="I89" s="24" t="str">
        <f aca="false">IF(OR(H89&lt;20,H89&gt;80),"분량 확인","")</f>
        <v/>
      </c>
    </row>
    <row r="90" customFormat="false" ht="61.5" hidden="false" customHeight="true" outlineLevel="0" collapsed="false">
      <c r="A90" s="13" t="s">
        <v>3514</v>
      </c>
      <c r="B90" s="14" t="s">
        <v>745</v>
      </c>
      <c r="C90" s="15" t="s">
        <v>3345</v>
      </c>
      <c r="D90" s="15" t="s">
        <v>3515</v>
      </c>
      <c r="E90" s="23" t="s">
        <v>19</v>
      </c>
      <c r="F90" s="16"/>
      <c r="G90" s="16"/>
      <c r="H90" s="19" t="n">
        <f aca="false">LEN(IF(F90&lt;&gt;"",F90,D90))</f>
        <v>36</v>
      </c>
      <c r="I90" s="24" t="str">
        <f aca="false">IF(OR(H90&lt;20,H90&gt;80),"분량 확인","")</f>
        <v/>
      </c>
    </row>
    <row r="91" customFormat="false" ht="61.5" hidden="false" customHeight="true" outlineLevel="0" collapsed="false">
      <c r="A91" s="13" t="s">
        <v>3516</v>
      </c>
      <c r="B91" s="14" t="s">
        <v>745</v>
      </c>
      <c r="C91" s="15" t="s">
        <v>3348</v>
      </c>
      <c r="D91" s="15" t="s">
        <v>3517</v>
      </c>
      <c r="E91" s="23" t="s">
        <v>19</v>
      </c>
      <c r="F91" s="16"/>
      <c r="G91" s="16"/>
      <c r="H91" s="19" t="n">
        <f aca="false">LEN(IF(F91&lt;&gt;"",F91,D91))</f>
        <v>31</v>
      </c>
      <c r="I91" s="24" t="str">
        <f aca="false">IF(OR(H91&lt;20,H91&gt;80),"분량 확인","")</f>
        <v/>
      </c>
    </row>
    <row r="92" customFormat="false" ht="61.5" hidden="false" customHeight="true" outlineLevel="0" collapsed="false">
      <c r="A92" s="13" t="s">
        <v>3518</v>
      </c>
      <c r="B92" s="14" t="s">
        <v>758</v>
      </c>
      <c r="C92" s="15" t="s">
        <v>3333</v>
      </c>
      <c r="D92" s="15" t="s">
        <v>3519</v>
      </c>
      <c r="E92" s="23" t="s">
        <v>19</v>
      </c>
      <c r="F92" s="16"/>
      <c r="G92" s="16"/>
      <c r="H92" s="19" t="n">
        <f aca="false">LEN(IF(F92&lt;&gt;"",F92,D92))</f>
        <v>34</v>
      </c>
      <c r="I92" s="24" t="str">
        <f aca="false">IF(OR(H92&lt;20,H92&gt;80),"분량 확인","")</f>
        <v/>
      </c>
    </row>
    <row r="93" customFormat="false" ht="61.5" hidden="false" customHeight="true" outlineLevel="0" collapsed="false">
      <c r="A93" s="13" t="s">
        <v>3520</v>
      </c>
      <c r="B93" s="14" t="s">
        <v>758</v>
      </c>
      <c r="C93" s="15" t="s">
        <v>3336</v>
      </c>
      <c r="D93" s="15" t="s">
        <v>3521</v>
      </c>
      <c r="E93" s="23" t="s">
        <v>19</v>
      </c>
      <c r="F93" s="16"/>
      <c r="G93" s="16"/>
      <c r="H93" s="19" t="n">
        <f aca="false">LEN(IF(F93&lt;&gt;"",F93,D93))</f>
        <v>30</v>
      </c>
      <c r="I93" s="24" t="str">
        <f aca="false">IF(OR(H93&lt;20,H93&gt;80),"분량 확인","")</f>
        <v/>
      </c>
    </row>
    <row r="94" customFormat="false" ht="61.5" hidden="false" customHeight="true" outlineLevel="0" collapsed="false">
      <c r="A94" s="13" t="s">
        <v>3522</v>
      </c>
      <c r="B94" s="14" t="s">
        <v>758</v>
      </c>
      <c r="C94" s="15" t="s">
        <v>3339</v>
      </c>
      <c r="D94" s="15" t="s">
        <v>3523</v>
      </c>
      <c r="E94" s="23" t="s">
        <v>19</v>
      </c>
      <c r="F94" s="16"/>
      <c r="G94" s="16"/>
      <c r="H94" s="19" t="n">
        <f aca="false">LEN(IF(F94&lt;&gt;"",F94,D94))</f>
        <v>29</v>
      </c>
      <c r="I94" s="24" t="str">
        <f aca="false">IF(OR(H94&lt;20,H94&gt;80),"분량 확인","")</f>
        <v/>
      </c>
    </row>
    <row r="95" customFormat="false" ht="61.5" hidden="false" customHeight="true" outlineLevel="0" collapsed="false">
      <c r="A95" s="13" t="s">
        <v>3524</v>
      </c>
      <c r="B95" s="14" t="s">
        <v>758</v>
      </c>
      <c r="C95" s="15" t="s">
        <v>3342</v>
      </c>
      <c r="D95" s="15" t="s">
        <v>3525</v>
      </c>
      <c r="E95" s="23" t="s">
        <v>19</v>
      </c>
      <c r="F95" s="16"/>
      <c r="G95" s="16"/>
      <c r="H95" s="19" t="n">
        <f aca="false">LEN(IF(F95&lt;&gt;"",F95,D95))</f>
        <v>37</v>
      </c>
      <c r="I95" s="24" t="str">
        <f aca="false">IF(OR(H95&lt;20,H95&gt;80),"분량 확인","")</f>
        <v/>
      </c>
    </row>
    <row r="96" customFormat="false" ht="61.5" hidden="false" customHeight="true" outlineLevel="0" collapsed="false">
      <c r="A96" s="13" t="s">
        <v>3526</v>
      </c>
      <c r="B96" s="14" t="s">
        <v>758</v>
      </c>
      <c r="C96" s="15" t="s">
        <v>3345</v>
      </c>
      <c r="D96" s="15" t="s">
        <v>3527</v>
      </c>
      <c r="E96" s="23" t="s">
        <v>19</v>
      </c>
      <c r="F96" s="16"/>
      <c r="G96" s="16"/>
      <c r="H96" s="19" t="n">
        <f aca="false">LEN(IF(F96&lt;&gt;"",F96,D96))</f>
        <v>41</v>
      </c>
      <c r="I96" s="24" t="str">
        <f aca="false">IF(OR(H96&lt;20,H96&gt;80),"분량 확인","")</f>
        <v/>
      </c>
    </row>
    <row r="97" customFormat="false" ht="61.5" hidden="false" customHeight="true" outlineLevel="0" collapsed="false">
      <c r="A97" s="13" t="s">
        <v>3528</v>
      </c>
      <c r="B97" s="14" t="s">
        <v>758</v>
      </c>
      <c r="C97" s="15" t="s">
        <v>3348</v>
      </c>
      <c r="D97" s="15" t="s">
        <v>3529</v>
      </c>
      <c r="E97" s="23" t="s">
        <v>19</v>
      </c>
      <c r="F97" s="16"/>
      <c r="G97" s="16"/>
      <c r="H97" s="19" t="n">
        <f aca="false">LEN(IF(F97&lt;&gt;"",F97,D97))</f>
        <v>34</v>
      </c>
      <c r="I97" s="24" t="str">
        <f aca="false">IF(OR(H97&lt;20,H97&gt;80),"분량 확인","")</f>
        <v/>
      </c>
    </row>
    <row r="98" customFormat="false" ht="61.5" hidden="false" customHeight="true" outlineLevel="0" collapsed="false">
      <c r="A98" s="13" t="s">
        <v>3530</v>
      </c>
      <c r="B98" s="14" t="s">
        <v>771</v>
      </c>
      <c r="C98" s="15" t="s">
        <v>3333</v>
      </c>
      <c r="D98" s="15" t="s">
        <v>3531</v>
      </c>
      <c r="E98" s="23" t="s">
        <v>19</v>
      </c>
      <c r="F98" s="16"/>
      <c r="G98" s="16"/>
      <c r="H98" s="19" t="n">
        <f aca="false">LEN(IF(F98&lt;&gt;"",F98,D98))</f>
        <v>37</v>
      </c>
      <c r="I98" s="24" t="str">
        <f aca="false">IF(OR(H98&lt;20,H98&gt;80),"분량 확인","")</f>
        <v/>
      </c>
    </row>
    <row r="99" customFormat="false" ht="61.5" hidden="false" customHeight="true" outlineLevel="0" collapsed="false">
      <c r="A99" s="13" t="s">
        <v>3532</v>
      </c>
      <c r="B99" s="14" t="s">
        <v>771</v>
      </c>
      <c r="C99" s="15" t="s">
        <v>3336</v>
      </c>
      <c r="D99" s="15" t="s">
        <v>3533</v>
      </c>
      <c r="E99" s="23" t="s">
        <v>19</v>
      </c>
      <c r="F99" s="16"/>
      <c r="G99" s="16"/>
      <c r="H99" s="19" t="n">
        <f aca="false">LEN(IF(F99&lt;&gt;"",F99,D99))</f>
        <v>35</v>
      </c>
      <c r="I99" s="24" t="str">
        <f aca="false">IF(OR(H99&lt;20,H99&gt;80),"분량 확인","")</f>
        <v/>
      </c>
    </row>
    <row r="100" customFormat="false" ht="61.5" hidden="false" customHeight="true" outlineLevel="0" collapsed="false">
      <c r="A100" s="13" t="s">
        <v>3534</v>
      </c>
      <c r="B100" s="14" t="s">
        <v>771</v>
      </c>
      <c r="C100" s="15" t="s">
        <v>3339</v>
      </c>
      <c r="D100" s="15" t="s">
        <v>3535</v>
      </c>
      <c r="E100" s="23" t="s">
        <v>19</v>
      </c>
      <c r="F100" s="16"/>
      <c r="G100" s="16"/>
      <c r="H100" s="19" t="n">
        <f aca="false">LEN(IF(F100&lt;&gt;"",F100,D100))</f>
        <v>37</v>
      </c>
      <c r="I100" s="24" t="str">
        <f aca="false">IF(OR(H100&lt;20,H100&gt;80),"분량 확인","")</f>
        <v/>
      </c>
    </row>
    <row r="101" customFormat="false" ht="61.5" hidden="false" customHeight="true" outlineLevel="0" collapsed="false">
      <c r="A101" s="13" t="s">
        <v>3536</v>
      </c>
      <c r="B101" s="14" t="s">
        <v>771</v>
      </c>
      <c r="C101" s="15" t="s">
        <v>3342</v>
      </c>
      <c r="D101" s="15" t="s">
        <v>3537</v>
      </c>
      <c r="E101" s="23" t="s">
        <v>19</v>
      </c>
      <c r="F101" s="16"/>
      <c r="G101" s="16"/>
      <c r="H101" s="19" t="n">
        <f aca="false">LEN(IF(F101&lt;&gt;"",F101,D101))</f>
        <v>40</v>
      </c>
      <c r="I101" s="24" t="str">
        <f aca="false">IF(OR(H101&lt;20,H101&gt;80),"분량 확인","")</f>
        <v/>
      </c>
    </row>
    <row r="102" customFormat="false" ht="61.5" hidden="false" customHeight="true" outlineLevel="0" collapsed="false">
      <c r="A102" s="13" t="s">
        <v>3538</v>
      </c>
      <c r="B102" s="14" t="s">
        <v>771</v>
      </c>
      <c r="C102" s="15" t="s">
        <v>3345</v>
      </c>
      <c r="D102" s="15" t="s">
        <v>3539</v>
      </c>
      <c r="E102" s="23" t="s">
        <v>19</v>
      </c>
      <c r="F102" s="16"/>
      <c r="G102" s="16"/>
      <c r="H102" s="19" t="n">
        <f aca="false">LEN(IF(F102&lt;&gt;"",F102,D102))</f>
        <v>39</v>
      </c>
      <c r="I102" s="24" t="str">
        <f aca="false">IF(OR(H102&lt;20,H102&gt;80),"분량 확인","")</f>
        <v/>
      </c>
    </row>
    <row r="103" customFormat="false" ht="61.5" hidden="false" customHeight="true" outlineLevel="0" collapsed="false">
      <c r="A103" s="13" t="s">
        <v>3540</v>
      </c>
      <c r="B103" s="14" t="s">
        <v>771</v>
      </c>
      <c r="C103" s="15" t="s">
        <v>3348</v>
      </c>
      <c r="D103" s="15" t="s">
        <v>3541</v>
      </c>
      <c r="E103" s="23" t="s">
        <v>19</v>
      </c>
      <c r="F103" s="16"/>
      <c r="G103" s="16"/>
      <c r="H103" s="19" t="n">
        <f aca="false">LEN(IF(F103&lt;&gt;"",F103,D103))</f>
        <v>37</v>
      </c>
      <c r="I103" s="24" t="str">
        <f aca="false">IF(OR(H103&lt;20,H103&gt;80),"분량 확인","")</f>
        <v/>
      </c>
    </row>
    <row r="104" customFormat="false" ht="61.5" hidden="false" customHeight="true" outlineLevel="0" collapsed="false">
      <c r="A104" s="13" t="s">
        <v>3542</v>
      </c>
      <c r="B104" s="14" t="s">
        <v>784</v>
      </c>
      <c r="C104" s="15" t="s">
        <v>3333</v>
      </c>
      <c r="D104" s="15" t="s">
        <v>3543</v>
      </c>
      <c r="E104" s="23" t="s">
        <v>19</v>
      </c>
      <c r="F104" s="16"/>
      <c r="G104" s="16"/>
      <c r="H104" s="19" t="n">
        <f aca="false">LEN(IF(F104&lt;&gt;"",F104,D104))</f>
        <v>33</v>
      </c>
      <c r="I104" s="24" t="str">
        <f aca="false">IF(OR(H104&lt;20,H104&gt;80),"분량 확인","")</f>
        <v/>
      </c>
    </row>
    <row r="105" customFormat="false" ht="61.5" hidden="false" customHeight="true" outlineLevel="0" collapsed="false">
      <c r="A105" s="13" t="s">
        <v>3544</v>
      </c>
      <c r="B105" s="14" t="s">
        <v>784</v>
      </c>
      <c r="C105" s="15" t="s">
        <v>3336</v>
      </c>
      <c r="D105" s="15" t="s">
        <v>3545</v>
      </c>
      <c r="E105" s="23" t="s">
        <v>19</v>
      </c>
      <c r="F105" s="16"/>
      <c r="G105" s="16"/>
      <c r="H105" s="19" t="n">
        <f aca="false">LEN(IF(F105&lt;&gt;"",F105,D105))</f>
        <v>38</v>
      </c>
      <c r="I105" s="24" t="str">
        <f aca="false">IF(OR(H105&lt;20,H105&gt;80),"분량 확인","")</f>
        <v/>
      </c>
    </row>
    <row r="106" customFormat="false" ht="61.5" hidden="false" customHeight="true" outlineLevel="0" collapsed="false">
      <c r="A106" s="13" t="s">
        <v>3546</v>
      </c>
      <c r="B106" s="14" t="s">
        <v>784</v>
      </c>
      <c r="C106" s="15" t="s">
        <v>3339</v>
      </c>
      <c r="D106" s="15" t="s">
        <v>3547</v>
      </c>
      <c r="E106" s="23" t="s">
        <v>19</v>
      </c>
      <c r="F106" s="16"/>
      <c r="G106" s="16"/>
      <c r="H106" s="19" t="n">
        <f aca="false">LEN(IF(F106&lt;&gt;"",F106,D106))</f>
        <v>33</v>
      </c>
      <c r="I106" s="24" t="str">
        <f aca="false">IF(OR(H106&lt;20,H106&gt;80),"분량 확인","")</f>
        <v/>
      </c>
    </row>
    <row r="107" customFormat="false" ht="61.5" hidden="false" customHeight="true" outlineLevel="0" collapsed="false">
      <c r="A107" s="13" t="s">
        <v>3548</v>
      </c>
      <c r="B107" s="14" t="s">
        <v>784</v>
      </c>
      <c r="C107" s="15" t="s">
        <v>3342</v>
      </c>
      <c r="D107" s="15" t="s">
        <v>3549</v>
      </c>
      <c r="E107" s="23" t="s">
        <v>19</v>
      </c>
      <c r="F107" s="16"/>
      <c r="G107" s="16"/>
      <c r="H107" s="19" t="n">
        <f aca="false">LEN(IF(F107&lt;&gt;"",F107,D107))</f>
        <v>37</v>
      </c>
      <c r="I107" s="24" t="str">
        <f aca="false">IF(OR(H107&lt;20,H107&gt;80),"분량 확인","")</f>
        <v/>
      </c>
    </row>
    <row r="108" customFormat="false" ht="61.5" hidden="false" customHeight="true" outlineLevel="0" collapsed="false">
      <c r="A108" s="13" t="s">
        <v>3550</v>
      </c>
      <c r="B108" s="14" t="s">
        <v>784</v>
      </c>
      <c r="C108" s="15" t="s">
        <v>3345</v>
      </c>
      <c r="D108" s="15" t="s">
        <v>3551</v>
      </c>
      <c r="E108" s="23" t="s">
        <v>19</v>
      </c>
      <c r="F108" s="16"/>
      <c r="G108" s="16"/>
      <c r="H108" s="19" t="n">
        <f aca="false">LEN(IF(F108&lt;&gt;"",F108,D108))</f>
        <v>35</v>
      </c>
      <c r="I108" s="24" t="str">
        <f aca="false">IF(OR(H108&lt;20,H108&gt;80),"분량 확인","")</f>
        <v/>
      </c>
    </row>
    <row r="109" customFormat="false" ht="61.5" hidden="false" customHeight="true" outlineLevel="0" collapsed="false">
      <c r="A109" s="13" t="s">
        <v>3552</v>
      </c>
      <c r="B109" s="14" t="s">
        <v>784</v>
      </c>
      <c r="C109" s="15" t="s">
        <v>3348</v>
      </c>
      <c r="D109" s="15" t="s">
        <v>3553</v>
      </c>
      <c r="E109" s="23" t="s">
        <v>19</v>
      </c>
      <c r="F109" s="16"/>
      <c r="G109" s="16"/>
      <c r="H109" s="19" t="n">
        <f aca="false">LEN(IF(F109&lt;&gt;"",F109,D109))</f>
        <v>29</v>
      </c>
      <c r="I109" s="24" t="str">
        <f aca="false">IF(OR(H109&lt;20,H109&gt;80),"분량 확인","")</f>
        <v/>
      </c>
    </row>
    <row r="110" customFormat="false" ht="61.5" hidden="false" customHeight="true" outlineLevel="0" collapsed="false">
      <c r="A110" s="13" t="s">
        <v>3554</v>
      </c>
      <c r="B110" s="14" t="s">
        <v>797</v>
      </c>
      <c r="C110" s="15" t="s">
        <v>3333</v>
      </c>
      <c r="D110" s="15" t="s">
        <v>3555</v>
      </c>
      <c r="E110" s="23" t="s">
        <v>19</v>
      </c>
      <c r="F110" s="16"/>
      <c r="G110" s="16"/>
      <c r="H110" s="19" t="n">
        <f aca="false">LEN(IF(F110&lt;&gt;"",F110,D110))</f>
        <v>33</v>
      </c>
      <c r="I110" s="24" t="str">
        <f aca="false">IF(OR(H110&lt;20,H110&gt;80),"분량 확인","")</f>
        <v/>
      </c>
    </row>
    <row r="111" customFormat="false" ht="61.5" hidden="false" customHeight="true" outlineLevel="0" collapsed="false">
      <c r="A111" s="13" t="s">
        <v>3556</v>
      </c>
      <c r="B111" s="14" t="s">
        <v>797</v>
      </c>
      <c r="C111" s="15" t="s">
        <v>3336</v>
      </c>
      <c r="D111" s="15" t="s">
        <v>3557</v>
      </c>
      <c r="E111" s="23" t="s">
        <v>19</v>
      </c>
      <c r="F111" s="16"/>
      <c r="G111" s="16"/>
      <c r="H111" s="19" t="n">
        <f aca="false">LEN(IF(F111&lt;&gt;"",F111,D111))</f>
        <v>37</v>
      </c>
      <c r="I111" s="24" t="str">
        <f aca="false">IF(OR(H111&lt;20,H111&gt;80),"분량 확인","")</f>
        <v/>
      </c>
    </row>
    <row r="112" customFormat="false" ht="61.5" hidden="false" customHeight="true" outlineLevel="0" collapsed="false">
      <c r="A112" s="13" t="s">
        <v>3558</v>
      </c>
      <c r="B112" s="14" t="s">
        <v>797</v>
      </c>
      <c r="C112" s="15" t="s">
        <v>3339</v>
      </c>
      <c r="D112" s="15" t="s">
        <v>3559</v>
      </c>
      <c r="E112" s="23" t="s">
        <v>19</v>
      </c>
      <c r="F112" s="16"/>
      <c r="G112" s="16"/>
      <c r="H112" s="19" t="n">
        <f aca="false">LEN(IF(F112&lt;&gt;"",F112,D112))</f>
        <v>34</v>
      </c>
      <c r="I112" s="24" t="str">
        <f aca="false">IF(OR(H112&lt;20,H112&gt;80),"분량 확인","")</f>
        <v/>
      </c>
    </row>
    <row r="113" customFormat="false" ht="61.5" hidden="false" customHeight="true" outlineLevel="0" collapsed="false">
      <c r="A113" s="13" t="s">
        <v>3560</v>
      </c>
      <c r="B113" s="14" t="s">
        <v>797</v>
      </c>
      <c r="C113" s="15" t="s">
        <v>3342</v>
      </c>
      <c r="D113" s="15" t="s">
        <v>3561</v>
      </c>
      <c r="E113" s="23" t="s">
        <v>19</v>
      </c>
      <c r="F113" s="16"/>
      <c r="G113" s="16"/>
      <c r="H113" s="19" t="n">
        <f aca="false">LEN(IF(F113&lt;&gt;"",F113,D113))</f>
        <v>31</v>
      </c>
      <c r="I113" s="24" t="str">
        <f aca="false">IF(OR(H113&lt;20,H113&gt;80),"분량 확인","")</f>
        <v/>
      </c>
    </row>
    <row r="114" customFormat="false" ht="61.5" hidden="false" customHeight="true" outlineLevel="0" collapsed="false">
      <c r="A114" s="13" t="s">
        <v>3562</v>
      </c>
      <c r="B114" s="14" t="s">
        <v>797</v>
      </c>
      <c r="C114" s="15" t="s">
        <v>3345</v>
      </c>
      <c r="D114" s="15" t="s">
        <v>3563</v>
      </c>
      <c r="E114" s="23" t="s">
        <v>19</v>
      </c>
      <c r="F114" s="16"/>
      <c r="G114" s="16"/>
      <c r="H114" s="19" t="n">
        <f aca="false">LEN(IF(F114&lt;&gt;"",F114,D114))</f>
        <v>39</v>
      </c>
      <c r="I114" s="24" t="str">
        <f aca="false">IF(OR(H114&lt;20,H114&gt;80),"분량 확인","")</f>
        <v/>
      </c>
    </row>
    <row r="115" customFormat="false" ht="61.5" hidden="false" customHeight="true" outlineLevel="0" collapsed="false">
      <c r="A115" s="13" t="s">
        <v>3564</v>
      </c>
      <c r="B115" s="14" t="s">
        <v>797</v>
      </c>
      <c r="C115" s="15" t="s">
        <v>3348</v>
      </c>
      <c r="D115" s="15" t="s">
        <v>3565</v>
      </c>
      <c r="E115" s="23" t="s">
        <v>19</v>
      </c>
      <c r="F115" s="16"/>
      <c r="G115" s="16"/>
      <c r="H115" s="19" t="n">
        <f aca="false">LEN(IF(F115&lt;&gt;"",F115,D115))</f>
        <v>31</v>
      </c>
      <c r="I115" s="24" t="str">
        <f aca="false">IF(OR(H115&lt;20,H115&gt;80),"분량 확인","")</f>
        <v/>
      </c>
    </row>
    <row r="116" customFormat="false" ht="61.5" hidden="false" customHeight="true" outlineLevel="0" collapsed="false">
      <c r="A116" s="13" t="s">
        <v>3566</v>
      </c>
      <c r="B116" s="14" t="s">
        <v>810</v>
      </c>
      <c r="C116" s="15" t="s">
        <v>3333</v>
      </c>
      <c r="D116" s="15" t="s">
        <v>3567</v>
      </c>
      <c r="E116" s="23" t="s">
        <v>19</v>
      </c>
      <c r="F116" s="16"/>
      <c r="G116" s="16"/>
      <c r="H116" s="19" t="n">
        <f aca="false">LEN(IF(F116&lt;&gt;"",F116,D116))</f>
        <v>34</v>
      </c>
      <c r="I116" s="24" t="str">
        <f aca="false">IF(OR(H116&lt;20,H116&gt;80),"분량 확인","")</f>
        <v/>
      </c>
    </row>
    <row r="117" customFormat="false" ht="61.5" hidden="false" customHeight="true" outlineLevel="0" collapsed="false">
      <c r="A117" s="13" t="s">
        <v>3568</v>
      </c>
      <c r="B117" s="14" t="s">
        <v>810</v>
      </c>
      <c r="C117" s="15" t="s">
        <v>3336</v>
      </c>
      <c r="D117" s="15" t="s">
        <v>3569</v>
      </c>
      <c r="E117" s="23" t="s">
        <v>19</v>
      </c>
      <c r="F117" s="16"/>
      <c r="G117" s="16"/>
      <c r="H117" s="19" t="n">
        <f aca="false">LEN(IF(F117&lt;&gt;"",F117,D117))</f>
        <v>35</v>
      </c>
      <c r="I117" s="24" t="str">
        <f aca="false">IF(OR(H117&lt;20,H117&gt;80),"분량 확인","")</f>
        <v/>
      </c>
    </row>
    <row r="118" customFormat="false" ht="61.5" hidden="false" customHeight="true" outlineLevel="0" collapsed="false">
      <c r="A118" s="13" t="s">
        <v>3570</v>
      </c>
      <c r="B118" s="14" t="s">
        <v>810</v>
      </c>
      <c r="C118" s="15" t="s">
        <v>3339</v>
      </c>
      <c r="D118" s="15" t="s">
        <v>3571</v>
      </c>
      <c r="E118" s="23" t="s">
        <v>19</v>
      </c>
      <c r="F118" s="16"/>
      <c r="G118" s="16"/>
      <c r="H118" s="19" t="n">
        <f aca="false">LEN(IF(F118&lt;&gt;"",F118,D118))</f>
        <v>34</v>
      </c>
      <c r="I118" s="24" t="str">
        <f aca="false">IF(OR(H118&lt;20,H118&gt;80),"분량 확인","")</f>
        <v/>
      </c>
    </row>
    <row r="119" customFormat="false" ht="61.5" hidden="false" customHeight="true" outlineLevel="0" collapsed="false">
      <c r="A119" s="13" t="s">
        <v>3572</v>
      </c>
      <c r="B119" s="14" t="s">
        <v>810</v>
      </c>
      <c r="C119" s="15" t="s">
        <v>3342</v>
      </c>
      <c r="D119" s="15" t="s">
        <v>3573</v>
      </c>
      <c r="E119" s="23" t="s">
        <v>19</v>
      </c>
      <c r="F119" s="16"/>
      <c r="G119" s="16"/>
      <c r="H119" s="19" t="n">
        <f aca="false">LEN(IF(F119&lt;&gt;"",F119,D119))</f>
        <v>45</v>
      </c>
      <c r="I119" s="24" t="str">
        <f aca="false">IF(OR(H119&lt;20,H119&gt;80),"분량 확인","")</f>
        <v/>
      </c>
    </row>
    <row r="120" customFormat="false" ht="61.5" hidden="false" customHeight="true" outlineLevel="0" collapsed="false">
      <c r="A120" s="13" t="s">
        <v>3574</v>
      </c>
      <c r="B120" s="14" t="s">
        <v>810</v>
      </c>
      <c r="C120" s="15" t="s">
        <v>3345</v>
      </c>
      <c r="D120" s="15" t="s">
        <v>3575</v>
      </c>
      <c r="E120" s="23" t="s">
        <v>19</v>
      </c>
      <c r="F120" s="16"/>
      <c r="G120" s="16"/>
      <c r="H120" s="19" t="n">
        <f aca="false">LEN(IF(F120&lt;&gt;"",F120,D120))</f>
        <v>32</v>
      </c>
      <c r="I120" s="24" t="str">
        <f aca="false">IF(OR(H120&lt;20,H120&gt;80),"분량 확인","")</f>
        <v/>
      </c>
    </row>
    <row r="121" customFormat="false" ht="61.5" hidden="false" customHeight="true" outlineLevel="0" collapsed="false">
      <c r="A121" s="13" t="s">
        <v>3576</v>
      </c>
      <c r="B121" s="14" t="s">
        <v>810</v>
      </c>
      <c r="C121" s="15" t="s">
        <v>3348</v>
      </c>
      <c r="D121" s="15" t="s">
        <v>3577</v>
      </c>
      <c r="E121" s="23" t="s">
        <v>19</v>
      </c>
      <c r="F121" s="16"/>
      <c r="G121" s="16"/>
      <c r="H121" s="19" t="n">
        <f aca="false">LEN(IF(F121&lt;&gt;"",F121,D121))</f>
        <v>29</v>
      </c>
      <c r="I121" s="24" t="str">
        <f aca="false">IF(OR(H121&lt;20,H121&gt;80),"분량 확인","")</f>
        <v/>
      </c>
    </row>
    <row r="122" customFormat="false" ht="61.5" hidden="false" customHeight="true" outlineLevel="0" collapsed="false">
      <c r="A122" s="13" t="s">
        <v>3578</v>
      </c>
      <c r="B122" s="14" t="s">
        <v>823</v>
      </c>
      <c r="C122" s="15" t="s">
        <v>3333</v>
      </c>
      <c r="D122" s="15" t="s">
        <v>3579</v>
      </c>
      <c r="E122" s="23" t="s">
        <v>19</v>
      </c>
      <c r="F122" s="16"/>
      <c r="G122" s="16"/>
      <c r="H122" s="19" t="n">
        <f aca="false">LEN(IF(F122&lt;&gt;"",F122,D122))</f>
        <v>36</v>
      </c>
      <c r="I122" s="24" t="str">
        <f aca="false">IF(OR(H122&lt;20,H122&gt;80),"분량 확인","")</f>
        <v/>
      </c>
    </row>
    <row r="123" customFormat="false" ht="61.5" hidden="false" customHeight="true" outlineLevel="0" collapsed="false">
      <c r="A123" s="13" t="s">
        <v>3580</v>
      </c>
      <c r="B123" s="14" t="s">
        <v>823</v>
      </c>
      <c r="C123" s="15" t="s">
        <v>3336</v>
      </c>
      <c r="D123" s="15" t="s">
        <v>3581</v>
      </c>
      <c r="E123" s="23" t="s">
        <v>19</v>
      </c>
      <c r="F123" s="16"/>
      <c r="G123" s="16"/>
      <c r="H123" s="19" t="n">
        <f aca="false">LEN(IF(F123&lt;&gt;"",F123,D123))</f>
        <v>35</v>
      </c>
      <c r="I123" s="24" t="str">
        <f aca="false">IF(OR(H123&lt;20,H123&gt;80),"분량 확인","")</f>
        <v/>
      </c>
    </row>
    <row r="124" customFormat="false" ht="61.5" hidden="false" customHeight="true" outlineLevel="0" collapsed="false">
      <c r="A124" s="13" t="s">
        <v>3582</v>
      </c>
      <c r="B124" s="14" t="s">
        <v>823</v>
      </c>
      <c r="C124" s="15" t="s">
        <v>3339</v>
      </c>
      <c r="D124" s="15" t="s">
        <v>3583</v>
      </c>
      <c r="E124" s="23" t="s">
        <v>19</v>
      </c>
      <c r="F124" s="16"/>
      <c r="G124" s="16"/>
      <c r="H124" s="19" t="n">
        <f aca="false">LEN(IF(F124&lt;&gt;"",F124,D124))</f>
        <v>41</v>
      </c>
      <c r="I124" s="24" t="str">
        <f aca="false">IF(OR(H124&lt;20,H124&gt;80),"분량 확인","")</f>
        <v/>
      </c>
    </row>
    <row r="125" customFormat="false" ht="61.5" hidden="false" customHeight="true" outlineLevel="0" collapsed="false">
      <c r="A125" s="13" t="s">
        <v>3584</v>
      </c>
      <c r="B125" s="14" t="s">
        <v>823</v>
      </c>
      <c r="C125" s="15" t="s">
        <v>3342</v>
      </c>
      <c r="D125" s="15" t="s">
        <v>3585</v>
      </c>
      <c r="E125" s="23" t="s">
        <v>19</v>
      </c>
      <c r="F125" s="16"/>
      <c r="G125" s="16"/>
      <c r="H125" s="19" t="n">
        <f aca="false">LEN(IF(F125&lt;&gt;"",F125,D125))</f>
        <v>31</v>
      </c>
      <c r="I125" s="24" t="str">
        <f aca="false">IF(OR(H125&lt;20,H125&gt;80),"분량 확인","")</f>
        <v/>
      </c>
    </row>
    <row r="126" customFormat="false" ht="61.5" hidden="false" customHeight="true" outlineLevel="0" collapsed="false">
      <c r="A126" s="13" t="s">
        <v>3586</v>
      </c>
      <c r="B126" s="14" t="s">
        <v>823</v>
      </c>
      <c r="C126" s="15" t="s">
        <v>3345</v>
      </c>
      <c r="D126" s="15" t="s">
        <v>3587</v>
      </c>
      <c r="E126" s="23" t="s">
        <v>19</v>
      </c>
      <c r="F126" s="16"/>
      <c r="G126" s="16"/>
      <c r="H126" s="19" t="n">
        <f aca="false">LEN(IF(F126&lt;&gt;"",F126,D126))</f>
        <v>30</v>
      </c>
      <c r="I126" s="24" t="str">
        <f aca="false">IF(OR(H126&lt;20,H126&gt;80),"분량 확인","")</f>
        <v/>
      </c>
    </row>
    <row r="127" customFormat="false" ht="61.5" hidden="false" customHeight="true" outlineLevel="0" collapsed="false">
      <c r="A127" s="13" t="s">
        <v>3588</v>
      </c>
      <c r="B127" s="14" t="s">
        <v>823</v>
      </c>
      <c r="C127" s="15" t="s">
        <v>3348</v>
      </c>
      <c r="D127" s="15" t="s">
        <v>3589</v>
      </c>
      <c r="E127" s="23" t="s">
        <v>19</v>
      </c>
      <c r="F127" s="16"/>
      <c r="G127" s="16"/>
      <c r="H127" s="19" t="n">
        <f aca="false">LEN(IF(F127&lt;&gt;"",F127,D127))</f>
        <v>30</v>
      </c>
      <c r="I127" s="24" t="str">
        <f aca="false">IF(OR(H127&lt;20,H127&gt;80),"분량 확인","")</f>
        <v/>
      </c>
    </row>
    <row r="128" customFormat="false" ht="61.5" hidden="false" customHeight="true" outlineLevel="0" collapsed="false">
      <c r="A128" s="13" t="s">
        <v>3590</v>
      </c>
      <c r="B128" s="14" t="s">
        <v>836</v>
      </c>
      <c r="C128" s="15" t="s">
        <v>3333</v>
      </c>
      <c r="D128" s="15" t="s">
        <v>3591</v>
      </c>
      <c r="E128" s="23" t="s">
        <v>19</v>
      </c>
      <c r="F128" s="16"/>
      <c r="G128" s="16"/>
      <c r="H128" s="19" t="n">
        <f aca="false">LEN(IF(F128&lt;&gt;"",F128,D128))</f>
        <v>36</v>
      </c>
      <c r="I128" s="24" t="str">
        <f aca="false">IF(OR(H128&lt;20,H128&gt;80),"분량 확인","")</f>
        <v/>
      </c>
    </row>
    <row r="129" customFormat="false" ht="61.5" hidden="false" customHeight="true" outlineLevel="0" collapsed="false">
      <c r="A129" s="13" t="s">
        <v>3592</v>
      </c>
      <c r="B129" s="14" t="s">
        <v>836</v>
      </c>
      <c r="C129" s="15" t="s">
        <v>3336</v>
      </c>
      <c r="D129" s="15" t="s">
        <v>3593</v>
      </c>
      <c r="E129" s="23" t="s">
        <v>19</v>
      </c>
      <c r="F129" s="16"/>
      <c r="G129" s="16"/>
      <c r="H129" s="19" t="n">
        <f aca="false">LEN(IF(F129&lt;&gt;"",F129,D129))</f>
        <v>35</v>
      </c>
      <c r="I129" s="24" t="str">
        <f aca="false">IF(OR(H129&lt;20,H129&gt;80),"분량 확인","")</f>
        <v/>
      </c>
    </row>
    <row r="130" customFormat="false" ht="61.5" hidden="false" customHeight="true" outlineLevel="0" collapsed="false">
      <c r="A130" s="13" t="s">
        <v>3594</v>
      </c>
      <c r="B130" s="14" t="s">
        <v>836</v>
      </c>
      <c r="C130" s="15" t="s">
        <v>3339</v>
      </c>
      <c r="D130" s="15" t="s">
        <v>3595</v>
      </c>
      <c r="E130" s="23" t="s">
        <v>19</v>
      </c>
      <c r="F130" s="16"/>
      <c r="G130" s="16"/>
      <c r="H130" s="19" t="n">
        <f aca="false">LEN(IF(F130&lt;&gt;"",F130,D130))</f>
        <v>28</v>
      </c>
      <c r="I130" s="24" t="str">
        <f aca="false">IF(OR(H130&lt;20,H130&gt;80),"분량 확인","")</f>
        <v/>
      </c>
    </row>
    <row r="131" customFormat="false" ht="61.5" hidden="false" customHeight="true" outlineLevel="0" collapsed="false">
      <c r="A131" s="13" t="s">
        <v>3596</v>
      </c>
      <c r="B131" s="14" t="s">
        <v>836</v>
      </c>
      <c r="C131" s="15" t="s">
        <v>3342</v>
      </c>
      <c r="D131" s="15" t="s">
        <v>3597</v>
      </c>
      <c r="E131" s="23" t="s">
        <v>19</v>
      </c>
      <c r="F131" s="16"/>
      <c r="G131" s="16"/>
      <c r="H131" s="19" t="n">
        <f aca="false">LEN(IF(F131&lt;&gt;"",F131,D131))</f>
        <v>31</v>
      </c>
      <c r="I131" s="24" t="str">
        <f aca="false">IF(OR(H131&lt;20,H131&gt;80),"분량 확인","")</f>
        <v/>
      </c>
    </row>
    <row r="132" customFormat="false" ht="61.5" hidden="false" customHeight="true" outlineLevel="0" collapsed="false">
      <c r="A132" s="13" t="s">
        <v>3598</v>
      </c>
      <c r="B132" s="14" t="s">
        <v>836</v>
      </c>
      <c r="C132" s="15" t="s">
        <v>3345</v>
      </c>
      <c r="D132" s="15" t="s">
        <v>3599</v>
      </c>
      <c r="E132" s="23" t="s">
        <v>19</v>
      </c>
      <c r="F132" s="16"/>
      <c r="G132" s="16"/>
      <c r="H132" s="19" t="n">
        <f aca="false">LEN(IF(F132&lt;&gt;"",F132,D132))</f>
        <v>37</v>
      </c>
      <c r="I132" s="24" t="str">
        <f aca="false">IF(OR(H132&lt;20,H132&gt;80),"분량 확인","")</f>
        <v/>
      </c>
    </row>
    <row r="133" customFormat="false" ht="61.5" hidden="false" customHeight="true" outlineLevel="0" collapsed="false">
      <c r="A133" s="13" t="s">
        <v>3600</v>
      </c>
      <c r="B133" s="14" t="s">
        <v>836</v>
      </c>
      <c r="C133" s="15" t="s">
        <v>3348</v>
      </c>
      <c r="D133" s="15" t="s">
        <v>3601</v>
      </c>
      <c r="E133" s="23" t="s">
        <v>19</v>
      </c>
      <c r="F133" s="16"/>
      <c r="G133" s="16"/>
      <c r="H133" s="19" t="n">
        <f aca="false">LEN(IF(F133&lt;&gt;"",F133,D133))</f>
        <v>37</v>
      </c>
      <c r="I133" s="24" t="str">
        <f aca="false">IF(OR(H133&lt;20,H133&gt;80),"분량 확인","")</f>
        <v/>
      </c>
    </row>
  </sheetData>
  <autoFilter ref="A1:I133"/>
  <conditionalFormatting sqref="E2:E133">
    <cfRule type="cellIs" priority="2" operator="equal" aboveAverage="0" equalAverage="0" bottom="0" percent="0" rank="0" text="" dxfId="5">
      <formula>"확정"</formula>
    </cfRule>
    <cfRule type="cellIs" priority="3" operator="equal" aboveAverage="0" equalAverage="0" bottom="0" percent="0" rank="0" text="" dxfId="6">
      <formula>"수정요청"</formula>
    </cfRule>
    <cfRule type="cellIs" priority="4" operator="equal" aboveAverage="0" equalAverage="0" bottom="0" percent="0" rank="0" text="" dxfId="7">
      <formula>"검수중"</formula>
    </cfRule>
    <cfRule type="cellIs" priority="5" operator="equal" aboveAverage="0" equalAverage="0" bottom="0" percent="0" rank="0" text="" dxfId="8">
      <formula>"삭제"</formula>
    </cfRule>
  </conditionalFormatting>
  <conditionalFormatting sqref="I2:I133">
    <cfRule type="expression" priority="6" aboveAverage="0" equalAverage="0" bottom="0" percent="0" rank="0" text="" dxfId="9">
      <formula>I2="분량 확인"</formula>
    </cfRule>
  </conditionalFormatting>
  <dataValidations count="1">
    <dataValidation allowBlank="false" error="초안 · 검수중 · 수정요청 · 확정 · 삭제 중에서 골라 주세요." errorStyle="stop" errorTitle="상태" operator="between" showDropDown="false" showErrorMessage="false" showInputMessage="false" sqref="E2:E133" type="list">
      <formula1>"초안,검수중,수정요청,확정,삭제"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12F53"/>
    <pageSetUpPr fitToPage="false"/>
  </sheetPr>
  <dimension ref="A1:I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2"/>
    <col collapsed="false" customWidth="true" hidden="false" outlineLevel="0" max="3" min="3" style="0" width="26"/>
    <col collapsed="false" customWidth="true" hidden="false" outlineLevel="0" max="4" min="4" style="0" width="62"/>
    <col collapsed="false" customWidth="true" hidden="false" outlineLevel="0" max="5" min="5" style="0" width="10"/>
    <col collapsed="false" customWidth="true" hidden="false" outlineLevel="0" max="6" min="6" style="0" width="56"/>
    <col collapsed="false" customWidth="true" hidden="false" outlineLevel="0" max="7" min="7" style="0" width="30"/>
    <col collapsed="false" customWidth="true" hidden="false" outlineLevel="0" max="8" min="8" style="0" width="9"/>
    <col collapsed="false" customWidth="true" hidden="false" outlineLevel="0" max="9" min="9" style="0" width="10"/>
  </cols>
  <sheetData>
    <row r="1" customFormat="false" ht="30" hidden="false" customHeight="true" outlineLevel="0" collapsed="false">
      <c r="A1" s="11" t="s">
        <v>554</v>
      </c>
      <c r="B1" s="12" t="s">
        <v>25</v>
      </c>
      <c r="C1" s="12" t="s">
        <v>26</v>
      </c>
      <c r="D1" s="12" t="s">
        <v>27</v>
      </c>
      <c r="E1" s="12" t="s">
        <v>28</v>
      </c>
      <c r="F1" s="12" t="s">
        <v>29</v>
      </c>
      <c r="G1" s="12" t="s">
        <v>30</v>
      </c>
      <c r="H1" s="12" t="s">
        <v>555</v>
      </c>
      <c r="I1" s="12" t="s">
        <v>556</v>
      </c>
    </row>
    <row r="2" customFormat="false" ht="201.75" hidden="false" customHeight="true" outlineLevel="0" collapsed="false">
      <c r="A2" s="13" t="s">
        <v>3602</v>
      </c>
      <c r="B2" s="15" t="s">
        <v>3603</v>
      </c>
      <c r="C2" s="15" t="s">
        <v>3604</v>
      </c>
      <c r="D2" s="15" t="s">
        <v>3605</v>
      </c>
      <c r="E2" s="23" t="s">
        <v>19</v>
      </c>
      <c r="F2" s="16"/>
      <c r="G2" s="16"/>
      <c r="H2" s="19" t="n">
        <f aca="false">LEN(IF(F2&lt;&gt;"",F2,D2))</f>
        <v>390</v>
      </c>
      <c r="I2" s="24" t="str">
        <f aca="false">IF(OR(H2&lt;0,H2&gt;2000),"분량 확인","")</f>
        <v/>
      </c>
    </row>
    <row r="3" customFormat="false" ht="48" hidden="false" customHeight="true" outlineLevel="0" collapsed="false">
      <c r="A3" s="13" t="s">
        <v>3606</v>
      </c>
      <c r="B3" s="15" t="s">
        <v>3607</v>
      </c>
      <c r="C3" s="15" t="s">
        <v>3604</v>
      </c>
      <c r="D3" s="15" t="s">
        <v>3608</v>
      </c>
      <c r="E3" s="23" t="s">
        <v>19</v>
      </c>
      <c r="F3" s="16"/>
      <c r="G3" s="16"/>
      <c r="H3" s="19" t="n">
        <f aca="false">LEN(IF(F3&lt;&gt;"",F3,D3))</f>
        <v>6</v>
      </c>
      <c r="I3" s="24" t="str">
        <f aca="false">IF(OR(H3&lt;0,H3&gt;2000),"분량 확인","")</f>
        <v/>
      </c>
    </row>
    <row r="4" customFormat="false" ht="187.5" hidden="false" customHeight="true" outlineLevel="0" collapsed="false">
      <c r="A4" s="13" t="s">
        <v>3609</v>
      </c>
      <c r="B4" s="15" t="s">
        <v>3610</v>
      </c>
      <c r="C4" s="15" t="s">
        <v>3604</v>
      </c>
      <c r="D4" s="15" t="s">
        <v>3611</v>
      </c>
      <c r="E4" s="23" t="s">
        <v>19</v>
      </c>
      <c r="F4" s="16"/>
      <c r="G4" s="16"/>
      <c r="H4" s="19" t="n">
        <f aca="false">LEN(IF(F4&lt;&gt;"",F4,D4))</f>
        <v>370</v>
      </c>
      <c r="I4" s="24" t="str">
        <f aca="false">IF(OR(H4&lt;0,H4&gt;2000),"분량 확인","")</f>
        <v/>
      </c>
    </row>
    <row r="5" customFormat="false" ht="201.75" hidden="false" customHeight="true" outlineLevel="0" collapsed="false">
      <c r="A5" s="13" t="s">
        <v>3612</v>
      </c>
      <c r="B5" s="15" t="s">
        <v>3613</v>
      </c>
      <c r="C5" s="15" t="s">
        <v>3604</v>
      </c>
      <c r="D5" s="15" t="s">
        <v>3614</v>
      </c>
      <c r="E5" s="23" t="s">
        <v>19</v>
      </c>
      <c r="F5" s="16"/>
      <c r="G5" s="16"/>
      <c r="H5" s="19" t="n">
        <f aca="false">LEN(IF(F5&lt;&gt;"",F5,D5))</f>
        <v>406</v>
      </c>
      <c r="I5" s="24" t="str">
        <f aca="false">IF(OR(H5&lt;0,H5&gt;2000),"분량 확인","")</f>
        <v/>
      </c>
    </row>
    <row r="6" customFormat="false" ht="33.75" hidden="false" customHeight="true" outlineLevel="0" collapsed="false">
      <c r="A6" s="13" t="s">
        <v>3615</v>
      </c>
      <c r="B6" s="15" t="s">
        <v>3616</v>
      </c>
      <c r="C6" s="15" t="s">
        <v>3604</v>
      </c>
      <c r="D6" s="15" t="s">
        <v>3617</v>
      </c>
      <c r="E6" s="23" t="s">
        <v>19</v>
      </c>
      <c r="F6" s="16"/>
      <c r="G6" s="16"/>
      <c r="H6" s="19" t="n">
        <f aca="false">LEN(IF(F6&lt;&gt;"",F6,D6))</f>
        <v>19</v>
      </c>
      <c r="I6" s="24" t="str">
        <f aca="false">IF(OR(H6&lt;0,H6&gt;2000),"분량 확인","")</f>
        <v/>
      </c>
    </row>
  </sheetData>
  <autoFilter ref="A1:I6"/>
  <conditionalFormatting sqref="E2:E6">
    <cfRule type="cellIs" priority="2" operator="equal" aboveAverage="0" equalAverage="0" bottom="0" percent="0" rank="0" text="" dxfId="5">
      <formula>"확정"</formula>
    </cfRule>
    <cfRule type="cellIs" priority="3" operator="equal" aboveAverage="0" equalAverage="0" bottom="0" percent="0" rank="0" text="" dxfId="6">
      <formula>"수정요청"</formula>
    </cfRule>
    <cfRule type="cellIs" priority="4" operator="equal" aboveAverage="0" equalAverage="0" bottom="0" percent="0" rank="0" text="" dxfId="7">
      <formula>"검수중"</formula>
    </cfRule>
    <cfRule type="cellIs" priority="5" operator="equal" aboveAverage="0" equalAverage="0" bottom="0" percent="0" rank="0" text="" dxfId="8">
      <formula>"삭제"</formula>
    </cfRule>
  </conditionalFormatting>
  <conditionalFormatting sqref="I2:I6">
    <cfRule type="expression" priority="6" aboveAverage="0" equalAverage="0" bottom="0" percent="0" rank="0" text="" dxfId="9">
      <formula>I2="분량 확인"</formula>
    </cfRule>
  </conditionalFormatting>
  <dataValidations count="1">
    <dataValidation allowBlank="false" error="초안 · 검수중 · 수정요청 · 확정 · 삭제 중에서 골라 주세요." errorStyle="stop" errorTitle="상태" operator="between" showDropDown="false" showErrorMessage="false" showInputMessage="false" sqref="E2:E6" type="list">
      <formula1>"초안,검수중,수정요청,확정,삭제"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12F53"/>
    <pageSetUpPr fitToPage="false"/>
  </sheetPr>
  <dimension ref="A1:I188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2"/>
    <col collapsed="false" customWidth="true" hidden="false" outlineLevel="0" max="3" min="3" style="0" width="26"/>
    <col collapsed="false" customWidth="true" hidden="false" outlineLevel="0" max="4" min="4" style="0" width="62"/>
    <col collapsed="false" customWidth="true" hidden="false" outlineLevel="0" max="5" min="5" style="0" width="10"/>
    <col collapsed="false" customWidth="true" hidden="false" outlineLevel="0" max="6" min="6" style="0" width="56"/>
    <col collapsed="false" customWidth="true" hidden="false" outlineLevel="0" max="7" min="7" style="0" width="30"/>
    <col collapsed="false" customWidth="true" hidden="false" outlineLevel="0" max="8" min="8" style="0" width="9"/>
    <col collapsed="false" customWidth="true" hidden="false" outlineLevel="0" max="9" min="9" style="0" width="10"/>
  </cols>
  <sheetData>
    <row r="1" customFormat="false" ht="30" hidden="false" customHeight="true" outlineLevel="0" collapsed="false">
      <c r="A1" s="11" t="s">
        <v>554</v>
      </c>
      <c r="B1" s="12" t="s">
        <v>25</v>
      </c>
      <c r="C1" s="12" t="s">
        <v>26</v>
      </c>
      <c r="D1" s="12" t="s">
        <v>27</v>
      </c>
      <c r="E1" s="12" t="s">
        <v>28</v>
      </c>
      <c r="F1" s="12" t="s">
        <v>29</v>
      </c>
      <c r="G1" s="12" t="s">
        <v>30</v>
      </c>
      <c r="H1" s="12" t="s">
        <v>555</v>
      </c>
      <c r="I1" s="12" t="s">
        <v>556</v>
      </c>
    </row>
    <row r="2" customFormat="false" ht="75.75" hidden="false" customHeight="true" outlineLevel="0" collapsed="false">
      <c r="A2" s="13" t="s">
        <v>3618</v>
      </c>
      <c r="B2" s="14" t="s">
        <v>3619</v>
      </c>
      <c r="C2" s="15" t="s">
        <v>3620</v>
      </c>
      <c r="D2" s="15" t="s">
        <v>3621</v>
      </c>
      <c r="E2" s="23" t="s">
        <v>19</v>
      </c>
      <c r="F2" s="16"/>
      <c r="G2" s="16"/>
      <c r="H2" s="19" t="n">
        <f aca="false">LEN(IF(F2&lt;&gt;"",F2,D2))</f>
        <v>138</v>
      </c>
      <c r="I2" s="24" t="str">
        <f aca="false">IF(OR(H2&lt;8,H2&gt;500),"분량 확인","")</f>
        <v/>
      </c>
    </row>
    <row r="3" customFormat="false" ht="75.75" hidden="false" customHeight="true" outlineLevel="0" collapsed="false">
      <c r="A3" s="13" t="s">
        <v>3622</v>
      </c>
      <c r="B3" s="14" t="s">
        <v>3623</v>
      </c>
      <c r="C3" s="15" t="s">
        <v>3620</v>
      </c>
      <c r="D3" s="15" t="s">
        <v>3624</v>
      </c>
      <c r="E3" s="23" t="s">
        <v>19</v>
      </c>
      <c r="F3" s="16"/>
      <c r="G3" s="16"/>
      <c r="H3" s="19" t="n">
        <f aca="false">LEN(IF(F3&lt;&gt;"",F3,D3))</f>
        <v>144</v>
      </c>
      <c r="I3" s="24" t="str">
        <f aca="false">IF(OR(H3&lt;8,H3&gt;500),"분량 확인","")</f>
        <v/>
      </c>
    </row>
    <row r="4" customFormat="false" ht="75.75" hidden="false" customHeight="true" outlineLevel="0" collapsed="false">
      <c r="A4" s="13" t="s">
        <v>3625</v>
      </c>
      <c r="B4" s="14" t="s">
        <v>3626</v>
      </c>
      <c r="C4" s="15" t="s">
        <v>3620</v>
      </c>
      <c r="D4" s="15" t="s">
        <v>3627</v>
      </c>
      <c r="E4" s="23" t="s">
        <v>19</v>
      </c>
      <c r="F4" s="16"/>
      <c r="G4" s="16"/>
      <c r="H4" s="19" t="n">
        <f aca="false">LEN(IF(F4&lt;&gt;"",F4,D4))</f>
        <v>144</v>
      </c>
      <c r="I4" s="24" t="str">
        <f aca="false">IF(OR(H4&lt;8,H4&gt;500),"분량 확인","")</f>
        <v/>
      </c>
    </row>
    <row r="5" customFormat="false" ht="75.75" hidden="false" customHeight="true" outlineLevel="0" collapsed="false">
      <c r="A5" s="13" t="s">
        <v>3628</v>
      </c>
      <c r="B5" s="14" t="s">
        <v>3629</v>
      </c>
      <c r="C5" s="15" t="s">
        <v>3620</v>
      </c>
      <c r="D5" s="15" t="s">
        <v>3630</v>
      </c>
      <c r="E5" s="23" t="s">
        <v>19</v>
      </c>
      <c r="F5" s="16"/>
      <c r="G5" s="16"/>
      <c r="H5" s="19" t="n">
        <f aca="false">LEN(IF(F5&lt;&gt;"",F5,D5))</f>
        <v>130</v>
      </c>
      <c r="I5" s="24" t="str">
        <f aca="false">IF(OR(H5&lt;8,H5&gt;500),"분량 확인","")</f>
        <v/>
      </c>
    </row>
    <row r="6" customFormat="false" ht="75.75" hidden="false" customHeight="true" outlineLevel="0" collapsed="false">
      <c r="A6" s="13" t="s">
        <v>3631</v>
      </c>
      <c r="B6" s="14" t="s">
        <v>3632</v>
      </c>
      <c r="C6" s="15" t="s">
        <v>3620</v>
      </c>
      <c r="D6" s="15" t="s">
        <v>3633</v>
      </c>
      <c r="E6" s="23" t="s">
        <v>19</v>
      </c>
      <c r="F6" s="16"/>
      <c r="G6" s="16"/>
      <c r="H6" s="19" t="n">
        <f aca="false">LEN(IF(F6&lt;&gt;"",F6,D6))</f>
        <v>137</v>
      </c>
      <c r="I6" s="24" t="str">
        <f aca="false">IF(OR(H6&lt;8,H6&gt;500),"분량 확인","")</f>
        <v/>
      </c>
    </row>
    <row r="7" customFormat="false" ht="75.75" hidden="false" customHeight="true" outlineLevel="0" collapsed="false">
      <c r="A7" s="13" t="s">
        <v>3634</v>
      </c>
      <c r="B7" s="14" t="s">
        <v>3635</v>
      </c>
      <c r="C7" s="15" t="s">
        <v>3620</v>
      </c>
      <c r="D7" s="15" t="s">
        <v>3636</v>
      </c>
      <c r="E7" s="23" t="s">
        <v>19</v>
      </c>
      <c r="F7" s="16"/>
      <c r="G7" s="16"/>
      <c r="H7" s="19" t="n">
        <f aca="false">LEN(IF(F7&lt;&gt;"",F7,D7))</f>
        <v>141</v>
      </c>
      <c r="I7" s="24" t="str">
        <f aca="false">IF(OR(H7&lt;8,H7&gt;500),"분량 확인","")</f>
        <v/>
      </c>
    </row>
    <row r="8" customFormat="false" ht="75.75" hidden="false" customHeight="true" outlineLevel="0" collapsed="false">
      <c r="A8" s="13" t="s">
        <v>3637</v>
      </c>
      <c r="B8" s="14" t="s">
        <v>3638</v>
      </c>
      <c r="C8" s="15" t="s">
        <v>3620</v>
      </c>
      <c r="D8" s="15" t="s">
        <v>3639</v>
      </c>
      <c r="E8" s="23" t="s">
        <v>19</v>
      </c>
      <c r="F8" s="16"/>
      <c r="G8" s="16"/>
      <c r="H8" s="19" t="n">
        <f aca="false">LEN(IF(F8&lt;&gt;"",F8,D8))</f>
        <v>144</v>
      </c>
      <c r="I8" s="24" t="str">
        <f aca="false">IF(OR(H8&lt;8,H8&gt;500),"분량 확인","")</f>
        <v/>
      </c>
    </row>
    <row r="9" customFormat="false" ht="75.75" hidden="false" customHeight="true" outlineLevel="0" collapsed="false">
      <c r="A9" s="13" t="s">
        <v>3640</v>
      </c>
      <c r="B9" s="14" t="s">
        <v>3641</v>
      </c>
      <c r="C9" s="15" t="s">
        <v>3620</v>
      </c>
      <c r="D9" s="15" t="s">
        <v>3642</v>
      </c>
      <c r="E9" s="23" t="s">
        <v>19</v>
      </c>
      <c r="F9" s="16"/>
      <c r="G9" s="16"/>
      <c r="H9" s="19" t="n">
        <f aca="false">LEN(IF(F9&lt;&gt;"",F9,D9))</f>
        <v>135</v>
      </c>
      <c r="I9" s="24" t="str">
        <f aca="false">IF(OR(H9&lt;8,H9&gt;500),"분량 확인","")</f>
        <v/>
      </c>
    </row>
    <row r="10" customFormat="false" ht="75.75" hidden="false" customHeight="true" outlineLevel="0" collapsed="false">
      <c r="A10" s="13" t="s">
        <v>3643</v>
      </c>
      <c r="B10" s="14" t="s">
        <v>3644</v>
      </c>
      <c r="C10" s="15" t="s">
        <v>3620</v>
      </c>
      <c r="D10" s="15" t="s">
        <v>3645</v>
      </c>
      <c r="E10" s="23" t="s">
        <v>19</v>
      </c>
      <c r="F10" s="16"/>
      <c r="G10" s="16"/>
      <c r="H10" s="19" t="n">
        <f aca="false">LEN(IF(F10&lt;&gt;"",F10,D10))</f>
        <v>138</v>
      </c>
      <c r="I10" s="24" t="str">
        <f aca="false">IF(OR(H10&lt;8,H10&gt;500),"분량 확인","")</f>
        <v/>
      </c>
    </row>
    <row r="11" customFormat="false" ht="75.75" hidden="false" customHeight="true" outlineLevel="0" collapsed="false">
      <c r="A11" s="13" t="s">
        <v>3646</v>
      </c>
      <c r="B11" s="14" t="s">
        <v>3647</v>
      </c>
      <c r="C11" s="15" t="s">
        <v>3620</v>
      </c>
      <c r="D11" s="15" t="s">
        <v>3648</v>
      </c>
      <c r="E11" s="23" t="s">
        <v>19</v>
      </c>
      <c r="F11" s="16"/>
      <c r="G11" s="16"/>
      <c r="H11" s="19" t="n">
        <f aca="false">LEN(IF(F11&lt;&gt;"",F11,D11))</f>
        <v>124</v>
      </c>
      <c r="I11" s="24" t="str">
        <f aca="false">IF(OR(H11&lt;8,H11&gt;500),"분량 확인","")</f>
        <v/>
      </c>
    </row>
    <row r="12" customFormat="false" ht="75.75" hidden="false" customHeight="true" outlineLevel="0" collapsed="false">
      <c r="A12" s="13" t="s">
        <v>3649</v>
      </c>
      <c r="B12" s="14" t="s">
        <v>3650</v>
      </c>
      <c r="C12" s="15" t="s">
        <v>3620</v>
      </c>
      <c r="D12" s="15" t="s">
        <v>3651</v>
      </c>
      <c r="E12" s="23" t="s">
        <v>19</v>
      </c>
      <c r="F12" s="16"/>
      <c r="G12" s="16"/>
      <c r="H12" s="19" t="n">
        <f aca="false">LEN(IF(F12&lt;&gt;"",F12,D12))</f>
        <v>131</v>
      </c>
      <c r="I12" s="24" t="str">
        <f aca="false">IF(OR(H12&lt;8,H12&gt;500),"분량 확인","")</f>
        <v/>
      </c>
    </row>
    <row r="13" customFormat="false" ht="75.75" hidden="false" customHeight="true" outlineLevel="0" collapsed="false">
      <c r="A13" s="13" t="s">
        <v>3652</v>
      </c>
      <c r="B13" s="14" t="s">
        <v>3653</v>
      </c>
      <c r="C13" s="15" t="s">
        <v>3620</v>
      </c>
      <c r="D13" s="15" t="s">
        <v>3654</v>
      </c>
      <c r="E13" s="23" t="s">
        <v>19</v>
      </c>
      <c r="F13" s="16"/>
      <c r="G13" s="16"/>
      <c r="H13" s="19" t="n">
        <f aca="false">LEN(IF(F13&lt;&gt;"",F13,D13))</f>
        <v>135</v>
      </c>
      <c r="I13" s="24" t="str">
        <f aca="false">IF(OR(H13&lt;8,H13&gt;500),"분량 확인","")</f>
        <v/>
      </c>
    </row>
    <row r="14" customFormat="false" ht="90" hidden="false" customHeight="true" outlineLevel="0" collapsed="false">
      <c r="A14" s="13" t="s">
        <v>3655</v>
      </c>
      <c r="B14" s="14" t="s">
        <v>3656</v>
      </c>
      <c r="C14" s="15" t="s">
        <v>3620</v>
      </c>
      <c r="D14" s="15" t="s">
        <v>3657</v>
      </c>
      <c r="E14" s="23" t="s">
        <v>19</v>
      </c>
      <c r="F14" s="16"/>
      <c r="G14" s="16"/>
      <c r="H14" s="19" t="n">
        <f aca="false">LEN(IF(F14&lt;&gt;"",F14,D14))</f>
        <v>146</v>
      </c>
      <c r="I14" s="24" t="str">
        <f aca="false">IF(OR(H14&lt;8,H14&gt;500),"분량 확인","")</f>
        <v/>
      </c>
    </row>
    <row r="15" customFormat="false" ht="75.75" hidden="false" customHeight="true" outlineLevel="0" collapsed="false">
      <c r="A15" s="13" t="s">
        <v>3658</v>
      </c>
      <c r="B15" s="14" t="s">
        <v>3659</v>
      </c>
      <c r="C15" s="15" t="s">
        <v>3620</v>
      </c>
      <c r="D15" s="15" t="s">
        <v>3660</v>
      </c>
      <c r="E15" s="23" t="s">
        <v>19</v>
      </c>
      <c r="F15" s="16"/>
      <c r="G15" s="16"/>
      <c r="H15" s="19" t="n">
        <f aca="false">LEN(IF(F15&lt;&gt;"",F15,D15))</f>
        <v>140</v>
      </c>
      <c r="I15" s="24" t="str">
        <f aca="false">IF(OR(H15&lt;8,H15&gt;500),"분량 확인","")</f>
        <v/>
      </c>
    </row>
    <row r="16" customFormat="false" ht="75.75" hidden="false" customHeight="true" outlineLevel="0" collapsed="false">
      <c r="A16" s="13" t="s">
        <v>3661</v>
      </c>
      <c r="B16" s="14" t="s">
        <v>3662</v>
      </c>
      <c r="C16" s="15" t="s">
        <v>3620</v>
      </c>
      <c r="D16" s="15" t="s">
        <v>3663</v>
      </c>
      <c r="E16" s="23" t="s">
        <v>19</v>
      </c>
      <c r="F16" s="16"/>
      <c r="G16" s="16"/>
      <c r="H16" s="19" t="n">
        <f aca="false">LEN(IF(F16&lt;&gt;"",F16,D16))</f>
        <v>137</v>
      </c>
      <c r="I16" s="24" t="str">
        <f aca="false">IF(OR(H16&lt;8,H16&gt;500),"분량 확인","")</f>
        <v/>
      </c>
    </row>
    <row r="17" customFormat="false" ht="75.75" hidden="false" customHeight="true" outlineLevel="0" collapsed="false">
      <c r="A17" s="13" t="s">
        <v>3664</v>
      </c>
      <c r="B17" s="14" t="s">
        <v>3665</v>
      </c>
      <c r="C17" s="15" t="s">
        <v>3620</v>
      </c>
      <c r="D17" s="15" t="s">
        <v>3666</v>
      </c>
      <c r="E17" s="23" t="s">
        <v>19</v>
      </c>
      <c r="F17" s="16"/>
      <c r="G17" s="16"/>
      <c r="H17" s="19" t="n">
        <f aca="false">LEN(IF(F17&lt;&gt;"",F17,D17))</f>
        <v>126</v>
      </c>
      <c r="I17" s="24" t="str">
        <f aca="false">IF(OR(H17&lt;8,H17&gt;500),"분량 확인","")</f>
        <v/>
      </c>
    </row>
    <row r="18" customFormat="false" ht="75.75" hidden="false" customHeight="true" outlineLevel="0" collapsed="false">
      <c r="A18" s="13" t="s">
        <v>3667</v>
      </c>
      <c r="B18" s="14" t="s">
        <v>3668</v>
      </c>
      <c r="C18" s="15" t="s">
        <v>3620</v>
      </c>
      <c r="D18" s="15" t="s">
        <v>3669</v>
      </c>
      <c r="E18" s="23" t="s">
        <v>19</v>
      </c>
      <c r="F18" s="16"/>
      <c r="G18" s="16"/>
      <c r="H18" s="19" t="n">
        <f aca="false">LEN(IF(F18&lt;&gt;"",F18,D18))</f>
        <v>133</v>
      </c>
      <c r="I18" s="24" t="str">
        <f aca="false">IF(OR(H18&lt;8,H18&gt;500),"분량 확인","")</f>
        <v/>
      </c>
    </row>
    <row r="19" customFormat="false" ht="75.75" hidden="false" customHeight="true" outlineLevel="0" collapsed="false">
      <c r="A19" s="13" t="s">
        <v>3670</v>
      </c>
      <c r="B19" s="14" t="s">
        <v>3671</v>
      </c>
      <c r="C19" s="15" t="s">
        <v>3620</v>
      </c>
      <c r="D19" s="15" t="s">
        <v>3672</v>
      </c>
      <c r="E19" s="23" t="s">
        <v>19</v>
      </c>
      <c r="F19" s="16"/>
      <c r="G19" s="16"/>
      <c r="H19" s="19" t="n">
        <f aca="false">LEN(IF(F19&lt;&gt;"",F19,D19))</f>
        <v>137</v>
      </c>
      <c r="I19" s="24" t="str">
        <f aca="false">IF(OR(H19&lt;8,H19&gt;500),"분량 확인","")</f>
        <v/>
      </c>
    </row>
    <row r="20" customFormat="false" ht="75.75" hidden="false" customHeight="true" outlineLevel="0" collapsed="false">
      <c r="A20" s="13" t="s">
        <v>3673</v>
      </c>
      <c r="B20" s="14" t="s">
        <v>3674</v>
      </c>
      <c r="C20" s="15" t="s">
        <v>3620</v>
      </c>
      <c r="D20" s="15" t="s">
        <v>3675</v>
      </c>
      <c r="E20" s="23" t="s">
        <v>19</v>
      </c>
      <c r="F20" s="16"/>
      <c r="G20" s="16"/>
      <c r="H20" s="19" t="n">
        <f aca="false">LEN(IF(F20&lt;&gt;"",F20,D20))</f>
        <v>132</v>
      </c>
      <c r="I20" s="24" t="str">
        <f aca="false">IF(OR(H20&lt;8,H20&gt;500),"분량 확인","")</f>
        <v/>
      </c>
    </row>
    <row r="21" customFormat="false" ht="75.75" hidden="false" customHeight="true" outlineLevel="0" collapsed="false">
      <c r="A21" s="13" t="s">
        <v>3676</v>
      </c>
      <c r="B21" s="14" t="s">
        <v>3677</v>
      </c>
      <c r="C21" s="15" t="s">
        <v>3620</v>
      </c>
      <c r="D21" s="15" t="s">
        <v>3678</v>
      </c>
      <c r="E21" s="23" t="s">
        <v>19</v>
      </c>
      <c r="F21" s="16"/>
      <c r="G21" s="16"/>
      <c r="H21" s="19" t="n">
        <f aca="false">LEN(IF(F21&lt;&gt;"",F21,D21))</f>
        <v>126</v>
      </c>
      <c r="I21" s="24" t="str">
        <f aca="false">IF(OR(H21&lt;8,H21&gt;500),"분량 확인","")</f>
        <v/>
      </c>
    </row>
    <row r="22" customFormat="false" ht="75.75" hidden="false" customHeight="true" outlineLevel="0" collapsed="false">
      <c r="A22" s="13" t="s">
        <v>3679</v>
      </c>
      <c r="B22" s="14" t="s">
        <v>3680</v>
      </c>
      <c r="C22" s="15" t="s">
        <v>3620</v>
      </c>
      <c r="D22" s="15" t="s">
        <v>3681</v>
      </c>
      <c r="E22" s="23" t="s">
        <v>19</v>
      </c>
      <c r="F22" s="16"/>
      <c r="G22" s="16"/>
      <c r="H22" s="19" t="n">
        <f aca="false">LEN(IF(F22&lt;&gt;"",F22,D22))</f>
        <v>126</v>
      </c>
      <c r="I22" s="24" t="str">
        <f aca="false">IF(OR(H22&lt;8,H22&gt;500),"분량 확인","")</f>
        <v/>
      </c>
    </row>
    <row r="23" customFormat="false" ht="75.75" hidden="false" customHeight="true" outlineLevel="0" collapsed="false">
      <c r="A23" s="13" t="s">
        <v>3682</v>
      </c>
      <c r="B23" s="14" t="s">
        <v>3683</v>
      </c>
      <c r="C23" s="15" t="s">
        <v>3620</v>
      </c>
      <c r="D23" s="15" t="s">
        <v>3684</v>
      </c>
      <c r="E23" s="23" t="s">
        <v>19</v>
      </c>
      <c r="F23" s="16"/>
      <c r="G23" s="16"/>
      <c r="H23" s="19" t="n">
        <f aca="false">LEN(IF(F23&lt;&gt;"",F23,D23))</f>
        <v>124</v>
      </c>
      <c r="I23" s="24" t="str">
        <f aca="false">IF(OR(H23&lt;8,H23&gt;500),"분량 확인","")</f>
        <v/>
      </c>
    </row>
    <row r="24" customFormat="false" ht="75.75" hidden="false" customHeight="true" outlineLevel="0" collapsed="false">
      <c r="A24" s="13" t="s">
        <v>3685</v>
      </c>
      <c r="B24" s="14" t="s">
        <v>3686</v>
      </c>
      <c r="C24" s="15" t="s">
        <v>3620</v>
      </c>
      <c r="D24" s="15" t="s">
        <v>3687</v>
      </c>
      <c r="E24" s="23" t="s">
        <v>19</v>
      </c>
      <c r="F24" s="16"/>
      <c r="G24" s="16"/>
      <c r="H24" s="19" t="n">
        <f aca="false">LEN(IF(F24&lt;&gt;"",F24,D24))</f>
        <v>119</v>
      </c>
      <c r="I24" s="24" t="str">
        <f aca="false">IF(OR(H24&lt;8,H24&gt;500),"분량 확인","")</f>
        <v/>
      </c>
    </row>
    <row r="25" customFormat="false" ht="75.75" hidden="false" customHeight="true" outlineLevel="0" collapsed="false">
      <c r="A25" s="13" t="s">
        <v>3688</v>
      </c>
      <c r="B25" s="14" t="s">
        <v>3689</v>
      </c>
      <c r="C25" s="15" t="s">
        <v>3620</v>
      </c>
      <c r="D25" s="15" t="s">
        <v>3690</v>
      </c>
      <c r="E25" s="23" t="s">
        <v>19</v>
      </c>
      <c r="F25" s="16"/>
      <c r="G25" s="16"/>
      <c r="H25" s="19" t="n">
        <f aca="false">LEN(IF(F25&lt;&gt;"",F25,D25))</f>
        <v>123</v>
      </c>
      <c r="I25" s="24" t="str">
        <f aca="false">IF(OR(H25&lt;8,H25&gt;500),"분량 확인","")</f>
        <v/>
      </c>
    </row>
    <row r="26" customFormat="false" ht="90" hidden="false" customHeight="true" outlineLevel="0" collapsed="false">
      <c r="A26" s="13" t="s">
        <v>3691</v>
      </c>
      <c r="B26" s="14" t="s">
        <v>3692</v>
      </c>
      <c r="C26" s="15" t="s">
        <v>3620</v>
      </c>
      <c r="D26" s="15" t="s">
        <v>3693</v>
      </c>
      <c r="E26" s="23" t="s">
        <v>19</v>
      </c>
      <c r="F26" s="16"/>
      <c r="G26" s="16"/>
      <c r="H26" s="19" t="n">
        <f aca="false">LEN(IF(F26&lt;&gt;"",F26,D26))</f>
        <v>148</v>
      </c>
      <c r="I26" s="24" t="str">
        <f aca="false">IF(OR(H26&lt;8,H26&gt;500),"분량 확인","")</f>
        <v/>
      </c>
    </row>
    <row r="27" customFormat="false" ht="75.75" hidden="false" customHeight="true" outlineLevel="0" collapsed="false">
      <c r="A27" s="13" t="s">
        <v>3694</v>
      </c>
      <c r="B27" s="14" t="s">
        <v>3695</v>
      </c>
      <c r="C27" s="15" t="s">
        <v>3620</v>
      </c>
      <c r="D27" s="15" t="s">
        <v>3696</v>
      </c>
      <c r="E27" s="23" t="s">
        <v>19</v>
      </c>
      <c r="F27" s="16"/>
      <c r="G27" s="16"/>
      <c r="H27" s="19" t="n">
        <f aca="false">LEN(IF(F27&lt;&gt;"",F27,D27))</f>
        <v>142</v>
      </c>
      <c r="I27" s="24" t="str">
        <f aca="false">IF(OR(H27&lt;8,H27&gt;500),"분량 확인","")</f>
        <v/>
      </c>
    </row>
    <row r="28" customFormat="false" ht="75.75" hidden="false" customHeight="true" outlineLevel="0" collapsed="false">
      <c r="A28" s="13" t="s">
        <v>3697</v>
      </c>
      <c r="B28" s="14" t="s">
        <v>3698</v>
      </c>
      <c r="C28" s="15" t="s">
        <v>3620</v>
      </c>
      <c r="D28" s="15" t="s">
        <v>3699</v>
      </c>
      <c r="E28" s="23" t="s">
        <v>19</v>
      </c>
      <c r="F28" s="16"/>
      <c r="G28" s="16"/>
      <c r="H28" s="19" t="n">
        <f aca="false">LEN(IF(F28&lt;&gt;"",F28,D28))</f>
        <v>142</v>
      </c>
      <c r="I28" s="24" t="str">
        <f aca="false">IF(OR(H28&lt;8,H28&gt;500),"분량 확인","")</f>
        <v/>
      </c>
    </row>
    <row r="29" customFormat="false" ht="75.75" hidden="false" customHeight="true" outlineLevel="0" collapsed="false">
      <c r="A29" s="13" t="s">
        <v>3700</v>
      </c>
      <c r="B29" s="14" t="s">
        <v>3701</v>
      </c>
      <c r="C29" s="15" t="s">
        <v>3620</v>
      </c>
      <c r="D29" s="15" t="s">
        <v>3702</v>
      </c>
      <c r="E29" s="23" t="s">
        <v>19</v>
      </c>
      <c r="F29" s="16"/>
      <c r="G29" s="16"/>
      <c r="H29" s="19" t="n">
        <f aca="false">LEN(IF(F29&lt;&gt;"",F29,D29))</f>
        <v>128</v>
      </c>
      <c r="I29" s="24" t="str">
        <f aca="false">IF(OR(H29&lt;8,H29&gt;500),"분량 확인","")</f>
        <v/>
      </c>
    </row>
    <row r="30" customFormat="false" ht="75.75" hidden="false" customHeight="true" outlineLevel="0" collapsed="false">
      <c r="A30" s="13" t="s">
        <v>3703</v>
      </c>
      <c r="B30" s="14" t="s">
        <v>3704</v>
      </c>
      <c r="C30" s="15" t="s">
        <v>3620</v>
      </c>
      <c r="D30" s="15" t="s">
        <v>3705</v>
      </c>
      <c r="E30" s="23" t="s">
        <v>19</v>
      </c>
      <c r="F30" s="16"/>
      <c r="G30" s="16"/>
      <c r="H30" s="19" t="n">
        <f aca="false">LEN(IF(F30&lt;&gt;"",F30,D30))</f>
        <v>132</v>
      </c>
      <c r="I30" s="24" t="str">
        <f aca="false">IF(OR(H30&lt;8,H30&gt;500),"분량 확인","")</f>
        <v/>
      </c>
    </row>
    <row r="31" customFormat="false" ht="75.75" hidden="false" customHeight="true" outlineLevel="0" collapsed="false">
      <c r="A31" s="13" t="s">
        <v>3706</v>
      </c>
      <c r="B31" s="14" t="s">
        <v>3707</v>
      </c>
      <c r="C31" s="15" t="s">
        <v>3620</v>
      </c>
      <c r="D31" s="15" t="s">
        <v>3708</v>
      </c>
      <c r="E31" s="23" t="s">
        <v>19</v>
      </c>
      <c r="F31" s="16"/>
      <c r="G31" s="16"/>
      <c r="H31" s="19" t="n">
        <f aca="false">LEN(IF(F31&lt;&gt;"",F31,D31))</f>
        <v>139</v>
      </c>
      <c r="I31" s="24" t="str">
        <f aca="false">IF(OR(H31&lt;8,H31&gt;500),"분량 확인","")</f>
        <v/>
      </c>
    </row>
    <row r="32" customFormat="false" ht="75.75" hidden="false" customHeight="true" outlineLevel="0" collapsed="false">
      <c r="A32" s="13" t="s">
        <v>3709</v>
      </c>
      <c r="B32" s="14" t="s">
        <v>3710</v>
      </c>
      <c r="C32" s="15" t="s">
        <v>3620</v>
      </c>
      <c r="D32" s="15" t="s">
        <v>3711</v>
      </c>
      <c r="E32" s="23" t="s">
        <v>19</v>
      </c>
      <c r="F32" s="16"/>
      <c r="G32" s="16"/>
      <c r="H32" s="19" t="n">
        <f aca="false">LEN(IF(F32&lt;&gt;"",F32,D32))</f>
        <v>141</v>
      </c>
      <c r="I32" s="24" t="str">
        <f aca="false">IF(OR(H32&lt;8,H32&gt;500),"분량 확인","")</f>
        <v/>
      </c>
    </row>
    <row r="33" customFormat="false" ht="75.75" hidden="false" customHeight="true" outlineLevel="0" collapsed="false">
      <c r="A33" s="13" t="s">
        <v>3712</v>
      </c>
      <c r="B33" s="14" t="s">
        <v>3713</v>
      </c>
      <c r="C33" s="15" t="s">
        <v>3620</v>
      </c>
      <c r="D33" s="15" t="s">
        <v>3714</v>
      </c>
      <c r="E33" s="23" t="s">
        <v>19</v>
      </c>
      <c r="F33" s="16"/>
      <c r="G33" s="16"/>
      <c r="H33" s="19" t="n">
        <f aca="false">LEN(IF(F33&lt;&gt;"",F33,D33))</f>
        <v>135</v>
      </c>
      <c r="I33" s="24" t="str">
        <f aca="false">IF(OR(H33&lt;8,H33&gt;500),"분량 확인","")</f>
        <v/>
      </c>
    </row>
    <row r="34" customFormat="false" ht="75.75" hidden="false" customHeight="true" outlineLevel="0" collapsed="false">
      <c r="A34" s="13" t="s">
        <v>3715</v>
      </c>
      <c r="B34" s="14" t="s">
        <v>3716</v>
      </c>
      <c r="C34" s="15" t="s">
        <v>3620</v>
      </c>
      <c r="D34" s="15" t="s">
        <v>3717</v>
      </c>
      <c r="E34" s="23" t="s">
        <v>19</v>
      </c>
      <c r="F34" s="16"/>
      <c r="G34" s="16"/>
      <c r="H34" s="19" t="n">
        <f aca="false">LEN(IF(F34&lt;&gt;"",F34,D34))</f>
        <v>135</v>
      </c>
      <c r="I34" s="24" t="str">
        <f aca="false">IF(OR(H34&lt;8,H34&gt;500),"분량 확인","")</f>
        <v/>
      </c>
    </row>
    <row r="35" customFormat="false" ht="75.75" hidden="false" customHeight="true" outlineLevel="0" collapsed="false">
      <c r="A35" s="13" t="s">
        <v>3718</v>
      </c>
      <c r="B35" s="14" t="s">
        <v>3719</v>
      </c>
      <c r="C35" s="15" t="s">
        <v>3620</v>
      </c>
      <c r="D35" s="15" t="s">
        <v>3720</v>
      </c>
      <c r="E35" s="23" t="s">
        <v>19</v>
      </c>
      <c r="F35" s="16"/>
      <c r="G35" s="16"/>
      <c r="H35" s="19" t="n">
        <f aca="false">LEN(IF(F35&lt;&gt;"",F35,D35))</f>
        <v>121</v>
      </c>
      <c r="I35" s="24" t="str">
        <f aca="false">IF(OR(H35&lt;8,H35&gt;500),"분량 확인","")</f>
        <v/>
      </c>
    </row>
    <row r="36" customFormat="false" ht="75.75" hidden="false" customHeight="true" outlineLevel="0" collapsed="false">
      <c r="A36" s="13" t="s">
        <v>3721</v>
      </c>
      <c r="B36" s="14" t="s">
        <v>3722</v>
      </c>
      <c r="C36" s="15" t="s">
        <v>3620</v>
      </c>
      <c r="D36" s="15" t="s">
        <v>3723</v>
      </c>
      <c r="E36" s="23" t="s">
        <v>19</v>
      </c>
      <c r="F36" s="16"/>
      <c r="G36" s="16"/>
      <c r="H36" s="19" t="n">
        <f aca="false">LEN(IF(F36&lt;&gt;"",F36,D36))</f>
        <v>128</v>
      </c>
      <c r="I36" s="24" t="str">
        <f aca="false">IF(OR(H36&lt;8,H36&gt;500),"분량 확인","")</f>
        <v/>
      </c>
    </row>
    <row r="37" customFormat="false" ht="75.75" hidden="false" customHeight="true" outlineLevel="0" collapsed="false">
      <c r="A37" s="13" t="s">
        <v>3724</v>
      </c>
      <c r="B37" s="14" t="s">
        <v>3725</v>
      </c>
      <c r="C37" s="15" t="s">
        <v>3620</v>
      </c>
      <c r="D37" s="15" t="s">
        <v>3726</v>
      </c>
      <c r="E37" s="23" t="s">
        <v>19</v>
      </c>
      <c r="F37" s="16"/>
      <c r="G37" s="16"/>
      <c r="H37" s="19" t="n">
        <f aca="false">LEN(IF(F37&lt;&gt;"",F37,D37))</f>
        <v>129</v>
      </c>
      <c r="I37" s="24" t="str">
        <f aca="false">IF(OR(H37&lt;8,H37&gt;500),"분량 확인","")</f>
        <v/>
      </c>
    </row>
    <row r="38" customFormat="false" ht="48" hidden="false" customHeight="true" outlineLevel="0" collapsed="false">
      <c r="A38" s="13" t="s">
        <v>3727</v>
      </c>
      <c r="B38" s="14" t="s">
        <v>3728</v>
      </c>
      <c r="C38" s="15" t="s">
        <v>3729</v>
      </c>
      <c r="D38" s="15" t="s">
        <v>3730</v>
      </c>
      <c r="E38" s="23" t="s">
        <v>19</v>
      </c>
      <c r="F38" s="16"/>
      <c r="G38" s="16"/>
      <c r="H38" s="19" t="n">
        <f aca="false">LEN(IF(F38&lt;&gt;"",F38,D38))</f>
        <v>76</v>
      </c>
      <c r="I38" s="24" t="str">
        <f aca="false">IF(OR(H38&lt;8,H38&gt;500),"분량 확인","")</f>
        <v/>
      </c>
    </row>
    <row r="39" customFormat="false" ht="61.5" hidden="false" customHeight="true" outlineLevel="0" collapsed="false">
      <c r="A39" s="13" t="s">
        <v>3731</v>
      </c>
      <c r="B39" s="14" t="s">
        <v>3732</v>
      </c>
      <c r="C39" s="15" t="s">
        <v>3729</v>
      </c>
      <c r="D39" s="15" t="s">
        <v>3733</v>
      </c>
      <c r="E39" s="23" t="s">
        <v>19</v>
      </c>
      <c r="F39" s="16"/>
      <c r="G39" s="16"/>
      <c r="H39" s="19" t="n">
        <f aca="false">LEN(IF(F39&lt;&gt;"",F39,D39))</f>
        <v>92</v>
      </c>
      <c r="I39" s="24" t="str">
        <f aca="false">IF(OR(H39&lt;8,H39&gt;500),"분량 확인","")</f>
        <v/>
      </c>
    </row>
    <row r="40" customFormat="false" ht="61.5" hidden="false" customHeight="true" outlineLevel="0" collapsed="false">
      <c r="A40" s="13" t="s">
        <v>3734</v>
      </c>
      <c r="B40" s="14" t="s">
        <v>3735</v>
      </c>
      <c r="C40" s="15" t="s">
        <v>3729</v>
      </c>
      <c r="D40" s="15" t="s">
        <v>3736</v>
      </c>
      <c r="E40" s="23" t="s">
        <v>19</v>
      </c>
      <c r="F40" s="16"/>
      <c r="G40" s="16"/>
      <c r="H40" s="19" t="n">
        <f aca="false">LEN(IF(F40&lt;&gt;"",F40,D40))</f>
        <v>91</v>
      </c>
      <c r="I40" s="24" t="str">
        <f aca="false">IF(OR(H40&lt;8,H40&gt;500),"분량 확인","")</f>
        <v/>
      </c>
    </row>
    <row r="41" customFormat="false" ht="48" hidden="false" customHeight="true" outlineLevel="0" collapsed="false">
      <c r="A41" s="13" t="s">
        <v>3737</v>
      </c>
      <c r="B41" s="14" t="s">
        <v>3738</v>
      </c>
      <c r="C41" s="15" t="s">
        <v>3729</v>
      </c>
      <c r="D41" s="15" t="s">
        <v>3739</v>
      </c>
      <c r="E41" s="23" t="s">
        <v>19</v>
      </c>
      <c r="F41" s="16"/>
      <c r="G41" s="16"/>
      <c r="H41" s="19" t="n">
        <f aca="false">LEN(IF(F41&lt;&gt;"",F41,D41))</f>
        <v>87</v>
      </c>
      <c r="I41" s="24" t="str">
        <f aca="false">IF(OR(H41&lt;8,H41&gt;500),"분량 확인","")</f>
        <v/>
      </c>
    </row>
    <row r="42" customFormat="false" ht="61.5" hidden="false" customHeight="true" outlineLevel="0" collapsed="false">
      <c r="A42" s="13" t="s">
        <v>3740</v>
      </c>
      <c r="B42" s="14" t="s">
        <v>3741</v>
      </c>
      <c r="C42" s="15" t="s">
        <v>3729</v>
      </c>
      <c r="D42" s="15" t="s">
        <v>3742</v>
      </c>
      <c r="E42" s="23" t="s">
        <v>19</v>
      </c>
      <c r="F42" s="16"/>
      <c r="G42" s="16"/>
      <c r="H42" s="19" t="n">
        <f aca="false">LEN(IF(F42&lt;&gt;"",F42,D42))</f>
        <v>96</v>
      </c>
      <c r="I42" s="24" t="str">
        <f aca="false">IF(OR(H42&lt;8,H42&gt;500),"분량 확인","")</f>
        <v/>
      </c>
    </row>
    <row r="43" customFormat="false" ht="61.5" hidden="false" customHeight="true" outlineLevel="0" collapsed="false">
      <c r="A43" s="13" t="s">
        <v>3743</v>
      </c>
      <c r="B43" s="14" t="s">
        <v>3744</v>
      </c>
      <c r="C43" s="15" t="s">
        <v>3729</v>
      </c>
      <c r="D43" s="15" t="s">
        <v>3745</v>
      </c>
      <c r="E43" s="23" t="s">
        <v>19</v>
      </c>
      <c r="F43" s="16"/>
      <c r="G43" s="16"/>
      <c r="H43" s="19" t="n">
        <f aca="false">LEN(IF(F43&lt;&gt;"",F43,D43))</f>
        <v>89</v>
      </c>
      <c r="I43" s="24" t="str">
        <f aca="false">IF(OR(H43&lt;8,H43&gt;500),"분량 확인","")</f>
        <v/>
      </c>
    </row>
    <row r="44" customFormat="false" ht="48" hidden="false" customHeight="true" outlineLevel="0" collapsed="false">
      <c r="A44" s="13" t="s">
        <v>3746</v>
      </c>
      <c r="B44" s="14" t="s">
        <v>3747</v>
      </c>
      <c r="C44" s="15" t="s">
        <v>3729</v>
      </c>
      <c r="D44" s="15" t="s">
        <v>3748</v>
      </c>
      <c r="E44" s="23" t="s">
        <v>19</v>
      </c>
      <c r="F44" s="16"/>
      <c r="G44" s="16"/>
      <c r="H44" s="19" t="n">
        <f aca="false">LEN(IF(F44&lt;&gt;"",F44,D44))</f>
        <v>79</v>
      </c>
      <c r="I44" s="24" t="str">
        <f aca="false">IF(OR(H44&lt;8,H44&gt;500),"분량 확인","")</f>
        <v/>
      </c>
    </row>
    <row r="45" customFormat="false" ht="48" hidden="false" customHeight="true" outlineLevel="0" collapsed="false">
      <c r="A45" s="13" t="s">
        <v>3749</v>
      </c>
      <c r="B45" s="14" t="s">
        <v>3750</v>
      </c>
      <c r="C45" s="15" t="s">
        <v>3729</v>
      </c>
      <c r="D45" s="15" t="s">
        <v>3751</v>
      </c>
      <c r="E45" s="23" t="s">
        <v>19</v>
      </c>
      <c r="F45" s="16"/>
      <c r="G45" s="16"/>
      <c r="H45" s="19" t="n">
        <f aca="false">LEN(IF(F45&lt;&gt;"",F45,D45))</f>
        <v>76</v>
      </c>
      <c r="I45" s="24" t="str">
        <f aca="false">IF(OR(H45&lt;8,H45&gt;500),"분량 확인","")</f>
        <v/>
      </c>
    </row>
    <row r="46" customFormat="false" ht="48" hidden="false" customHeight="true" outlineLevel="0" collapsed="false">
      <c r="A46" s="13" t="s">
        <v>3752</v>
      </c>
      <c r="B46" s="14" t="s">
        <v>3753</v>
      </c>
      <c r="C46" s="15" t="s">
        <v>3729</v>
      </c>
      <c r="D46" s="15" t="s">
        <v>3754</v>
      </c>
      <c r="E46" s="23" t="s">
        <v>19</v>
      </c>
      <c r="F46" s="16"/>
      <c r="G46" s="16"/>
      <c r="H46" s="19" t="n">
        <f aca="false">LEN(IF(F46&lt;&gt;"",F46,D46))</f>
        <v>84</v>
      </c>
      <c r="I46" s="24" t="str">
        <f aca="false">IF(OR(H46&lt;8,H46&gt;500),"분량 확인","")</f>
        <v/>
      </c>
    </row>
    <row r="47" customFormat="false" ht="48" hidden="false" customHeight="true" outlineLevel="0" collapsed="false">
      <c r="A47" s="13" t="s">
        <v>3755</v>
      </c>
      <c r="B47" s="14" t="s">
        <v>3756</v>
      </c>
      <c r="C47" s="15" t="s">
        <v>3729</v>
      </c>
      <c r="D47" s="15" t="s">
        <v>3757</v>
      </c>
      <c r="E47" s="23" t="s">
        <v>19</v>
      </c>
      <c r="F47" s="16"/>
      <c r="G47" s="16"/>
      <c r="H47" s="19" t="n">
        <f aca="false">LEN(IF(F47&lt;&gt;"",F47,D47))</f>
        <v>80</v>
      </c>
      <c r="I47" s="24" t="str">
        <f aca="false">IF(OR(H47&lt;8,H47&gt;500),"분량 확인","")</f>
        <v/>
      </c>
    </row>
    <row r="48" customFormat="false" ht="61.5" hidden="false" customHeight="true" outlineLevel="0" collapsed="false">
      <c r="A48" s="13" t="s">
        <v>3758</v>
      </c>
      <c r="B48" s="14" t="s">
        <v>3759</v>
      </c>
      <c r="C48" s="15" t="s">
        <v>3729</v>
      </c>
      <c r="D48" s="15" t="s">
        <v>3760</v>
      </c>
      <c r="E48" s="23" t="s">
        <v>19</v>
      </c>
      <c r="F48" s="16"/>
      <c r="G48" s="16"/>
      <c r="H48" s="19" t="n">
        <f aca="false">LEN(IF(F48&lt;&gt;"",F48,D48))</f>
        <v>89</v>
      </c>
      <c r="I48" s="24" t="str">
        <f aca="false">IF(OR(H48&lt;8,H48&gt;500),"분량 확인","")</f>
        <v/>
      </c>
    </row>
    <row r="49" customFormat="false" ht="61.5" hidden="false" customHeight="true" outlineLevel="0" collapsed="false">
      <c r="A49" s="13" t="s">
        <v>3761</v>
      </c>
      <c r="B49" s="14" t="s">
        <v>3762</v>
      </c>
      <c r="C49" s="15" t="s">
        <v>3729</v>
      </c>
      <c r="D49" s="15" t="s">
        <v>3763</v>
      </c>
      <c r="E49" s="23" t="s">
        <v>19</v>
      </c>
      <c r="F49" s="16"/>
      <c r="G49" s="16"/>
      <c r="H49" s="19" t="n">
        <f aca="false">LEN(IF(F49&lt;&gt;"",F49,D49))</f>
        <v>82</v>
      </c>
      <c r="I49" s="24" t="str">
        <f aca="false">IF(OR(H49&lt;8,H49&gt;500),"분량 확인","")</f>
        <v/>
      </c>
    </row>
    <row r="50" customFormat="false" ht="48" hidden="false" customHeight="true" outlineLevel="0" collapsed="false">
      <c r="A50" s="13" t="s">
        <v>3764</v>
      </c>
      <c r="B50" s="14" t="s">
        <v>3765</v>
      </c>
      <c r="C50" s="15" t="s">
        <v>3729</v>
      </c>
      <c r="D50" s="15" t="s">
        <v>3766</v>
      </c>
      <c r="E50" s="23" t="s">
        <v>19</v>
      </c>
      <c r="F50" s="16"/>
      <c r="G50" s="16"/>
      <c r="H50" s="19" t="n">
        <f aca="false">LEN(IF(F50&lt;&gt;"",F50,D50))</f>
        <v>79</v>
      </c>
      <c r="I50" s="24" t="str">
        <f aca="false">IF(OR(H50&lt;8,H50&gt;500),"분량 확인","")</f>
        <v/>
      </c>
    </row>
    <row r="51" customFormat="false" ht="48" hidden="false" customHeight="true" outlineLevel="0" collapsed="false">
      <c r="A51" s="13" t="s">
        <v>3767</v>
      </c>
      <c r="B51" s="14" t="s">
        <v>3768</v>
      </c>
      <c r="C51" s="15" t="s">
        <v>3729</v>
      </c>
      <c r="D51" s="15" t="s">
        <v>3769</v>
      </c>
      <c r="E51" s="23" t="s">
        <v>19</v>
      </c>
      <c r="F51" s="16"/>
      <c r="G51" s="16"/>
      <c r="H51" s="19" t="n">
        <f aca="false">LEN(IF(F51&lt;&gt;"",F51,D51))</f>
        <v>85</v>
      </c>
      <c r="I51" s="24" t="str">
        <f aca="false">IF(OR(H51&lt;8,H51&gt;500),"분량 확인","")</f>
        <v/>
      </c>
    </row>
    <row r="52" customFormat="false" ht="48" hidden="false" customHeight="true" outlineLevel="0" collapsed="false">
      <c r="A52" s="13" t="s">
        <v>3770</v>
      </c>
      <c r="B52" s="14" t="s">
        <v>3771</v>
      </c>
      <c r="C52" s="15" t="s">
        <v>3729</v>
      </c>
      <c r="D52" s="15" t="s">
        <v>3772</v>
      </c>
      <c r="E52" s="23" t="s">
        <v>19</v>
      </c>
      <c r="F52" s="16"/>
      <c r="G52" s="16"/>
      <c r="H52" s="19" t="n">
        <f aca="false">LEN(IF(F52&lt;&gt;"",F52,D52))</f>
        <v>76</v>
      </c>
      <c r="I52" s="24" t="str">
        <f aca="false">IF(OR(H52&lt;8,H52&gt;500),"분량 확인","")</f>
        <v/>
      </c>
    </row>
    <row r="53" customFormat="false" ht="48" hidden="false" customHeight="true" outlineLevel="0" collapsed="false">
      <c r="A53" s="13" t="s">
        <v>3773</v>
      </c>
      <c r="B53" s="14" t="s">
        <v>3774</v>
      </c>
      <c r="C53" s="15" t="s">
        <v>3729</v>
      </c>
      <c r="D53" s="15" t="s">
        <v>3775</v>
      </c>
      <c r="E53" s="23" t="s">
        <v>19</v>
      </c>
      <c r="F53" s="16"/>
      <c r="G53" s="16"/>
      <c r="H53" s="19" t="n">
        <f aca="false">LEN(IF(F53&lt;&gt;"",F53,D53))</f>
        <v>80</v>
      </c>
      <c r="I53" s="24" t="str">
        <f aca="false">IF(OR(H53&lt;8,H53&gt;500),"분량 확인","")</f>
        <v/>
      </c>
    </row>
    <row r="54" customFormat="false" ht="61.5" hidden="false" customHeight="true" outlineLevel="0" collapsed="false">
      <c r="A54" s="13" t="s">
        <v>3776</v>
      </c>
      <c r="B54" s="14" t="s">
        <v>3777</v>
      </c>
      <c r="C54" s="15" t="s">
        <v>3729</v>
      </c>
      <c r="D54" s="15" t="s">
        <v>3778</v>
      </c>
      <c r="E54" s="23" t="s">
        <v>19</v>
      </c>
      <c r="F54" s="16"/>
      <c r="G54" s="16"/>
      <c r="H54" s="19" t="n">
        <f aca="false">LEN(IF(F54&lt;&gt;"",F54,D54))</f>
        <v>89</v>
      </c>
      <c r="I54" s="24" t="str">
        <f aca="false">IF(OR(H54&lt;8,H54&gt;500),"분량 확인","")</f>
        <v/>
      </c>
    </row>
    <row r="55" customFormat="false" ht="61.5" hidden="false" customHeight="true" outlineLevel="0" collapsed="false">
      <c r="A55" s="13" t="s">
        <v>3779</v>
      </c>
      <c r="B55" s="14" t="s">
        <v>3780</v>
      </c>
      <c r="C55" s="15" t="s">
        <v>3729</v>
      </c>
      <c r="D55" s="15" t="s">
        <v>3781</v>
      </c>
      <c r="E55" s="23" t="s">
        <v>19</v>
      </c>
      <c r="F55" s="16"/>
      <c r="G55" s="16"/>
      <c r="H55" s="19" t="n">
        <f aca="false">LEN(IF(F55&lt;&gt;"",F55,D55))</f>
        <v>82</v>
      </c>
      <c r="I55" s="24" t="str">
        <f aca="false">IF(OR(H55&lt;8,H55&gt;500),"분량 확인","")</f>
        <v/>
      </c>
    </row>
    <row r="56" customFormat="false" ht="48" hidden="false" customHeight="true" outlineLevel="0" collapsed="false">
      <c r="A56" s="13" t="s">
        <v>3782</v>
      </c>
      <c r="B56" s="14" t="s">
        <v>3783</v>
      </c>
      <c r="C56" s="15" t="s">
        <v>3729</v>
      </c>
      <c r="D56" s="15" t="s">
        <v>3784</v>
      </c>
      <c r="E56" s="23" t="s">
        <v>19</v>
      </c>
      <c r="F56" s="16"/>
      <c r="G56" s="16"/>
      <c r="H56" s="19" t="n">
        <f aca="false">LEN(IF(F56&lt;&gt;"",F56,D56))</f>
        <v>79</v>
      </c>
      <c r="I56" s="24" t="str">
        <f aca="false">IF(OR(H56&lt;8,H56&gt;500),"분량 확인","")</f>
        <v/>
      </c>
    </row>
    <row r="57" customFormat="false" ht="48" hidden="false" customHeight="true" outlineLevel="0" collapsed="false">
      <c r="A57" s="13" t="s">
        <v>3785</v>
      </c>
      <c r="B57" s="14" t="s">
        <v>3786</v>
      </c>
      <c r="C57" s="15" t="s">
        <v>3729</v>
      </c>
      <c r="D57" s="15" t="s">
        <v>3787</v>
      </c>
      <c r="E57" s="23" t="s">
        <v>19</v>
      </c>
      <c r="F57" s="16"/>
      <c r="G57" s="16"/>
      <c r="H57" s="19" t="n">
        <f aca="false">LEN(IF(F57&lt;&gt;"",F57,D57))</f>
        <v>85</v>
      </c>
      <c r="I57" s="24" t="str">
        <f aca="false">IF(OR(H57&lt;8,H57&gt;500),"분량 확인","")</f>
        <v/>
      </c>
    </row>
    <row r="58" customFormat="false" ht="48" hidden="false" customHeight="true" outlineLevel="0" collapsed="false">
      <c r="A58" s="13" t="s">
        <v>3788</v>
      </c>
      <c r="B58" s="14" t="s">
        <v>3789</v>
      </c>
      <c r="C58" s="15" t="s">
        <v>3729</v>
      </c>
      <c r="D58" s="15" t="s">
        <v>3790</v>
      </c>
      <c r="E58" s="23" t="s">
        <v>19</v>
      </c>
      <c r="F58" s="16"/>
      <c r="G58" s="16"/>
      <c r="H58" s="19" t="n">
        <f aca="false">LEN(IF(F58&lt;&gt;"",F58,D58))</f>
        <v>84</v>
      </c>
      <c r="I58" s="24" t="str">
        <f aca="false">IF(OR(H58&lt;8,H58&gt;500),"분량 확인","")</f>
        <v/>
      </c>
    </row>
    <row r="59" customFormat="false" ht="48" hidden="false" customHeight="true" outlineLevel="0" collapsed="false">
      <c r="A59" s="13" t="s">
        <v>3791</v>
      </c>
      <c r="B59" s="14" t="s">
        <v>3792</v>
      </c>
      <c r="C59" s="15" t="s">
        <v>3729</v>
      </c>
      <c r="D59" s="15" t="s">
        <v>3793</v>
      </c>
      <c r="E59" s="23" t="s">
        <v>19</v>
      </c>
      <c r="F59" s="16"/>
      <c r="G59" s="16"/>
      <c r="H59" s="19" t="n">
        <f aca="false">LEN(IF(F59&lt;&gt;"",F59,D59))</f>
        <v>73</v>
      </c>
      <c r="I59" s="24" t="str">
        <f aca="false">IF(OR(H59&lt;8,H59&gt;500),"분량 확인","")</f>
        <v/>
      </c>
    </row>
    <row r="60" customFormat="false" ht="61.5" hidden="false" customHeight="true" outlineLevel="0" collapsed="false">
      <c r="A60" s="13" t="s">
        <v>3794</v>
      </c>
      <c r="B60" s="14" t="s">
        <v>3795</v>
      </c>
      <c r="C60" s="15" t="s">
        <v>3729</v>
      </c>
      <c r="D60" s="15" t="s">
        <v>3796</v>
      </c>
      <c r="E60" s="23" t="s">
        <v>19</v>
      </c>
      <c r="F60" s="16"/>
      <c r="G60" s="16"/>
      <c r="H60" s="19" t="n">
        <f aca="false">LEN(IF(F60&lt;&gt;"",F60,D60))</f>
        <v>89</v>
      </c>
      <c r="I60" s="24" t="str">
        <f aca="false">IF(OR(H60&lt;8,H60&gt;500),"분량 확인","")</f>
        <v/>
      </c>
    </row>
    <row r="61" customFormat="false" ht="48" hidden="false" customHeight="true" outlineLevel="0" collapsed="false">
      <c r="A61" s="13" t="s">
        <v>3797</v>
      </c>
      <c r="B61" s="14" t="s">
        <v>3798</v>
      </c>
      <c r="C61" s="15" t="s">
        <v>3729</v>
      </c>
      <c r="D61" s="15" t="s">
        <v>3799</v>
      </c>
      <c r="E61" s="23" t="s">
        <v>19</v>
      </c>
      <c r="F61" s="16"/>
      <c r="G61" s="16"/>
      <c r="H61" s="19" t="n">
        <f aca="false">LEN(IF(F61&lt;&gt;"",F61,D61))</f>
        <v>82</v>
      </c>
      <c r="I61" s="24" t="str">
        <f aca="false">IF(OR(H61&lt;8,H61&gt;500),"분량 확인","")</f>
        <v/>
      </c>
    </row>
    <row r="62" customFormat="false" ht="48" hidden="false" customHeight="true" outlineLevel="0" collapsed="false">
      <c r="A62" s="13" t="s">
        <v>3800</v>
      </c>
      <c r="B62" s="14" t="s">
        <v>3801</v>
      </c>
      <c r="C62" s="15" t="s">
        <v>3729</v>
      </c>
      <c r="D62" s="15" t="s">
        <v>3802</v>
      </c>
      <c r="E62" s="23" t="s">
        <v>19</v>
      </c>
      <c r="F62" s="16"/>
      <c r="G62" s="16"/>
      <c r="H62" s="19" t="n">
        <f aca="false">LEN(IF(F62&lt;&gt;"",F62,D62))</f>
        <v>78</v>
      </c>
      <c r="I62" s="24" t="str">
        <f aca="false">IF(OR(H62&lt;8,H62&gt;500),"분량 확인","")</f>
        <v/>
      </c>
    </row>
    <row r="63" customFormat="false" ht="48" hidden="false" customHeight="true" outlineLevel="0" collapsed="false">
      <c r="A63" s="13" t="s">
        <v>3803</v>
      </c>
      <c r="B63" s="14" t="s">
        <v>3804</v>
      </c>
      <c r="C63" s="15" t="s">
        <v>3729</v>
      </c>
      <c r="D63" s="15" t="s">
        <v>3805</v>
      </c>
      <c r="E63" s="23" t="s">
        <v>19</v>
      </c>
      <c r="F63" s="16"/>
      <c r="G63" s="16"/>
      <c r="H63" s="19" t="n">
        <f aca="false">LEN(IF(F63&lt;&gt;"",F63,D63))</f>
        <v>84</v>
      </c>
      <c r="I63" s="24" t="str">
        <f aca="false">IF(OR(H63&lt;8,H63&gt;500),"분량 확인","")</f>
        <v/>
      </c>
    </row>
    <row r="64" customFormat="false" ht="48" hidden="false" customHeight="true" outlineLevel="0" collapsed="false">
      <c r="A64" s="13" t="s">
        <v>3806</v>
      </c>
      <c r="B64" s="14" t="s">
        <v>3807</v>
      </c>
      <c r="C64" s="15" t="s">
        <v>3729</v>
      </c>
      <c r="D64" s="15" t="s">
        <v>3808</v>
      </c>
      <c r="E64" s="23" t="s">
        <v>19</v>
      </c>
      <c r="F64" s="16"/>
      <c r="G64" s="16"/>
      <c r="H64" s="19" t="n">
        <f aca="false">LEN(IF(F64&lt;&gt;"",F64,D64))</f>
        <v>83</v>
      </c>
      <c r="I64" s="24" t="str">
        <f aca="false">IF(OR(H64&lt;8,H64&gt;500),"분량 확인","")</f>
        <v/>
      </c>
    </row>
    <row r="65" customFormat="false" ht="48" hidden="false" customHeight="true" outlineLevel="0" collapsed="false">
      <c r="A65" s="13" t="s">
        <v>3809</v>
      </c>
      <c r="B65" s="14" t="s">
        <v>3810</v>
      </c>
      <c r="C65" s="15" t="s">
        <v>3729</v>
      </c>
      <c r="D65" s="15" t="s">
        <v>3811</v>
      </c>
      <c r="E65" s="23" t="s">
        <v>19</v>
      </c>
      <c r="F65" s="16"/>
      <c r="G65" s="16"/>
      <c r="H65" s="19" t="n">
        <f aca="false">LEN(IF(F65&lt;&gt;"",F65,D65))</f>
        <v>79</v>
      </c>
      <c r="I65" s="24" t="str">
        <f aca="false">IF(OR(H65&lt;8,H65&gt;500),"분량 확인","")</f>
        <v/>
      </c>
    </row>
    <row r="66" customFormat="false" ht="48" hidden="false" customHeight="true" outlineLevel="0" collapsed="false">
      <c r="A66" s="13" t="s">
        <v>3812</v>
      </c>
      <c r="B66" s="14" t="s">
        <v>3813</v>
      </c>
      <c r="C66" s="15" t="s">
        <v>3729</v>
      </c>
      <c r="D66" s="15" t="s">
        <v>3814</v>
      </c>
      <c r="E66" s="23" t="s">
        <v>19</v>
      </c>
      <c r="F66" s="16"/>
      <c r="G66" s="16"/>
      <c r="H66" s="19" t="n">
        <f aca="false">LEN(IF(F66&lt;&gt;"",F66,D66))</f>
        <v>75</v>
      </c>
      <c r="I66" s="24" t="str">
        <f aca="false">IF(OR(H66&lt;8,H66&gt;500),"분량 확인","")</f>
        <v/>
      </c>
    </row>
    <row r="67" customFormat="false" ht="61.5" hidden="false" customHeight="true" outlineLevel="0" collapsed="false">
      <c r="A67" s="13" t="s">
        <v>3815</v>
      </c>
      <c r="B67" s="14" t="s">
        <v>3816</v>
      </c>
      <c r="C67" s="15" t="s">
        <v>3729</v>
      </c>
      <c r="D67" s="15" t="s">
        <v>3817</v>
      </c>
      <c r="E67" s="23" t="s">
        <v>19</v>
      </c>
      <c r="F67" s="16"/>
      <c r="G67" s="16"/>
      <c r="H67" s="19" t="n">
        <f aca="false">LEN(IF(F67&lt;&gt;"",F67,D67))</f>
        <v>81</v>
      </c>
      <c r="I67" s="24" t="str">
        <f aca="false">IF(OR(H67&lt;8,H67&gt;500),"분량 확인","")</f>
        <v/>
      </c>
    </row>
    <row r="68" customFormat="false" ht="61.5" hidden="false" customHeight="true" outlineLevel="0" collapsed="false">
      <c r="A68" s="13" t="s">
        <v>3818</v>
      </c>
      <c r="B68" s="14" t="s">
        <v>3819</v>
      </c>
      <c r="C68" s="15" t="s">
        <v>3729</v>
      </c>
      <c r="D68" s="15" t="s">
        <v>3820</v>
      </c>
      <c r="E68" s="23" t="s">
        <v>19</v>
      </c>
      <c r="F68" s="16"/>
      <c r="G68" s="16"/>
      <c r="H68" s="19" t="n">
        <f aca="false">LEN(IF(F68&lt;&gt;"",F68,D68))</f>
        <v>80</v>
      </c>
      <c r="I68" s="24" t="str">
        <f aca="false">IF(OR(H68&lt;8,H68&gt;500),"분량 확인","")</f>
        <v/>
      </c>
    </row>
    <row r="69" customFormat="false" ht="61.5" hidden="false" customHeight="true" outlineLevel="0" collapsed="false">
      <c r="A69" s="13" t="s">
        <v>3821</v>
      </c>
      <c r="B69" s="14" t="s">
        <v>3822</v>
      </c>
      <c r="C69" s="15" t="s">
        <v>3729</v>
      </c>
      <c r="D69" s="15" t="s">
        <v>3823</v>
      </c>
      <c r="E69" s="23" t="s">
        <v>19</v>
      </c>
      <c r="F69" s="16"/>
      <c r="G69" s="16"/>
      <c r="H69" s="19" t="n">
        <f aca="false">LEN(IF(F69&lt;&gt;"",F69,D69))</f>
        <v>86</v>
      </c>
      <c r="I69" s="24" t="str">
        <f aca="false">IF(OR(H69&lt;8,H69&gt;500),"분량 확인","")</f>
        <v/>
      </c>
    </row>
    <row r="70" customFormat="false" ht="61.5" hidden="false" customHeight="true" outlineLevel="0" collapsed="false">
      <c r="A70" s="13" t="s">
        <v>3824</v>
      </c>
      <c r="B70" s="14" t="s">
        <v>3825</v>
      </c>
      <c r="C70" s="15" t="s">
        <v>3729</v>
      </c>
      <c r="D70" s="15" t="s">
        <v>3826</v>
      </c>
      <c r="E70" s="23" t="s">
        <v>19</v>
      </c>
      <c r="F70" s="16"/>
      <c r="G70" s="16"/>
      <c r="H70" s="19" t="n">
        <f aca="false">LEN(IF(F70&lt;&gt;"",F70,D70))</f>
        <v>85</v>
      </c>
      <c r="I70" s="24" t="str">
        <f aca="false">IF(OR(H70&lt;8,H70&gt;500),"분량 확인","")</f>
        <v/>
      </c>
    </row>
    <row r="71" customFormat="false" ht="48" hidden="false" customHeight="true" outlineLevel="0" collapsed="false">
      <c r="A71" s="13" t="s">
        <v>3827</v>
      </c>
      <c r="B71" s="14" t="s">
        <v>3828</v>
      </c>
      <c r="C71" s="15" t="s">
        <v>3729</v>
      </c>
      <c r="D71" s="15" t="s">
        <v>3829</v>
      </c>
      <c r="E71" s="23" t="s">
        <v>19</v>
      </c>
      <c r="F71" s="16"/>
      <c r="G71" s="16"/>
      <c r="H71" s="19" t="n">
        <f aca="false">LEN(IF(F71&lt;&gt;"",F71,D71))</f>
        <v>81</v>
      </c>
      <c r="I71" s="24" t="str">
        <f aca="false">IF(OR(H71&lt;8,H71&gt;500),"분량 확인","")</f>
        <v/>
      </c>
    </row>
    <row r="72" customFormat="false" ht="61.5" hidden="false" customHeight="true" outlineLevel="0" collapsed="false">
      <c r="A72" s="13" t="s">
        <v>3830</v>
      </c>
      <c r="B72" s="14" t="s">
        <v>3831</v>
      </c>
      <c r="C72" s="15" t="s">
        <v>3729</v>
      </c>
      <c r="D72" s="15" t="s">
        <v>3832</v>
      </c>
      <c r="E72" s="23" t="s">
        <v>19</v>
      </c>
      <c r="F72" s="16"/>
      <c r="G72" s="16"/>
      <c r="H72" s="19" t="n">
        <f aca="false">LEN(IF(F72&lt;&gt;"",F72,D72))</f>
        <v>90</v>
      </c>
      <c r="I72" s="24" t="str">
        <f aca="false">IF(OR(H72&lt;8,H72&gt;500),"분량 확인","")</f>
        <v/>
      </c>
    </row>
    <row r="73" customFormat="false" ht="61.5" hidden="false" customHeight="true" outlineLevel="0" collapsed="false">
      <c r="A73" s="13" t="s">
        <v>3833</v>
      </c>
      <c r="B73" s="14" t="s">
        <v>3834</v>
      </c>
      <c r="C73" s="15" t="s">
        <v>3729</v>
      </c>
      <c r="D73" s="15" t="s">
        <v>3835</v>
      </c>
      <c r="E73" s="23" t="s">
        <v>19</v>
      </c>
      <c r="F73" s="16"/>
      <c r="G73" s="16"/>
      <c r="H73" s="19" t="n">
        <f aca="false">LEN(IF(F73&lt;&gt;"",F73,D73))</f>
        <v>71</v>
      </c>
      <c r="I73" s="24" t="str">
        <f aca="false">IF(OR(H73&lt;8,H73&gt;500),"분량 확인","")</f>
        <v/>
      </c>
    </row>
    <row r="74" customFormat="false" ht="75.75" hidden="false" customHeight="true" outlineLevel="0" collapsed="false">
      <c r="A74" s="13" t="s">
        <v>3836</v>
      </c>
      <c r="B74" s="14" t="s">
        <v>3837</v>
      </c>
      <c r="C74" s="15" t="s">
        <v>3838</v>
      </c>
      <c r="D74" s="15" t="s">
        <v>3839</v>
      </c>
      <c r="E74" s="23" t="s">
        <v>19</v>
      </c>
      <c r="F74" s="16"/>
      <c r="G74" s="16"/>
      <c r="H74" s="19" t="n">
        <f aca="false">LEN(IF(F74&lt;&gt;"",F74,D74))</f>
        <v>120</v>
      </c>
      <c r="I74" s="24" t="str">
        <f aca="false">IF(OR(H74&lt;8,H74&gt;500),"분량 확인","")</f>
        <v/>
      </c>
    </row>
    <row r="75" customFormat="false" ht="61.5" hidden="false" customHeight="true" outlineLevel="0" collapsed="false">
      <c r="A75" s="13" t="s">
        <v>3840</v>
      </c>
      <c r="B75" s="14" t="s">
        <v>3841</v>
      </c>
      <c r="C75" s="15" t="s">
        <v>3838</v>
      </c>
      <c r="D75" s="15" t="s">
        <v>3842</v>
      </c>
      <c r="E75" s="23" t="s">
        <v>19</v>
      </c>
      <c r="F75" s="16"/>
      <c r="G75" s="16"/>
      <c r="H75" s="19" t="n">
        <f aca="false">LEN(IF(F75&lt;&gt;"",F75,D75))</f>
        <v>94</v>
      </c>
      <c r="I75" s="24" t="str">
        <f aca="false">IF(OR(H75&lt;8,H75&gt;500),"분량 확인","")</f>
        <v/>
      </c>
    </row>
    <row r="76" customFormat="false" ht="61.5" hidden="false" customHeight="true" outlineLevel="0" collapsed="false">
      <c r="A76" s="13" t="s">
        <v>3843</v>
      </c>
      <c r="B76" s="14" t="s">
        <v>3844</v>
      </c>
      <c r="C76" s="15" t="s">
        <v>3838</v>
      </c>
      <c r="D76" s="15" t="s">
        <v>3845</v>
      </c>
      <c r="E76" s="23" t="s">
        <v>19</v>
      </c>
      <c r="F76" s="16"/>
      <c r="G76" s="16"/>
      <c r="H76" s="19" t="n">
        <f aca="false">LEN(IF(F76&lt;&gt;"",F76,D76))</f>
        <v>95</v>
      </c>
      <c r="I76" s="24" t="str">
        <f aca="false">IF(OR(H76&lt;8,H76&gt;500),"분량 확인","")</f>
        <v/>
      </c>
    </row>
    <row r="77" customFormat="false" ht="61.5" hidden="false" customHeight="true" outlineLevel="0" collapsed="false">
      <c r="A77" s="13" t="s">
        <v>3846</v>
      </c>
      <c r="B77" s="14" t="s">
        <v>3847</v>
      </c>
      <c r="C77" s="15" t="s">
        <v>3838</v>
      </c>
      <c r="D77" s="15" t="s">
        <v>3848</v>
      </c>
      <c r="E77" s="23" t="s">
        <v>19</v>
      </c>
      <c r="F77" s="16"/>
      <c r="G77" s="16"/>
      <c r="H77" s="19" t="n">
        <f aca="false">LEN(IF(F77&lt;&gt;"",F77,D77))</f>
        <v>88</v>
      </c>
      <c r="I77" s="24" t="str">
        <f aca="false">IF(OR(H77&lt;8,H77&gt;500),"분량 확인","")</f>
        <v/>
      </c>
    </row>
    <row r="78" customFormat="false" ht="61.5" hidden="false" customHeight="true" outlineLevel="0" collapsed="false">
      <c r="A78" s="13" t="s">
        <v>3849</v>
      </c>
      <c r="B78" s="14" t="s">
        <v>3850</v>
      </c>
      <c r="C78" s="15" t="s">
        <v>3838</v>
      </c>
      <c r="D78" s="15" t="s">
        <v>3851</v>
      </c>
      <c r="E78" s="23" t="s">
        <v>19</v>
      </c>
      <c r="F78" s="16"/>
      <c r="G78" s="16"/>
      <c r="H78" s="19" t="n">
        <f aca="false">LEN(IF(F78&lt;&gt;"",F78,D78))</f>
        <v>93</v>
      </c>
      <c r="I78" s="24" t="str">
        <f aca="false">IF(OR(H78&lt;8,H78&gt;500),"분량 확인","")</f>
        <v/>
      </c>
    </row>
    <row r="79" customFormat="false" ht="61.5" hidden="false" customHeight="true" outlineLevel="0" collapsed="false">
      <c r="A79" s="13" t="s">
        <v>3852</v>
      </c>
      <c r="B79" s="14" t="s">
        <v>3853</v>
      </c>
      <c r="C79" s="15" t="s">
        <v>3838</v>
      </c>
      <c r="D79" s="15" t="s">
        <v>3854</v>
      </c>
      <c r="E79" s="23" t="s">
        <v>19</v>
      </c>
      <c r="F79" s="16"/>
      <c r="G79" s="16"/>
      <c r="H79" s="19" t="n">
        <f aca="false">LEN(IF(F79&lt;&gt;"",F79,D79))</f>
        <v>90</v>
      </c>
      <c r="I79" s="24" t="str">
        <f aca="false">IF(OR(H79&lt;8,H79&gt;500),"분량 확인","")</f>
        <v/>
      </c>
    </row>
    <row r="80" customFormat="false" ht="48" hidden="false" customHeight="true" outlineLevel="0" collapsed="false">
      <c r="A80" s="13" t="s">
        <v>3855</v>
      </c>
      <c r="B80" s="14" t="s">
        <v>3856</v>
      </c>
      <c r="C80" s="15" t="s">
        <v>3838</v>
      </c>
      <c r="D80" s="15" t="s">
        <v>3857</v>
      </c>
      <c r="E80" s="23" t="s">
        <v>19</v>
      </c>
      <c r="F80" s="16"/>
      <c r="G80" s="16"/>
      <c r="H80" s="19" t="n">
        <f aca="false">LEN(IF(F80&lt;&gt;"",F80,D80))</f>
        <v>82</v>
      </c>
      <c r="I80" s="24" t="str">
        <f aca="false">IF(OR(H80&lt;8,H80&gt;500),"분량 확인","")</f>
        <v/>
      </c>
    </row>
    <row r="81" customFormat="false" ht="75.75" hidden="false" customHeight="true" outlineLevel="0" collapsed="false">
      <c r="A81" s="13" t="s">
        <v>3858</v>
      </c>
      <c r="B81" s="14" t="s">
        <v>3859</v>
      </c>
      <c r="C81" s="15" t="s">
        <v>3838</v>
      </c>
      <c r="D81" s="15" t="s">
        <v>3860</v>
      </c>
      <c r="E81" s="23" t="s">
        <v>19</v>
      </c>
      <c r="F81" s="16"/>
      <c r="G81" s="16"/>
      <c r="H81" s="19" t="n">
        <f aca="false">LEN(IF(F81&lt;&gt;"",F81,D81))</f>
        <v>128</v>
      </c>
      <c r="I81" s="24" t="str">
        <f aca="false">IF(OR(H81&lt;8,H81&gt;500),"분량 확인","")</f>
        <v/>
      </c>
    </row>
    <row r="82" customFormat="false" ht="61.5" hidden="false" customHeight="true" outlineLevel="0" collapsed="false">
      <c r="A82" s="13" t="s">
        <v>3861</v>
      </c>
      <c r="B82" s="14" t="s">
        <v>3862</v>
      </c>
      <c r="C82" s="15" t="s">
        <v>3838</v>
      </c>
      <c r="D82" s="15" t="s">
        <v>3863</v>
      </c>
      <c r="E82" s="23" t="s">
        <v>19</v>
      </c>
      <c r="F82" s="16"/>
      <c r="G82" s="16"/>
      <c r="H82" s="19" t="n">
        <f aca="false">LEN(IF(F82&lt;&gt;"",F82,D82))</f>
        <v>93</v>
      </c>
      <c r="I82" s="24" t="str">
        <f aca="false">IF(OR(H82&lt;8,H82&gt;500),"분량 확인","")</f>
        <v/>
      </c>
    </row>
    <row r="83" customFormat="false" ht="48" hidden="false" customHeight="true" outlineLevel="0" collapsed="false">
      <c r="A83" s="13" t="s">
        <v>3864</v>
      </c>
      <c r="B83" s="14" t="s">
        <v>3865</v>
      </c>
      <c r="C83" s="15" t="s">
        <v>3838</v>
      </c>
      <c r="D83" s="15" t="s">
        <v>3866</v>
      </c>
      <c r="E83" s="23" t="s">
        <v>19</v>
      </c>
      <c r="F83" s="16"/>
      <c r="G83" s="16"/>
      <c r="H83" s="19" t="n">
        <f aca="false">LEN(IF(F83&lt;&gt;"",F83,D83))</f>
        <v>86</v>
      </c>
      <c r="I83" s="24" t="str">
        <f aca="false">IF(OR(H83&lt;8,H83&gt;500),"분량 확인","")</f>
        <v/>
      </c>
    </row>
    <row r="84" customFormat="false" ht="61.5" hidden="false" customHeight="true" outlineLevel="0" collapsed="false">
      <c r="A84" s="13" t="s">
        <v>3867</v>
      </c>
      <c r="B84" s="14" t="s">
        <v>3868</v>
      </c>
      <c r="C84" s="15" t="s">
        <v>3838</v>
      </c>
      <c r="D84" s="15" t="s">
        <v>3869</v>
      </c>
      <c r="E84" s="23" t="s">
        <v>19</v>
      </c>
      <c r="F84" s="16"/>
      <c r="G84" s="16"/>
      <c r="H84" s="19" t="n">
        <f aca="false">LEN(IF(F84&lt;&gt;"",F84,D84))</f>
        <v>92</v>
      </c>
      <c r="I84" s="24" t="str">
        <f aca="false">IF(OR(H84&lt;8,H84&gt;500),"분량 확인","")</f>
        <v/>
      </c>
    </row>
    <row r="85" customFormat="false" ht="61.5" hidden="false" customHeight="true" outlineLevel="0" collapsed="false">
      <c r="A85" s="13" t="s">
        <v>3870</v>
      </c>
      <c r="B85" s="14" t="s">
        <v>3871</v>
      </c>
      <c r="C85" s="15" t="s">
        <v>3838</v>
      </c>
      <c r="D85" s="15" t="s">
        <v>3872</v>
      </c>
      <c r="E85" s="23" t="s">
        <v>19</v>
      </c>
      <c r="F85" s="16"/>
      <c r="G85" s="16"/>
      <c r="H85" s="19" t="n">
        <f aca="false">LEN(IF(F85&lt;&gt;"",F85,D85))</f>
        <v>89</v>
      </c>
      <c r="I85" s="24" t="str">
        <f aca="false">IF(OR(H85&lt;8,H85&gt;500),"분량 확인","")</f>
        <v/>
      </c>
    </row>
    <row r="86" customFormat="false" ht="48" hidden="false" customHeight="true" outlineLevel="0" collapsed="false">
      <c r="A86" s="13" t="s">
        <v>3873</v>
      </c>
      <c r="B86" s="14" t="s">
        <v>3874</v>
      </c>
      <c r="C86" s="15" t="s">
        <v>3838</v>
      </c>
      <c r="D86" s="15" t="s">
        <v>3875</v>
      </c>
      <c r="E86" s="23" t="s">
        <v>19</v>
      </c>
      <c r="F86" s="16"/>
      <c r="G86" s="16"/>
      <c r="H86" s="19" t="n">
        <f aca="false">LEN(IF(F86&lt;&gt;"",F86,D86))</f>
        <v>81</v>
      </c>
      <c r="I86" s="24" t="str">
        <f aca="false">IF(OR(H86&lt;8,H86&gt;500),"분량 확인","")</f>
        <v/>
      </c>
    </row>
    <row r="87" customFormat="false" ht="61.5" hidden="false" customHeight="true" outlineLevel="0" collapsed="false">
      <c r="A87" s="13" t="s">
        <v>3876</v>
      </c>
      <c r="B87" s="14" t="s">
        <v>3877</v>
      </c>
      <c r="C87" s="15" t="s">
        <v>3838</v>
      </c>
      <c r="D87" s="15" t="s">
        <v>3878</v>
      </c>
      <c r="E87" s="23" t="s">
        <v>19</v>
      </c>
      <c r="F87" s="16"/>
      <c r="G87" s="16"/>
      <c r="H87" s="19" t="n">
        <f aca="false">LEN(IF(F87&lt;&gt;"",F87,D87))</f>
        <v>91</v>
      </c>
      <c r="I87" s="24" t="str">
        <f aca="false">IF(OR(H87&lt;8,H87&gt;500),"분량 확인","")</f>
        <v/>
      </c>
    </row>
    <row r="88" customFormat="false" ht="75.75" hidden="false" customHeight="true" outlineLevel="0" collapsed="false">
      <c r="A88" s="13" t="s">
        <v>3879</v>
      </c>
      <c r="B88" s="14" t="s">
        <v>3880</v>
      </c>
      <c r="C88" s="15" t="s">
        <v>3838</v>
      </c>
      <c r="D88" s="15" t="s">
        <v>3881</v>
      </c>
      <c r="E88" s="23" t="s">
        <v>19</v>
      </c>
      <c r="F88" s="16"/>
      <c r="G88" s="16"/>
      <c r="H88" s="19" t="n">
        <f aca="false">LEN(IF(F88&lt;&gt;"",F88,D88))</f>
        <v>129</v>
      </c>
      <c r="I88" s="24" t="str">
        <f aca="false">IF(OR(H88&lt;8,H88&gt;500),"분량 확인","")</f>
        <v/>
      </c>
    </row>
    <row r="89" customFormat="false" ht="48" hidden="false" customHeight="true" outlineLevel="0" collapsed="false">
      <c r="A89" s="13" t="s">
        <v>3882</v>
      </c>
      <c r="B89" s="14" t="s">
        <v>3883</v>
      </c>
      <c r="C89" s="15" t="s">
        <v>3838</v>
      </c>
      <c r="D89" s="15" t="s">
        <v>3884</v>
      </c>
      <c r="E89" s="23" t="s">
        <v>19</v>
      </c>
      <c r="F89" s="16"/>
      <c r="G89" s="16"/>
      <c r="H89" s="19" t="n">
        <f aca="false">LEN(IF(F89&lt;&gt;"",F89,D89))</f>
        <v>86</v>
      </c>
      <c r="I89" s="24" t="str">
        <f aca="false">IF(OR(H89&lt;8,H89&gt;500),"분량 확인","")</f>
        <v/>
      </c>
    </row>
    <row r="90" customFormat="false" ht="61.5" hidden="false" customHeight="true" outlineLevel="0" collapsed="false">
      <c r="A90" s="13" t="s">
        <v>3885</v>
      </c>
      <c r="B90" s="14" t="s">
        <v>3886</v>
      </c>
      <c r="C90" s="15" t="s">
        <v>3838</v>
      </c>
      <c r="D90" s="15" t="s">
        <v>3887</v>
      </c>
      <c r="E90" s="23" t="s">
        <v>19</v>
      </c>
      <c r="F90" s="16"/>
      <c r="G90" s="16"/>
      <c r="H90" s="19" t="n">
        <f aca="false">LEN(IF(F90&lt;&gt;"",F90,D90))</f>
        <v>92</v>
      </c>
      <c r="I90" s="24" t="str">
        <f aca="false">IF(OR(H90&lt;8,H90&gt;500),"분량 확인","")</f>
        <v/>
      </c>
    </row>
    <row r="91" customFormat="false" ht="61.5" hidden="false" customHeight="true" outlineLevel="0" collapsed="false">
      <c r="A91" s="13" t="s">
        <v>3888</v>
      </c>
      <c r="B91" s="14" t="s">
        <v>3889</v>
      </c>
      <c r="C91" s="15" t="s">
        <v>3838</v>
      </c>
      <c r="D91" s="15" t="s">
        <v>3890</v>
      </c>
      <c r="E91" s="23" t="s">
        <v>19</v>
      </c>
      <c r="F91" s="16"/>
      <c r="G91" s="16"/>
      <c r="H91" s="19" t="n">
        <f aca="false">LEN(IF(F91&lt;&gt;"",F91,D91))</f>
        <v>88</v>
      </c>
      <c r="I91" s="24" t="str">
        <f aca="false">IF(OR(H91&lt;8,H91&gt;500),"분량 확인","")</f>
        <v/>
      </c>
    </row>
    <row r="92" customFormat="false" ht="48" hidden="false" customHeight="true" outlineLevel="0" collapsed="false">
      <c r="A92" s="13" t="s">
        <v>3891</v>
      </c>
      <c r="B92" s="14" t="s">
        <v>3892</v>
      </c>
      <c r="C92" s="15" t="s">
        <v>3838</v>
      </c>
      <c r="D92" s="15" t="s">
        <v>3893</v>
      </c>
      <c r="E92" s="23" t="s">
        <v>19</v>
      </c>
      <c r="F92" s="16"/>
      <c r="G92" s="16"/>
      <c r="H92" s="19" t="n">
        <f aca="false">LEN(IF(F92&lt;&gt;"",F92,D92))</f>
        <v>80</v>
      </c>
      <c r="I92" s="24" t="str">
        <f aca="false">IF(OR(H92&lt;8,H92&gt;500),"분량 확인","")</f>
        <v/>
      </c>
    </row>
    <row r="93" customFormat="false" ht="61.5" hidden="false" customHeight="true" outlineLevel="0" collapsed="false">
      <c r="A93" s="13" t="s">
        <v>3894</v>
      </c>
      <c r="B93" s="14" t="s">
        <v>3895</v>
      </c>
      <c r="C93" s="15" t="s">
        <v>3838</v>
      </c>
      <c r="D93" s="15" t="s">
        <v>3896</v>
      </c>
      <c r="E93" s="23" t="s">
        <v>19</v>
      </c>
      <c r="F93" s="16"/>
      <c r="G93" s="16"/>
      <c r="H93" s="19" t="n">
        <f aca="false">LEN(IF(F93&lt;&gt;"",F93,D93))</f>
        <v>89</v>
      </c>
      <c r="I93" s="24" t="str">
        <f aca="false">IF(OR(H93&lt;8,H93&gt;500),"분량 확인","")</f>
        <v/>
      </c>
    </row>
    <row r="94" customFormat="false" ht="61.5" hidden="false" customHeight="true" outlineLevel="0" collapsed="false">
      <c r="A94" s="13" t="s">
        <v>3897</v>
      </c>
      <c r="B94" s="14" t="s">
        <v>3898</v>
      </c>
      <c r="C94" s="15" t="s">
        <v>3838</v>
      </c>
      <c r="D94" s="15" t="s">
        <v>3899</v>
      </c>
      <c r="E94" s="23" t="s">
        <v>19</v>
      </c>
      <c r="F94" s="16"/>
      <c r="G94" s="16"/>
      <c r="H94" s="19" t="n">
        <f aca="false">LEN(IF(F94&lt;&gt;"",F94,D94))</f>
        <v>91</v>
      </c>
      <c r="I94" s="24" t="str">
        <f aca="false">IF(OR(H94&lt;8,H94&gt;500),"분량 확인","")</f>
        <v/>
      </c>
    </row>
    <row r="95" customFormat="false" ht="75.75" hidden="false" customHeight="true" outlineLevel="0" collapsed="false">
      <c r="A95" s="13" t="s">
        <v>3900</v>
      </c>
      <c r="B95" s="14" t="s">
        <v>3901</v>
      </c>
      <c r="C95" s="15" t="s">
        <v>3838</v>
      </c>
      <c r="D95" s="15" t="s">
        <v>3902</v>
      </c>
      <c r="E95" s="23" t="s">
        <v>19</v>
      </c>
      <c r="F95" s="16"/>
      <c r="G95" s="16"/>
      <c r="H95" s="19" t="n">
        <f aca="false">LEN(IF(F95&lt;&gt;"",F95,D95))</f>
        <v>121</v>
      </c>
      <c r="I95" s="24" t="str">
        <f aca="false">IF(OR(H95&lt;8,H95&gt;500),"분량 확인","")</f>
        <v/>
      </c>
    </row>
    <row r="96" customFormat="false" ht="61.5" hidden="false" customHeight="true" outlineLevel="0" collapsed="false">
      <c r="A96" s="13" t="s">
        <v>3903</v>
      </c>
      <c r="B96" s="14" t="s">
        <v>3904</v>
      </c>
      <c r="C96" s="15" t="s">
        <v>3838</v>
      </c>
      <c r="D96" s="15" t="s">
        <v>3905</v>
      </c>
      <c r="E96" s="23" t="s">
        <v>19</v>
      </c>
      <c r="F96" s="16"/>
      <c r="G96" s="16"/>
      <c r="H96" s="19" t="n">
        <f aca="false">LEN(IF(F96&lt;&gt;"",F96,D96))</f>
        <v>90</v>
      </c>
      <c r="I96" s="24" t="str">
        <f aca="false">IF(OR(H96&lt;8,H96&gt;500),"분량 확인","")</f>
        <v/>
      </c>
    </row>
    <row r="97" customFormat="false" ht="48" hidden="false" customHeight="true" outlineLevel="0" collapsed="false">
      <c r="A97" s="13" t="s">
        <v>3906</v>
      </c>
      <c r="B97" s="14" t="s">
        <v>3907</v>
      </c>
      <c r="C97" s="15" t="s">
        <v>3838</v>
      </c>
      <c r="D97" s="15" t="s">
        <v>3908</v>
      </c>
      <c r="E97" s="23" t="s">
        <v>19</v>
      </c>
      <c r="F97" s="16"/>
      <c r="G97" s="16"/>
      <c r="H97" s="19" t="n">
        <f aca="false">LEN(IF(F97&lt;&gt;"",F97,D97))</f>
        <v>87</v>
      </c>
      <c r="I97" s="24" t="str">
        <f aca="false">IF(OR(H97&lt;8,H97&gt;500),"분량 확인","")</f>
        <v/>
      </c>
    </row>
    <row r="98" customFormat="false" ht="48" hidden="false" customHeight="true" outlineLevel="0" collapsed="false">
      <c r="A98" s="13" t="s">
        <v>3909</v>
      </c>
      <c r="B98" s="14" t="s">
        <v>3910</v>
      </c>
      <c r="C98" s="15" t="s">
        <v>3838</v>
      </c>
      <c r="D98" s="15" t="s">
        <v>3911</v>
      </c>
      <c r="E98" s="23" t="s">
        <v>19</v>
      </c>
      <c r="F98" s="16"/>
      <c r="G98" s="16"/>
      <c r="H98" s="19" t="n">
        <f aca="false">LEN(IF(F98&lt;&gt;"",F98,D98))</f>
        <v>86</v>
      </c>
      <c r="I98" s="24" t="str">
        <f aca="false">IF(OR(H98&lt;8,H98&gt;500),"분량 확인","")</f>
        <v/>
      </c>
    </row>
    <row r="99" customFormat="false" ht="61.5" hidden="false" customHeight="true" outlineLevel="0" collapsed="false">
      <c r="A99" s="13" t="s">
        <v>3912</v>
      </c>
      <c r="B99" s="14" t="s">
        <v>3913</v>
      </c>
      <c r="C99" s="15" t="s">
        <v>3838</v>
      </c>
      <c r="D99" s="15" t="s">
        <v>3914</v>
      </c>
      <c r="E99" s="23" t="s">
        <v>19</v>
      </c>
      <c r="F99" s="16"/>
      <c r="G99" s="16"/>
      <c r="H99" s="19" t="n">
        <f aca="false">LEN(IF(F99&lt;&gt;"",F99,D99))</f>
        <v>96</v>
      </c>
      <c r="I99" s="24" t="str">
        <f aca="false">IF(OR(H99&lt;8,H99&gt;500),"분량 확인","")</f>
        <v/>
      </c>
    </row>
    <row r="100" customFormat="false" ht="61.5" hidden="false" customHeight="true" outlineLevel="0" collapsed="false">
      <c r="A100" s="13" t="s">
        <v>3915</v>
      </c>
      <c r="B100" s="14" t="s">
        <v>3916</v>
      </c>
      <c r="C100" s="15" t="s">
        <v>3838</v>
      </c>
      <c r="D100" s="15" t="s">
        <v>3917</v>
      </c>
      <c r="E100" s="23" t="s">
        <v>19</v>
      </c>
      <c r="F100" s="16"/>
      <c r="G100" s="16"/>
      <c r="H100" s="19" t="n">
        <f aca="false">LEN(IF(F100&lt;&gt;"",F100,D100))</f>
        <v>96</v>
      </c>
      <c r="I100" s="24" t="str">
        <f aca="false">IF(OR(H100&lt;8,H100&gt;500),"분량 확인","")</f>
        <v/>
      </c>
    </row>
    <row r="101" customFormat="false" ht="61.5" hidden="false" customHeight="true" outlineLevel="0" collapsed="false">
      <c r="A101" s="13" t="s">
        <v>3918</v>
      </c>
      <c r="B101" s="14" t="s">
        <v>3919</v>
      </c>
      <c r="C101" s="15" t="s">
        <v>3838</v>
      </c>
      <c r="D101" s="15" t="s">
        <v>3920</v>
      </c>
      <c r="E101" s="23" t="s">
        <v>19</v>
      </c>
      <c r="F101" s="16"/>
      <c r="G101" s="16"/>
      <c r="H101" s="19" t="n">
        <f aca="false">LEN(IF(F101&lt;&gt;"",F101,D101))</f>
        <v>91</v>
      </c>
      <c r="I101" s="24" t="str">
        <f aca="false">IF(OR(H101&lt;8,H101&gt;500),"분량 확인","")</f>
        <v/>
      </c>
    </row>
    <row r="102" customFormat="false" ht="75.75" hidden="false" customHeight="true" outlineLevel="0" collapsed="false">
      <c r="A102" s="13" t="s">
        <v>3921</v>
      </c>
      <c r="B102" s="14" t="s">
        <v>3922</v>
      </c>
      <c r="C102" s="15" t="s">
        <v>3838</v>
      </c>
      <c r="D102" s="15" t="s">
        <v>3923</v>
      </c>
      <c r="E102" s="23" t="s">
        <v>19</v>
      </c>
      <c r="F102" s="16"/>
      <c r="G102" s="16"/>
      <c r="H102" s="19" t="n">
        <f aca="false">LEN(IF(F102&lt;&gt;"",F102,D102))</f>
        <v>132</v>
      </c>
      <c r="I102" s="24" t="str">
        <f aca="false">IF(OR(H102&lt;8,H102&gt;500),"분량 확인","")</f>
        <v/>
      </c>
    </row>
    <row r="103" customFormat="false" ht="61.5" hidden="false" customHeight="true" outlineLevel="0" collapsed="false">
      <c r="A103" s="13" t="s">
        <v>3924</v>
      </c>
      <c r="B103" s="14" t="s">
        <v>3925</v>
      </c>
      <c r="C103" s="15" t="s">
        <v>3838</v>
      </c>
      <c r="D103" s="15" t="s">
        <v>3926</v>
      </c>
      <c r="E103" s="23" t="s">
        <v>19</v>
      </c>
      <c r="F103" s="16"/>
      <c r="G103" s="16"/>
      <c r="H103" s="19" t="n">
        <f aca="false">LEN(IF(F103&lt;&gt;"",F103,D103))</f>
        <v>93</v>
      </c>
      <c r="I103" s="24" t="str">
        <f aca="false">IF(OR(H103&lt;8,H103&gt;500),"분량 확인","")</f>
        <v/>
      </c>
    </row>
    <row r="104" customFormat="false" ht="48" hidden="false" customHeight="true" outlineLevel="0" collapsed="false">
      <c r="A104" s="13" t="s">
        <v>3927</v>
      </c>
      <c r="B104" s="14" t="s">
        <v>3928</v>
      </c>
      <c r="C104" s="15" t="s">
        <v>3838</v>
      </c>
      <c r="D104" s="15" t="s">
        <v>3929</v>
      </c>
      <c r="E104" s="23" t="s">
        <v>19</v>
      </c>
      <c r="F104" s="16"/>
      <c r="G104" s="16"/>
      <c r="H104" s="19" t="n">
        <f aca="false">LEN(IF(F104&lt;&gt;"",F104,D104))</f>
        <v>79</v>
      </c>
      <c r="I104" s="24" t="str">
        <f aca="false">IF(OR(H104&lt;8,H104&gt;500),"분량 확인","")</f>
        <v/>
      </c>
    </row>
    <row r="105" customFormat="false" ht="61.5" hidden="false" customHeight="true" outlineLevel="0" collapsed="false">
      <c r="A105" s="13" t="s">
        <v>3930</v>
      </c>
      <c r="B105" s="14" t="s">
        <v>3931</v>
      </c>
      <c r="C105" s="15" t="s">
        <v>3838</v>
      </c>
      <c r="D105" s="15" t="s">
        <v>3932</v>
      </c>
      <c r="E105" s="23" t="s">
        <v>19</v>
      </c>
      <c r="F105" s="16"/>
      <c r="G105" s="16"/>
      <c r="H105" s="19" t="n">
        <f aca="false">LEN(IF(F105&lt;&gt;"",F105,D105))</f>
        <v>89</v>
      </c>
      <c r="I105" s="24" t="str">
        <f aca="false">IF(OR(H105&lt;8,H105&gt;500),"분량 확인","")</f>
        <v/>
      </c>
    </row>
    <row r="106" customFormat="false" ht="61.5" hidden="false" customHeight="true" outlineLevel="0" collapsed="false">
      <c r="A106" s="13" t="s">
        <v>3933</v>
      </c>
      <c r="B106" s="14" t="s">
        <v>3934</v>
      </c>
      <c r="C106" s="15" t="s">
        <v>3838</v>
      </c>
      <c r="D106" s="15" t="s">
        <v>3935</v>
      </c>
      <c r="E106" s="23" t="s">
        <v>19</v>
      </c>
      <c r="F106" s="16"/>
      <c r="G106" s="16"/>
      <c r="H106" s="19" t="n">
        <f aca="false">LEN(IF(F106&lt;&gt;"",F106,D106))</f>
        <v>90</v>
      </c>
      <c r="I106" s="24" t="str">
        <f aca="false">IF(OR(H106&lt;8,H106&gt;500),"분량 확인","")</f>
        <v/>
      </c>
    </row>
    <row r="107" customFormat="false" ht="48" hidden="false" customHeight="true" outlineLevel="0" collapsed="false">
      <c r="A107" s="13" t="s">
        <v>3936</v>
      </c>
      <c r="B107" s="14" t="s">
        <v>3937</v>
      </c>
      <c r="C107" s="15" t="s">
        <v>3838</v>
      </c>
      <c r="D107" s="15" t="s">
        <v>3938</v>
      </c>
      <c r="E107" s="23" t="s">
        <v>19</v>
      </c>
      <c r="F107" s="16"/>
      <c r="G107" s="16"/>
      <c r="H107" s="19" t="n">
        <f aca="false">LEN(IF(F107&lt;&gt;"",F107,D107))</f>
        <v>85</v>
      </c>
      <c r="I107" s="24" t="str">
        <f aca="false">IF(OR(H107&lt;8,H107&gt;500),"분량 확인","")</f>
        <v/>
      </c>
    </row>
    <row r="108" customFormat="false" ht="61.5" hidden="false" customHeight="true" outlineLevel="0" collapsed="false">
      <c r="A108" s="13" t="s">
        <v>3939</v>
      </c>
      <c r="B108" s="14" t="s">
        <v>3940</v>
      </c>
      <c r="C108" s="15" t="s">
        <v>3838</v>
      </c>
      <c r="D108" s="15" t="s">
        <v>3941</v>
      </c>
      <c r="E108" s="23" t="s">
        <v>19</v>
      </c>
      <c r="F108" s="16"/>
      <c r="G108" s="16"/>
      <c r="H108" s="19" t="n">
        <f aca="false">LEN(IF(F108&lt;&gt;"",F108,D108))</f>
        <v>90</v>
      </c>
      <c r="I108" s="24" t="str">
        <f aca="false">IF(OR(H108&lt;8,H108&gt;500),"분량 확인","")</f>
        <v/>
      </c>
    </row>
    <row r="109" customFormat="false" ht="75.75" hidden="false" customHeight="true" outlineLevel="0" collapsed="false">
      <c r="A109" s="13" t="s">
        <v>3942</v>
      </c>
      <c r="B109" s="14" t="s">
        <v>3943</v>
      </c>
      <c r="C109" s="15" t="s">
        <v>3838</v>
      </c>
      <c r="D109" s="15" t="s">
        <v>3944</v>
      </c>
      <c r="E109" s="23" t="s">
        <v>19</v>
      </c>
      <c r="F109" s="16"/>
      <c r="G109" s="16"/>
      <c r="H109" s="19" t="n">
        <f aca="false">LEN(IF(F109&lt;&gt;"",F109,D109))</f>
        <v>123</v>
      </c>
      <c r="I109" s="24" t="str">
        <f aca="false">IF(OR(H109&lt;8,H109&gt;500),"분량 확인","")</f>
        <v/>
      </c>
    </row>
    <row r="110" customFormat="false" ht="48" hidden="false" customHeight="true" outlineLevel="0" collapsed="false">
      <c r="A110" s="13" t="s">
        <v>3945</v>
      </c>
      <c r="B110" s="14" t="s">
        <v>3946</v>
      </c>
      <c r="C110" s="15" t="s">
        <v>3947</v>
      </c>
      <c r="D110" s="15" t="s">
        <v>3948</v>
      </c>
      <c r="E110" s="23" t="s">
        <v>19</v>
      </c>
      <c r="F110" s="16"/>
      <c r="G110" s="16"/>
      <c r="H110" s="19" t="n">
        <f aca="false">LEN(IF(F110&lt;&gt;"",F110,D110))</f>
        <v>31</v>
      </c>
      <c r="I110" s="24" t="str">
        <f aca="false">IF(OR(H110&lt;8,H110&gt;500),"분량 확인","")</f>
        <v/>
      </c>
    </row>
    <row r="111" customFormat="false" ht="48" hidden="false" customHeight="true" outlineLevel="0" collapsed="false">
      <c r="A111" s="13" t="s">
        <v>3949</v>
      </c>
      <c r="B111" s="14" t="s">
        <v>3946</v>
      </c>
      <c r="C111" s="15" t="s">
        <v>3950</v>
      </c>
      <c r="D111" s="15" t="s">
        <v>3951</v>
      </c>
      <c r="E111" s="23" t="s">
        <v>19</v>
      </c>
      <c r="F111" s="16"/>
      <c r="G111" s="16"/>
      <c r="H111" s="19" t="n">
        <f aca="false">LEN(IF(F111&lt;&gt;"",F111,D111))</f>
        <v>29</v>
      </c>
      <c r="I111" s="24" t="str">
        <f aca="false">IF(OR(H111&lt;8,H111&gt;500),"분량 확인","")</f>
        <v/>
      </c>
    </row>
    <row r="112" customFormat="false" ht="48" hidden="false" customHeight="true" outlineLevel="0" collapsed="false">
      <c r="A112" s="13" t="s">
        <v>3952</v>
      </c>
      <c r="B112" s="14" t="s">
        <v>3946</v>
      </c>
      <c r="C112" s="15" t="s">
        <v>3953</v>
      </c>
      <c r="D112" s="15" t="s">
        <v>3954</v>
      </c>
      <c r="E112" s="23" t="s">
        <v>19</v>
      </c>
      <c r="F112" s="16"/>
      <c r="G112" s="16"/>
      <c r="H112" s="19" t="n">
        <f aca="false">LEN(IF(F112&lt;&gt;"",F112,D112))</f>
        <v>32</v>
      </c>
      <c r="I112" s="24" t="str">
        <f aca="false">IF(OR(H112&lt;8,H112&gt;500),"분량 확인","")</f>
        <v/>
      </c>
    </row>
    <row r="113" customFormat="false" ht="48" hidden="false" customHeight="true" outlineLevel="0" collapsed="false">
      <c r="A113" s="13" t="s">
        <v>3955</v>
      </c>
      <c r="B113" s="14" t="s">
        <v>3946</v>
      </c>
      <c r="C113" s="15" t="s">
        <v>3956</v>
      </c>
      <c r="D113" s="15" t="s">
        <v>3957</v>
      </c>
      <c r="E113" s="23" t="s">
        <v>19</v>
      </c>
      <c r="F113" s="16"/>
      <c r="G113" s="16"/>
      <c r="H113" s="19" t="n">
        <f aca="false">LEN(IF(F113&lt;&gt;"",F113,D113))</f>
        <v>28</v>
      </c>
      <c r="I113" s="24" t="str">
        <f aca="false">IF(OR(H113&lt;8,H113&gt;500),"분량 확인","")</f>
        <v/>
      </c>
    </row>
    <row r="114" customFormat="false" ht="48" hidden="false" customHeight="true" outlineLevel="0" collapsed="false">
      <c r="A114" s="13" t="s">
        <v>3958</v>
      </c>
      <c r="B114" s="14" t="s">
        <v>3946</v>
      </c>
      <c r="C114" s="15" t="s">
        <v>3959</v>
      </c>
      <c r="D114" s="15" t="s">
        <v>3960</v>
      </c>
      <c r="E114" s="23" t="s">
        <v>19</v>
      </c>
      <c r="F114" s="16"/>
      <c r="G114" s="16"/>
      <c r="H114" s="19" t="n">
        <f aca="false">LEN(IF(F114&lt;&gt;"",F114,D114))</f>
        <v>35</v>
      </c>
      <c r="I114" s="24" t="str">
        <f aca="false">IF(OR(H114&lt;8,H114&gt;500),"분량 확인","")</f>
        <v/>
      </c>
    </row>
    <row r="115" customFormat="false" ht="48" hidden="false" customHeight="true" outlineLevel="0" collapsed="false">
      <c r="A115" s="13" t="s">
        <v>3961</v>
      </c>
      <c r="B115" s="14" t="s">
        <v>3946</v>
      </c>
      <c r="C115" s="15" t="s">
        <v>3962</v>
      </c>
      <c r="D115" s="15" t="s">
        <v>3963</v>
      </c>
      <c r="E115" s="23" t="s">
        <v>19</v>
      </c>
      <c r="F115" s="16"/>
      <c r="G115" s="16"/>
      <c r="H115" s="19" t="n">
        <f aca="false">LEN(IF(F115&lt;&gt;"",F115,D115))</f>
        <v>30</v>
      </c>
      <c r="I115" s="24" t="str">
        <f aca="false">IF(OR(H115&lt;8,H115&gt;500),"분량 확인","")</f>
        <v/>
      </c>
    </row>
    <row r="116" customFormat="false" ht="159.75" hidden="false" customHeight="true" outlineLevel="0" collapsed="false">
      <c r="A116" s="13" t="s">
        <v>3964</v>
      </c>
      <c r="B116" s="15" t="s">
        <v>3965</v>
      </c>
      <c r="C116" s="14" t="s">
        <v>3966</v>
      </c>
      <c r="D116" s="15" t="s">
        <v>3967</v>
      </c>
      <c r="E116" s="23" t="s">
        <v>19</v>
      </c>
      <c r="F116" s="16"/>
      <c r="G116" s="16"/>
      <c r="H116" s="19" t="n">
        <f aca="false">LEN(IF(F116&lt;&gt;"",F116,D116))</f>
        <v>312</v>
      </c>
      <c r="I116" s="24" t="str">
        <f aca="false">IF(OR(H116&lt;8,H116&gt;500),"분량 확인","")</f>
        <v/>
      </c>
    </row>
    <row r="117" customFormat="false" ht="159.75" hidden="false" customHeight="true" outlineLevel="0" collapsed="false">
      <c r="A117" s="13" t="s">
        <v>3968</v>
      </c>
      <c r="B117" s="15" t="s">
        <v>3965</v>
      </c>
      <c r="C117" s="14" t="s">
        <v>3969</v>
      </c>
      <c r="D117" s="15" t="s">
        <v>3970</v>
      </c>
      <c r="E117" s="23" t="s">
        <v>19</v>
      </c>
      <c r="F117" s="16"/>
      <c r="G117" s="16"/>
      <c r="H117" s="19" t="n">
        <f aca="false">LEN(IF(F117&lt;&gt;"",F117,D117))</f>
        <v>309</v>
      </c>
      <c r="I117" s="24" t="str">
        <f aca="false">IF(OR(H117&lt;8,H117&gt;500),"분량 확인","")</f>
        <v/>
      </c>
    </row>
    <row r="118" customFormat="false" ht="159.75" hidden="false" customHeight="true" outlineLevel="0" collapsed="false">
      <c r="A118" s="13" t="s">
        <v>3971</v>
      </c>
      <c r="B118" s="15" t="s">
        <v>3965</v>
      </c>
      <c r="C118" s="14" t="s">
        <v>3972</v>
      </c>
      <c r="D118" s="15" t="s">
        <v>3973</v>
      </c>
      <c r="E118" s="23" t="s">
        <v>19</v>
      </c>
      <c r="F118" s="16"/>
      <c r="G118" s="16"/>
      <c r="H118" s="19" t="n">
        <f aca="false">LEN(IF(F118&lt;&gt;"",F118,D118))</f>
        <v>292</v>
      </c>
      <c r="I118" s="24" t="str">
        <f aca="false">IF(OR(H118&lt;8,H118&gt;500),"분량 확인","")</f>
        <v/>
      </c>
    </row>
    <row r="119" customFormat="false" ht="145.5" hidden="false" customHeight="true" outlineLevel="0" collapsed="false">
      <c r="A119" s="13" t="s">
        <v>3974</v>
      </c>
      <c r="B119" s="15" t="s">
        <v>3965</v>
      </c>
      <c r="C119" s="14" t="s">
        <v>3975</v>
      </c>
      <c r="D119" s="15" t="s">
        <v>3976</v>
      </c>
      <c r="E119" s="23" t="s">
        <v>19</v>
      </c>
      <c r="F119" s="16"/>
      <c r="G119" s="16"/>
      <c r="H119" s="19" t="n">
        <f aca="false">LEN(IF(F119&lt;&gt;"",F119,D119))</f>
        <v>287</v>
      </c>
      <c r="I119" s="24" t="str">
        <f aca="false">IF(OR(H119&lt;8,H119&gt;500),"분량 확인","")</f>
        <v/>
      </c>
    </row>
    <row r="120" customFormat="false" ht="159.75" hidden="false" customHeight="true" outlineLevel="0" collapsed="false">
      <c r="A120" s="13" t="s">
        <v>3977</v>
      </c>
      <c r="B120" s="15" t="s">
        <v>3965</v>
      </c>
      <c r="C120" s="14" t="s">
        <v>3978</v>
      </c>
      <c r="D120" s="15" t="s">
        <v>3979</v>
      </c>
      <c r="E120" s="23" t="s">
        <v>19</v>
      </c>
      <c r="F120" s="16"/>
      <c r="G120" s="16"/>
      <c r="H120" s="19" t="n">
        <f aca="false">LEN(IF(F120&lt;&gt;"",F120,D120))</f>
        <v>291</v>
      </c>
      <c r="I120" s="24" t="str">
        <f aca="false">IF(OR(H120&lt;8,H120&gt;500),"분량 확인","")</f>
        <v/>
      </c>
    </row>
    <row r="121" customFormat="false" ht="159.75" hidden="false" customHeight="true" outlineLevel="0" collapsed="false">
      <c r="A121" s="13" t="s">
        <v>3980</v>
      </c>
      <c r="B121" s="15" t="s">
        <v>3965</v>
      </c>
      <c r="C121" s="14" t="s">
        <v>3981</v>
      </c>
      <c r="D121" s="15" t="s">
        <v>3982</v>
      </c>
      <c r="E121" s="23" t="s">
        <v>19</v>
      </c>
      <c r="F121" s="16"/>
      <c r="G121" s="16"/>
      <c r="H121" s="19" t="n">
        <f aca="false">LEN(IF(F121&lt;&gt;"",F121,D121))</f>
        <v>294</v>
      </c>
      <c r="I121" s="24" t="str">
        <f aca="false">IF(OR(H121&lt;8,H121&gt;500),"분량 확인","")</f>
        <v/>
      </c>
    </row>
    <row r="122" customFormat="false" ht="159.75" hidden="false" customHeight="true" outlineLevel="0" collapsed="false">
      <c r="A122" s="13" t="s">
        <v>3983</v>
      </c>
      <c r="B122" s="15" t="s">
        <v>3984</v>
      </c>
      <c r="C122" s="14" t="s">
        <v>3966</v>
      </c>
      <c r="D122" s="15" t="s">
        <v>3985</v>
      </c>
      <c r="E122" s="23" t="s">
        <v>19</v>
      </c>
      <c r="F122" s="16"/>
      <c r="G122" s="16"/>
      <c r="H122" s="19" t="n">
        <f aca="false">LEN(IF(F122&lt;&gt;"",F122,D122))</f>
        <v>307</v>
      </c>
      <c r="I122" s="24" t="str">
        <f aca="false">IF(OR(H122&lt;8,H122&gt;500),"분량 확인","")</f>
        <v/>
      </c>
    </row>
    <row r="123" customFormat="false" ht="159.75" hidden="false" customHeight="true" outlineLevel="0" collapsed="false">
      <c r="A123" s="13" t="s">
        <v>3986</v>
      </c>
      <c r="B123" s="15" t="s">
        <v>3984</v>
      </c>
      <c r="C123" s="14" t="s">
        <v>3969</v>
      </c>
      <c r="D123" s="15" t="s">
        <v>3987</v>
      </c>
      <c r="E123" s="23" t="s">
        <v>19</v>
      </c>
      <c r="F123" s="16"/>
      <c r="G123" s="16"/>
      <c r="H123" s="19" t="n">
        <f aca="false">LEN(IF(F123&lt;&gt;"",F123,D123))</f>
        <v>292</v>
      </c>
      <c r="I123" s="24" t="str">
        <f aca="false">IF(OR(H123&lt;8,H123&gt;500),"분량 확인","")</f>
        <v/>
      </c>
    </row>
    <row r="124" customFormat="false" ht="159.75" hidden="false" customHeight="true" outlineLevel="0" collapsed="false">
      <c r="A124" s="13" t="s">
        <v>3988</v>
      </c>
      <c r="B124" s="15" t="s">
        <v>3984</v>
      </c>
      <c r="C124" s="14" t="s">
        <v>3972</v>
      </c>
      <c r="D124" s="15" t="s">
        <v>3989</v>
      </c>
      <c r="E124" s="23" t="s">
        <v>19</v>
      </c>
      <c r="F124" s="16"/>
      <c r="G124" s="16"/>
      <c r="H124" s="19" t="n">
        <f aca="false">LEN(IF(F124&lt;&gt;"",F124,D124))</f>
        <v>298</v>
      </c>
      <c r="I124" s="24" t="str">
        <f aca="false">IF(OR(H124&lt;8,H124&gt;500),"분량 확인","")</f>
        <v/>
      </c>
    </row>
    <row r="125" customFormat="false" ht="159.75" hidden="false" customHeight="true" outlineLevel="0" collapsed="false">
      <c r="A125" s="13" t="s">
        <v>3990</v>
      </c>
      <c r="B125" s="15" t="s">
        <v>3984</v>
      </c>
      <c r="C125" s="14" t="s">
        <v>3975</v>
      </c>
      <c r="D125" s="15" t="s">
        <v>3991</v>
      </c>
      <c r="E125" s="23" t="s">
        <v>19</v>
      </c>
      <c r="F125" s="16"/>
      <c r="G125" s="16"/>
      <c r="H125" s="19" t="n">
        <f aca="false">LEN(IF(F125&lt;&gt;"",F125,D125))</f>
        <v>296</v>
      </c>
      <c r="I125" s="24" t="str">
        <f aca="false">IF(OR(H125&lt;8,H125&gt;500),"분량 확인","")</f>
        <v/>
      </c>
    </row>
    <row r="126" customFormat="false" ht="145.5" hidden="false" customHeight="true" outlineLevel="0" collapsed="false">
      <c r="A126" s="13" t="s">
        <v>3992</v>
      </c>
      <c r="B126" s="15" t="s">
        <v>3984</v>
      </c>
      <c r="C126" s="14" t="s">
        <v>3978</v>
      </c>
      <c r="D126" s="15" t="s">
        <v>3993</v>
      </c>
      <c r="E126" s="23" t="s">
        <v>19</v>
      </c>
      <c r="F126" s="16"/>
      <c r="G126" s="16"/>
      <c r="H126" s="19" t="n">
        <f aca="false">LEN(IF(F126&lt;&gt;"",F126,D126))</f>
        <v>287</v>
      </c>
      <c r="I126" s="24" t="str">
        <f aca="false">IF(OR(H126&lt;8,H126&gt;500),"분량 확인","")</f>
        <v/>
      </c>
    </row>
    <row r="127" customFormat="false" ht="159.75" hidden="false" customHeight="true" outlineLevel="0" collapsed="false">
      <c r="A127" s="13" t="s">
        <v>3994</v>
      </c>
      <c r="B127" s="15" t="s">
        <v>3984</v>
      </c>
      <c r="C127" s="14" t="s">
        <v>3981</v>
      </c>
      <c r="D127" s="15" t="s">
        <v>3995</v>
      </c>
      <c r="E127" s="23" t="s">
        <v>19</v>
      </c>
      <c r="F127" s="16"/>
      <c r="G127" s="16"/>
      <c r="H127" s="19" t="n">
        <f aca="false">LEN(IF(F127&lt;&gt;"",F127,D127))</f>
        <v>301</v>
      </c>
      <c r="I127" s="24" t="str">
        <f aca="false">IF(OR(H127&lt;8,H127&gt;500),"분량 확인","")</f>
        <v/>
      </c>
    </row>
    <row r="128" customFormat="false" ht="159.75" hidden="false" customHeight="true" outlineLevel="0" collapsed="false">
      <c r="A128" s="13" t="s">
        <v>3996</v>
      </c>
      <c r="B128" s="15" t="s">
        <v>3997</v>
      </c>
      <c r="C128" s="14" t="s">
        <v>3966</v>
      </c>
      <c r="D128" s="15" t="s">
        <v>3998</v>
      </c>
      <c r="E128" s="23" t="s">
        <v>19</v>
      </c>
      <c r="F128" s="16"/>
      <c r="G128" s="16"/>
      <c r="H128" s="19" t="n">
        <f aca="false">LEN(IF(F128&lt;&gt;"",F128,D128))</f>
        <v>305</v>
      </c>
      <c r="I128" s="24" t="str">
        <f aca="false">IF(OR(H128&lt;8,H128&gt;500),"분량 확인","")</f>
        <v/>
      </c>
    </row>
    <row r="129" customFormat="false" ht="159.75" hidden="false" customHeight="true" outlineLevel="0" collapsed="false">
      <c r="A129" s="13" t="s">
        <v>3999</v>
      </c>
      <c r="B129" s="15" t="s">
        <v>3997</v>
      </c>
      <c r="C129" s="14" t="s">
        <v>3969</v>
      </c>
      <c r="D129" s="15" t="s">
        <v>4000</v>
      </c>
      <c r="E129" s="23" t="s">
        <v>19</v>
      </c>
      <c r="F129" s="16"/>
      <c r="G129" s="16"/>
      <c r="H129" s="19" t="n">
        <f aca="false">LEN(IF(F129&lt;&gt;"",F129,D129))</f>
        <v>296</v>
      </c>
      <c r="I129" s="24" t="str">
        <f aca="false">IF(OR(H129&lt;8,H129&gt;500),"분량 확인","")</f>
        <v/>
      </c>
    </row>
    <row r="130" customFormat="false" ht="159.75" hidden="false" customHeight="true" outlineLevel="0" collapsed="false">
      <c r="A130" s="13" t="s">
        <v>4001</v>
      </c>
      <c r="B130" s="15" t="s">
        <v>3997</v>
      </c>
      <c r="C130" s="14" t="s">
        <v>3972</v>
      </c>
      <c r="D130" s="15" t="s">
        <v>4002</v>
      </c>
      <c r="E130" s="23" t="s">
        <v>19</v>
      </c>
      <c r="F130" s="16"/>
      <c r="G130" s="16"/>
      <c r="H130" s="19" t="n">
        <f aca="false">LEN(IF(F130&lt;&gt;"",F130,D130))</f>
        <v>297</v>
      </c>
      <c r="I130" s="24" t="str">
        <f aca="false">IF(OR(H130&lt;8,H130&gt;500),"분량 확인","")</f>
        <v/>
      </c>
    </row>
    <row r="131" customFormat="false" ht="159.75" hidden="false" customHeight="true" outlineLevel="0" collapsed="false">
      <c r="A131" s="13" t="s">
        <v>4003</v>
      </c>
      <c r="B131" s="15" t="s">
        <v>3997</v>
      </c>
      <c r="C131" s="14" t="s">
        <v>3975</v>
      </c>
      <c r="D131" s="15" t="s">
        <v>4004</v>
      </c>
      <c r="E131" s="23" t="s">
        <v>19</v>
      </c>
      <c r="F131" s="16"/>
      <c r="G131" s="16"/>
      <c r="H131" s="19" t="n">
        <f aca="false">LEN(IF(F131&lt;&gt;"",F131,D131))</f>
        <v>296</v>
      </c>
      <c r="I131" s="24" t="str">
        <f aca="false">IF(OR(H131&lt;8,H131&gt;500),"분량 확인","")</f>
        <v/>
      </c>
    </row>
    <row r="132" customFormat="false" ht="145.5" hidden="false" customHeight="true" outlineLevel="0" collapsed="false">
      <c r="A132" s="13" t="s">
        <v>4005</v>
      </c>
      <c r="B132" s="15" t="s">
        <v>3997</v>
      </c>
      <c r="C132" s="14" t="s">
        <v>3978</v>
      </c>
      <c r="D132" s="15" t="s">
        <v>4006</v>
      </c>
      <c r="E132" s="23" t="s">
        <v>19</v>
      </c>
      <c r="F132" s="16"/>
      <c r="G132" s="16"/>
      <c r="H132" s="19" t="n">
        <f aca="false">LEN(IF(F132&lt;&gt;"",F132,D132))</f>
        <v>284</v>
      </c>
      <c r="I132" s="24" t="str">
        <f aca="false">IF(OR(H132&lt;8,H132&gt;500),"분량 확인","")</f>
        <v/>
      </c>
    </row>
    <row r="133" customFormat="false" ht="159.75" hidden="false" customHeight="true" outlineLevel="0" collapsed="false">
      <c r="A133" s="13" t="s">
        <v>4007</v>
      </c>
      <c r="B133" s="15" t="s">
        <v>3997</v>
      </c>
      <c r="C133" s="14" t="s">
        <v>3981</v>
      </c>
      <c r="D133" s="15" t="s">
        <v>4008</v>
      </c>
      <c r="E133" s="23" t="s">
        <v>19</v>
      </c>
      <c r="F133" s="16"/>
      <c r="G133" s="16"/>
      <c r="H133" s="19" t="n">
        <f aca="false">LEN(IF(F133&lt;&gt;"",F133,D133))</f>
        <v>302</v>
      </c>
      <c r="I133" s="24" t="str">
        <f aca="false">IF(OR(H133&lt;8,H133&gt;500),"분량 확인","")</f>
        <v/>
      </c>
    </row>
    <row r="134" customFormat="false" ht="159.75" hidden="false" customHeight="true" outlineLevel="0" collapsed="false">
      <c r="A134" s="13" t="s">
        <v>4009</v>
      </c>
      <c r="B134" s="15" t="s">
        <v>4010</v>
      </c>
      <c r="C134" s="14" t="s">
        <v>3966</v>
      </c>
      <c r="D134" s="15" t="s">
        <v>4011</v>
      </c>
      <c r="E134" s="23" t="s">
        <v>19</v>
      </c>
      <c r="F134" s="16"/>
      <c r="G134" s="16"/>
      <c r="H134" s="19" t="n">
        <f aca="false">LEN(IF(F134&lt;&gt;"",F134,D134))</f>
        <v>298</v>
      </c>
      <c r="I134" s="24" t="str">
        <f aca="false">IF(OR(H134&lt;8,H134&gt;500),"분량 확인","")</f>
        <v/>
      </c>
    </row>
    <row r="135" customFormat="false" ht="159.75" hidden="false" customHeight="true" outlineLevel="0" collapsed="false">
      <c r="A135" s="13" t="s">
        <v>4012</v>
      </c>
      <c r="B135" s="15" t="s">
        <v>4010</v>
      </c>
      <c r="C135" s="14" t="s">
        <v>3969</v>
      </c>
      <c r="D135" s="15" t="s">
        <v>4013</v>
      </c>
      <c r="E135" s="23" t="s">
        <v>19</v>
      </c>
      <c r="F135" s="16"/>
      <c r="G135" s="16"/>
      <c r="H135" s="19" t="n">
        <f aca="false">LEN(IF(F135&lt;&gt;"",F135,D135))</f>
        <v>291</v>
      </c>
      <c r="I135" s="24" t="str">
        <f aca="false">IF(OR(H135&lt;8,H135&gt;500),"분량 확인","")</f>
        <v/>
      </c>
    </row>
    <row r="136" customFormat="false" ht="159.75" hidden="false" customHeight="true" outlineLevel="0" collapsed="false">
      <c r="A136" s="13" t="s">
        <v>4014</v>
      </c>
      <c r="B136" s="15" t="s">
        <v>4010</v>
      </c>
      <c r="C136" s="14" t="s">
        <v>3972</v>
      </c>
      <c r="D136" s="15" t="s">
        <v>4015</v>
      </c>
      <c r="E136" s="23" t="s">
        <v>19</v>
      </c>
      <c r="F136" s="16"/>
      <c r="G136" s="16"/>
      <c r="H136" s="19" t="n">
        <f aca="false">LEN(IF(F136&lt;&gt;"",F136,D136))</f>
        <v>291</v>
      </c>
      <c r="I136" s="24" t="str">
        <f aca="false">IF(OR(H136&lt;8,H136&gt;500),"분량 확인","")</f>
        <v/>
      </c>
    </row>
    <row r="137" customFormat="false" ht="145.5" hidden="false" customHeight="true" outlineLevel="0" collapsed="false">
      <c r="A137" s="13" t="s">
        <v>4016</v>
      </c>
      <c r="B137" s="15" t="s">
        <v>4010</v>
      </c>
      <c r="C137" s="14" t="s">
        <v>3975</v>
      </c>
      <c r="D137" s="15" t="s">
        <v>4017</v>
      </c>
      <c r="E137" s="23" t="s">
        <v>19</v>
      </c>
      <c r="F137" s="16"/>
      <c r="G137" s="16"/>
      <c r="H137" s="19" t="n">
        <f aca="false">LEN(IF(F137&lt;&gt;"",F137,D137))</f>
        <v>287</v>
      </c>
      <c r="I137" s="24" t="str">
        <f aca="false">IF(OR(H137&lt;8,H137&gt;500),"분량 확인","")</f>
        <v/>
      </c>
    </row>
    <row r="138" customFormat="false" ht="145.5" hidden="false" customHeight="true" outlineLevel="0" collapsed="false">
      <c r="A138" s="13" t="s">
        <v>4018</v>
      </c>
      <c r="B138" s="15" t="s">
        <v>4010</v>
      </c>
      <c r="C138" s="14" t="s">
        <v>3978</v>
      </c>
      <c r="D138" s="15" t="s">
        <v>4019</v>
      </c>
      <c r="E138" s="23" t="s">
        <v>19</v>
      </c>
      <c r="F138" s="16"/>
      <c r="G138" s="16"/>
      <c r="H138" s="19" t="n">
        <f aca="false">LEN(IF(F138&lt;&gt;"",F138,D138))</f>
        <v>267</v>
      </c>
      <c r="I138" s="24" t="str">
        <f aca="false">IF(OR(H138&lt;8,H138&gt;500),"분량 확인","")</f>
        <v/>
      </c>
    </row>
    <row r="139" customFormat="false" ht="145.5" hidden="false" customHeight="true" outlineLevel="0" collapsed="false">
      <c r="A139" s="13" t="s">
        <v>4020</v>
      </c>
      <c r="B139" s="15" t="s">
        <v>4010</v>
      </c>
      <c r="C139" s="14" t="s">
        <v>3981</v>
      </c>
      <c r="D139" s="15" t="s">
        <v>4021</v>
      </c>
      <c r="E139" s="23" t="s">
        <v>19</v>
      </c>
      <c r="F139" s="16"/>
      <c r="G139" s="16"/>
      <c r="H139" s="19" t="n">
        <f aca="false">LEN(IF(F139&lt;&gt;"",F139,D139))</f>
        <v>286</v>
      </c>
      <c r="I139" s="24" t="str">
        <f aca="false">IF(OR(H139&lt;8,H139&gt;500),"분량 확인","")</f>
        <v/>
      </c>
    </row>
    <row r="140" customFormat="false" ht="159.75" hidden="false" customHeight="true" outlineLevel="0" collapsed="false">
      <c r="A140" s="13" t="s">
        <v>4022</v>
      </c>
      <c r="B140" s="15" t="s">
        <v>4023</v>
      </c>
      <c r="C140" s="14" t="s">
        <v>3966</v>
      </c>
      <c r="D140" s="15" t="s">
        <v>4024</v>
      </c>
      <c r="E140" s="23" t="s">
        <v>19</v>
      </c>
      <c r="F140" s="16"/>
      <c r="G140" s="16"/>
      <c r="H140" s="19" t="n">
        <f aca="false">LEN(IF(F140&lt;&gt;"",F140,D140))</f>
        <v>293</v>
      </c>
      <c r="I140" s="24" t="str">
        <f aca="false">IF(OR(H140&lt;8,H140&gt;500),"분량 확인","")</f>
        <v/>
      </c>
    </row>
    <row r="141" customFormat="false" ht="159.75" hidden="false" customHeight="true" outlineLevel="0" collapsed="false">
      <c r="A141" s="13" t="s">
        <v>4025</v>
      </c>
      <c r="B141" s="15" t="s">
        <v>4023</v>
      </c>
      <c r="C141" s="14" t="s">
        <v>3969</v>
      </c>
      <c r="D141" s="15" t="s">
        <v>4026</v>
      </c>
      <c r="E141" s="23" t="s">
        <v>19</v>
      </c>
      <c r="F141" s="16"/>
      <c r="G141" s="16"/>
      <c r="H141" s="19" t="n">
        <f aca="false">LEN(IF(F141&lt;&gt;"",F141,D141))</f>
        <v>298</v>
      </c>
      <c r="I141" s="24" t="str">
        <f aca="false">IF(OR(H141&lt;8,H141&gt;500),"분량 확인","")</f>
        <v/>
      </c>
    </row>
    <row r="142" customFormat="false" ht="159.75" hidden="false" customHeight="true" outlineLevel="0" collapsed="false">
      <c r="A142" s="13" t="s">
        <v>4027</v>
      </c>
      <c r="B142" s="15" t="s">
        <v>4023</v>
      </c>
      <c r="C142" s="14" t="s">
        <v>3972</v>
      </c>
      <c r="D142" s="15" t="s">
        <v>4028</v>
      </c>
      <c r="E142" s="23" t="s">
        <v>19</v>
      </c>
      <c r="F142" s="16"/>
      <c r="G142" s="16"/>
      <c r="H142" s="19" t="n">
        <f aca="false">LEN(IF(F142&lt;&gt;"",F142,D142))</f>
        <v>299</v>
      </c>
      <c r="I142" s="24" t="str">
        <f aca="false">IF(OR(H142&lt;8,H142&gt;500),"분량 확인","")</f>
        <v/>
      </c>
    </row>
    <row r="143" customFormat="false" ht="145.5" hidden="false" customHeight="true" outlineLevel="0" collapsed="false">
      <c r="A143" s="13" t="s">
        <v>4029</v>
      </c>
      <c r="B143" s="15" t="s">
        <v>4023</v>
      </c>
      <c r="C143" s="14" t="s">
        <v>3975</v>
      </c>
      <c r="D143" s="15" t="s">
        <v>4030</v>
      </c>
      <c r="E143" s="23" t="s">
        <v>19</v>
      </c>
      <c r="F143" s="16"/>
      <c r="G143" s="16"/>
      <c r="H143" s="19" t="n">
        <f aca="false">LEN(IF(F143&lt;&gt;"",F143,D143))</f>
        <v>277</v>
      </c>
      <c r="I143" s="24" t="str">
        <f aca="false">IF(OR(H143&lt;8,H143&gt;500),"분량 확인","")</f>
        <v/>
      </c>
    </row>
    <row r="144" customFormat="false" ht="145.5" hidden="false" customHeight="true" outlineLevel="0" collapsed="false">
      <c r="A144" s="13" t="s">
        <v>4031</v>
      </c>
      <c r="B144" s="15" t="s">
        <v>4023</v>
      </c>
      <c r="C144" s="14" t="s">
        <v>3978</v>
      </c>
      <c r="D144" s="15" t="s">
        <v>4032</v>
      </c>
      <c r="E144" s="23" t="s">
        <v>19</v>
      </c>
      <c r="F144" s="16"/>
      <c r="G144" s="16"/>
      <c r="H144" s="19" t="n">
        <f aca="false">LEN(IF(F144&lt;&gt;"",F144,D144))</f>
        <v>285</v>
      </c>
      <c r="I144" s="24" t="str">
        <f aca="false">IF(OR(H144&lt;8,H144&gt;500),"분량 확인","")</f>
        <v/>
      </c>
    </row>
    <row r="145" customFormat="false" ht="145.5" hidden="false" customHeight="true" outlineLevel="0" collapsed="false">
      <c r="A145" s="13" t="s">
        <v>4033</v>
      </c>
      <c r="B145" s="15" t="s">
        <v>4023</v>
      </c>
      <c r="C145" s="14" t="s">
        <v>3981</v>
      </c>
      <c r="D145" s="15" t="s">
        <v>4034</v>
      </c>
      <c r="E145" s="23" t="s">
        <v>19</v>
      </c>
      <c r="F145" s="16"/>
      <c r="G145" s="16"/>
      <c r="H145" s="19" t="n">
        <f aca="false">LEN(IF(F145&lt;&gt;"",F145,D145))</f>
        <v>289</v>
      </c>
      <c r="I145" s="24" t="str">
        <f aca="false">IF(OR(H145&lt;8,H145&gt;500),"분량 확인","")</f>
        <v/>
      </c>
    </row>
    <row r="146" customFormat="false" ht="145.5" hidden="false" customHeight="true" outlineLevel="0" collapsed="false">
      <c r="A146" s="13" t="s">
        <v>4035</v>
      </c>
      <c r="B146" s="15" t="s">
        <v>4036</v>
      </c>
      <c r="C146" s="14" t="s">
        <v>3966</v>
      </c>
      <c r="D146" s="15" t="s">
        <v>4037</v>
      </c>
      <c r="E146" s="23" t="s">
        <v>19</v>
      </c>
      <c r="F146" s="16"/>
      <c r="G146" s="16"/>
      <c r="H146" s="19" t="n">
        <f aca="false">LEN(IF(F146&lt;&gt;"",F146,D146))</f>
        <v>284</v>
      </c>
      <c r="I146" s="24" t="str">
        <f aca="false">IF(OR(H146&lt;8,H146&gt;500),"분량 확인","")</f>
        <v/>
      </c>
    </row>
    <row r="147" customFormat="false" ht="159.75" hidden="false" customHeight="true" outlineLevel="0" collapsed="false">
      <c r="A147" s="13" t="s">
        <v>4038</v>
      </c>
      <c r="B147" s="15" t="s">
        <v>4036</v>
      </c>
      <c r="C147" s="14" t="s">
        <v>3969</v>
      </c>
      <c r="D147" s="15" t="s">
        <v>4039</v>
      </c>
      <c r="E147" s="23" t="s">
        <v>19</v>
      </c>
      <c r="F147" s="16"/>
      <c r="G147" s="16"/>
      <c r="H147" s="19" t="n">
        <f aca="false">LEN(IF(F147&lt;&gt;"",F147,D147))</f>
        <v>295</v>
      </c>
      <c r="I147" s="24" t="str">
        <f aca="false">IF(OR(H147&lt;8,H147&gt;500),"분량 확인","")</f>
        <v/>
      </c>
    </row>
    <row r="148" customFormat="false" ht="145.5" hidden="false" customHeight="true" outlineLevel="0" collapsed="false">
      <c r="A148" s="13" t="s">
        <v>4040</v>
      </c>
      <c r="B148" s="15" t="s">
        <v>4036</v>
      </c>
      <c r="C148" s="14" t="s">
        <v>3972</v>
      </c>
      <c r="D148" s="15" t="s">
        <v>4041</v>
      </c>
      <c r="E148" s="23" t="s">
        <v>19</v>
      </c>
      <c r="F148" s="16"/>
      <c r="G148" s="16"/>
      <c r="H148" s="19" t="n">
        <f aca="false">LEN(IF(F148&lt;&gt;"",F148,D148))</f>
        <v>283</v>
      </c>
      <c r="I148" s="24" t="str">
        <f aca="false">IF(OR(H148&lt;8,H148&gt;500),"분량 확인","")</f>
        <v/>
      </c>
    </row>
    <row r="149" customFormat="false" ht="145.5" hidden="false" customHeight="true" outlineLevel="0" collapsed="false">
      <c r="A149" s="13" t="s">
        <v>4042</v>
      </c>
      <c r="B149" s="15" t="s">
        <v>4036</v>
      </c>
      <c r="C149" s="14" t="s">
        <v>3975</v>
      </c>
      <c r="D149" s="15" t="s">
        <v>4043</v>
      </c>
      <c r="E149" s="23" t="s">
        <v>19</v>
      </c>
      <c r="F149" s="16"/>
      <c r="G149" s="16"/>
      <c r="H149" s="19" t="n">
        <f aca="false">LEN(IF(F149&lt;&gt;"",F149,D149))</f>
        <v>270</v>
      </c>
      <c r="I149" s="24" t="str">
        <f aca="false">IF(OR(H149&lt;8,H149&gt;500),"분량 확인","")</f>
        <v/>
      </c>
    </row>
    <row r="150" customFormat="false" ht="145.5" hidden="false" customHeight="true" outlineLevel="0" collapsed="false">
      <c r="A150" s="13" t="s">
        <v>4044</v>
      </c>
      <c r="B150" s="15" t="s">
        <v>4036</v>
      </c>
      <c r="C150" s="14" t="s">
        <v>3978</v>
      </c>
      <c r="D150" s="15" t="s">
        <v>4045</v>
      </c>
      <c r="E150" s="23" t="s">
        <v>19</v>
      </c>
      <c r="F150" s="16"/>
      <c r="G150" s="16"/>
      <c r="H150" s="19" t="n">
        <f aca="false">LEN(IF(F150&lt;&gt;"",F150,D150))</f>
        <v>278</v>
      </c>
      <c r="I150" s="24" t="str">
        <f aca="false">IF(OR(H150&lt;8,H150&gt;500),"분량 확인","")</f>
        <v/>
      </c>
    </row>
    <row r="151" customFormat="false" ht="145.5" hidden="false" customHeight="true" outlineLevel="0" collapsed="false">
      <c r="A151" s="13" t="s">
        <v>4046</v>
      </c>
      <c r="B151" s="15" t="s">
        <v>4036</v>
      </c>
      <c r="C151" s="14" t="s">
        <v>3981</v>
      </c>
      <c r="D151" s="15" t="s">
        <v>4047</v>
      </c>
      <c r="E151" s="23" t="s">
        <v>19</v>
      </c>
      <c r="F151" s="16"/>
      <c r="G151" s="16"/>
      <c r="H151" s="19" t="n">
        <f aca="false">LEN(IF(F151&lt;&gt;"",F151,D151))</f>
        <v>281</v>
      </c>
      <c r="I151" s="24" t="str">
        <f aca="false">IF(OR(H151&lt;8,H151&gt;500),"분량 확인","")</f>
        <v/>
      </c>
    </row>
    <row r="152" customFormat="false" ht="159.75" hidden="false" customHeight="true" outlineLevel="0" collapsed="false">
      <c r="A152" s="13" t="s">
        <v>4048</v>
      </c>
      <c r="B152" s="15" t="s">
        <v>4049</v>
      </c>
      <c r="C152" s="14" t="s">
        <v>3966</v>
      </c>
      <c r="D152" s="15" t="s">
        <v>4050</v>
      </c>
      <c r="E152" s="23" t="s">
        <v>19</v>
      </c>
      <c r="F152" s="16"/>
      <c r="G152" s="16"/>
      <c r="H152" s="19" t="n">
        <f aca="false">LEN(IF(F152&lt;&gt;"",F152,D152))</f>
        <v>292</v>
      </c>
      <c r="I152" s="24" t="str">
        <f aca="false">IF(OR(H152&lt;8,H152&gt;500),"분량 확인","")</f>
        <v/>
      </c>
    </row>
    <row r="153" customFormat="false" ht="159.75" hidden="false" customHeight="true" outlineLevel="0" collapsed="false">
      <c r="A153" s="13" t="s">
        <v>4051</v>
      </c>
      <c r="B153" s="15" t="s">
        <v>4049</v>
      </c>
      <c r="C153" s="14" t="s">
        <v>3969</v>
      </c>
      <c r="D153" s="15" t="s">
        <v>4052</v>
      </c>
      <c r="E153" s="23" t="s">
        <v>19</v>
      </c>
      <c r="F153" s="16"/>
      <c r="G153" s="16"/>
      <c r="H153" s="19" t="n">
        <f aca="false">LEN(IF(F153&lt;&gt;"",F153,D153))</f>
        <v>292</v>
      </c>
      <c r="I153" s="24" t="str">
        <f aca="false">IF(OR(H153&lt;8,H153&gt;500),"분량 확인","")</f>
        <v/>
      </c>
    </row>
    <row r="154" customFormat="false" ht="159.75" hidden="false" customHeight="true" outlineLevel="0" collapsed="false">
      <c r="A154" s="13" t="s">
        <v>4053</v>
      </c>
      <c r="B154" s="15" t="s">
        <v>4049</v>
      </c>
      <c r="C154" s="14" t="s">
        <v>3972</v>
      </c>
      <c r="D154" s="15" t="s">
        <v>4054</v>
      </c>
      <c r="E154" s="23" t="s">
        <v>19</v>
      </c>
      <c r="F154" s="16"/>
      <c r="G154" s="16"/>
      <c r="H154" s="19" t="n">
        <f aca="false">LEN(IF(F154&lt;&gt;"",F154,D154))</f>
        <v>300</v>
      </c>
      <c r="I154" s="24" t="str">
        <f aca="false">IF(OR(H154&lt;8,H154&gt;500),"분량 확인","")</f>
        <v/>
      </c>
    </row>
    <row r="155" customFormat="false" ht="159.75" hidden="false" customHeight="true" outlineLevel="0" collapsed="false">
      <c r="A155" s="13" t="s">
        <v>4055</v>
      </c>
      <c r="B155" s="15" t="s">
        <v>4049</v>
      </c>
      <c r="C155" s="14" t="s">
        <v>3975</v>
      </c>
      <c r="D155" s="15" t="s">
        <v>4056</v>
      </c>
      <c r="E155" s="23" t="s">
        <v>19</v>
      </c>
      <c r="F155" s="16"/>
      <c r="G155" s="16"/>
      <c r="H155" s="19" t="n">
        <f aca="false">LEN(IF(F155&lt;&gt;"",F155,D155))</f>
        <v>298</v>
      </c>
      <c r="I155" s="24" t="str">
        <f aca="false">IF(OR(H155&lt;8,H155&gt;500),"분량 확인","")</f>
        <v/>
      </c>
    </row>
    <row r="156" customFormat="false" ht="145.5" hidden="false" customHeight="true" outlineLevel="0" collapsed="false">
      <c r="A156" s="13" t="s">
        <v>4057</v>
      </c>
      <c r="B156" s="15" t="s">
        <v>4049</v>
      </c>
      <c r="C156" s="14" t="s">
        <v>3978</v>
      </c>
      <c r="D156" s="15" t="s">
        <v>4058</v>
      </c>
      <c r="E156" s="23" t="s">
        <v>19</v>
      </c>
      <c r="F156" s="16"/>
      <c r="G156" s="16"/>
      <c r="H156" s="19" t="n">
        <f aca="false">LEN(IF(F156&lt;&gt;"",F156,D156))</f>
        <v>287</v>
      </c>
      <c r="I156" s="24" t="str">
        <f aca="false">IF(OR(H156&lt;8,H156&gt;500),"분량 확인","")</f>
        <v/>
      </c>
    </row>
    <row r="157" customFormat="false" ht="159.75" hidden="false" customHeight="true" outlineLevel="0" collapsed="false">
      <c r="A157" s="13" t="s">
        <v>4059</v>
      </c>
      <c r="B157" s="15" t="s">
        <v>4049</v>
      </c>
      <c r="C157" s="14" t="s">
        <v>3981</v>
      </c>
      <c r="D157" s="15" t="s">
        <v>4060</v>
      </c>
      <c r="E157" s="23" t="s">
        <v>19</v>
      </c>
      <c r="F157" s="16"/>
      <c r="G157" s="16"/>
      <c r="H157" s="19" t="n">
        <f aca="false">LEN(IF(F157&lt;&gt;"",F157,D157))</f>
        <v>293</v>
      </c>
      <c r="I157" s="24" t="str">
        <f aca="false">IF(OR(H157&lt;8,H157&gt;500),"분량 확인","")</f>
        <v/>
      </c>
    </row>
    <row r="158" customFormat="false" ht="33.75" hidden="false" customHeight="true" outlineLevel="0" collapsed="false">
      <c r="A158" s="13" t="s">
        <v>4061</v>
      </c>
      <c r="B158" s="14" t="s">
        <v>4062</v>
      </c>
      <c r="C158" s="15" t="s">
        <v>4063</v>
      </c>
      <c r="D158" s="15" t="s">
        <v>4064</v>
      </c>
      <c r="E158" s="23" t="s">
        <v>19</v>
      </c>
      <c r="F158" s="16"/>
      <c r="G158" s="16"/>
      <c r="H158" s="19" t="n">
        <f aca="false">LEN(IF(F158&lt;&gt;"",F158,D158))</f>
        <v>17</v>
      </c>
      <c r="I158" s="24" t="str">
        <f aca="false">IF(OR(H158&lt;8,H158&gt;500),"분량 확인","")</f>
        <v/>
      </c>
    </row>
    <row r="159" customFormat="false" ht="61.5" hidden="false" customHeight="true" outlineLevel="0" collapsed="false">
      <c r="A159" s="13" t="s">
        <v>4065</v>
      </c>
      <c r="B159" s="14" t="s">
        <v>4062</v>
      </c>
      <c r="C159" s="15" t="s">
        <v>4066</v>
      </c>
      <c r="D159" s="15" t="s">
        <v>4067</v>
      </c>
      <c r="E159" s="23" t="s">
        <v>19</v>
      </c>
      <c r="F159" s="16"/>
      <c r="G159" s="16"/>
      <c r="H159" s="19" t="n">
        <f aca="false">LEN(IF(F159&lt;&gt;"",F159,D159))</f>
        <v>105</v>
      </c>
      <c r="I159" s="24" t="str">
        <f aca="false">IF(OR(H159&lt;8,H159&gt;500),"분량 확인","")</f>
        <v/>
      </c>
    </row>
    <row r="160" customFormat="false" ht="19.5" hidden="false" customHeight="true" outlineLevel="0" collapsed="false">
      <c r="A160" s="13" t="s">
        <v>4068</v>
      </c>
      <c r="B160" s="14" t="s">
        <v>4062</v>
      </c>
      <c r="C160" s="15" t="s">
        <v>4069</v>
      </c>
      <c r="D160" s="15" t="s">
        <v>4070</v>
      </c>
      <c r="E160" s="23" t="s">
        <v>19</v>
      </c>
      <c r="F160" s="16"/>
      <c r="G160" s="16"/>
      <c r="H160" s="19" t="n">
        <f aca="false">LEN(IF(F160&lt;&gt;"",F160,D160))</f>
        <v>17</v>
      </c>
      <c r="I160" s="24" t="str">
        <f aca="false">IF(OR(H160&lt;8,H160&gt;500),"분량 확인","")</f>
        <v/>
      </c>
    </row>
    <row r="161" customFormat="false" ht="61.5" hidden="false" customHeight="true" outlineLevel="0" collapsed="false">
      <c r="A161" s="13" t="s">
        <v>4071</v>
      </c>
      <c r="B161" s="14" t="s">
        <v>4062</v>
      </c>
      <c r="C161" s="15" t="s">
        <v>4072</v>
      </c>
      <c r="D161" s="15" t="s">
        <v>4073</v>
      </c>
      <c r="E161" s="23" t="s">
        <v>19</v>
      </c>
      <c r="F161" s="16"/>
      <c r="G161" s="16"/>
      <c r="H161" s="19" t="n">
        <f aca="false">LEN(IF(F161&lt;&gt;"",F161,D161))</f>
        <v>112</v>
      </c>
      <c r="I161" s="24" t="str">
        <f aca="false">IF(OR(H161&lt;8,H161&gt;500),"분량 확인","")</f>
        <v/>
      </c>
    </row>
    <row r="162" customFormat="false" ht="33.75" hidden="false" customHeight="true" outlineLevel="0" collapsed="false">
      <c r="A162" s="13" t="s">
        <v>4074</v>
      </c>
      <c r="B162" s="14" t="s">
        <v>4062</v>
      </c>
      <c r="C162" s="15" t="s">
        <v>4075</v>
      </c>
      <c r="D162" s="15" t="s">
        <v>4076</v>
      </c>
      <c r="E162" s="23" t="s">
        <v>19</v>
      </c>
      <c r="F162" s="16"/>
      <c r="G162" s="16"/>
      <c r="H162" s="19" t="n">
        <f aca="false">LEN(IF(F162&lt;&gt;"",F162,D162))</f>
        <v>23</v>
      </c>
      <c r="I162" s="24" t="str">
        <f aca="false">IF(OR(H162&lt;8,H162&gt;500),"분량 확인","")</f>
        <v/>
      </c>
    </row>
    <row r="163" customFormat="false" ht="75.75" hidden="false" customHeight="true" outlineLevel="0" collapsed="false">
      <c r="A163" s="13" t="s">
        <v>4077</v>
      </c>
      <c r="B163" s="14" t="s">
        <v>4062</v>
      </c>
      <c r="C163" s="15" t="s">
        <v>4078</v>
      </c>
      <c r="D163" s="15" t="s">
        <v>4079</v>
      </c>
      <c r="E163" s="23" t="s">
        <v>19</v>
      </c>
      <c r="F163" s="16"/>
      <c r="G163" s="16"/>
      <c r="H163" s="19" t="n">
        <f aca="false">LEN(IF(F163&lt;&gt;"",F163,D163))</f>
        <v>125</v>
      </c>
      <c r="I163" s="24" t="str">
        <f aca="false">IF(OR(H163&lt;8,H163&gt;500),"분량 확인","")</f>
        <v/>
      </c>
    </row>
    <row r="164" customFormat="false" ht="33.75" hidden="false" customHeight="true" outlineLevel="0" collapsed="false">
      <c r="A164" s="13" t="s">
        <v>4080</v>
      </c>
      <c r="B164" s="14" t="s">
        <v>4062</v>
      </c>
      <c r="C164" s="15" t="s">
        <v>4081</v>
      </c>
      <c r="D164" s="15" t="s">
        <v>4082</v>
      </c>
      <c r="E164" s="23" t="s">
        <v>19</v>
      </c>
      <c r="F164" s="16"/>
      <c r="G164" s="16"/>
      <c r="H164" s="19" t="n">
        <f aca="false">LEN(IF(F164&lt;&gt;"",F164,D164))</f>
        <v>18</v>
      </c>
      <c r="I164" s="24" t="str">
        <f aca="false">IF(OR(H164&lt;8,H164&gt;500),"분량 확인","")</f>
        <v/>
      </c>
    </row>
    <row r="165" customFormat="false" ht="75.75" hidden="false" customHeight="true" outlineLevel="0" collapsed="false">
      <c r="A165" s="13" t="s">
        <v>4083</v>
      </c>
      <c r="B165" s="14" t="s">
        <v>4062</v>
      </c>
      <c r="C165" s="15" t="s">
        <v>4084</v>
      </c>
      <c r="D165" s="15" t="s">
        <v>4085</v>
      </c>
      <c r="E165" s="23" t="s">
        <v>19</v>
      </c>
      <c r="F165" s="16"/>
      <c r="G165" s="16"/>
      <c r="H165" s="19" t="n">
        <f aca="false">LEN(IF(F165&lt;&gt;"",F165,D165))</f>
        <v>126</v>
      </c>
      <c r="I165" s="24" t="str">
        <f aca="false">IF(OR(H165&lt;8,H165&gt;500),"분량 확인","")</f>
        <v/>
      </c>
    </row>
    <row r="166" customFormat="false" ht="33.75" hidden="false" customHeight="true" outlineLevel="0" collapsed="false">
      <c r="A166" s="13" t="s">
        <v>4086</v>
      </c>
      <c r="B166" s="14" t="s">
        <v>4062</v>
      </c>
      <c r="C166" s="15" t="s">
        <v>4087</v>
      </c>
      <c r="D166" s="15" t="s">
        <v>4088</v>
      </c>
      <c r="E166" s="23" t="s">
        <v>19</v>
      </c>
      <c r="F166" s="16"/>
      <c r="G166" s="16"/>
      <c r="H166" s="19" t="n">
        <f aca="false">LEN(IF(F166&lt;&gt;"",F166,D166))</f>
        <v>19</v>
      </c>
      <c r="I166" s="24" t="str">
        <f aca="false">IF(OR(H166&lt;8,H166&gt;500),"분량 확인","")</f>
        <v/>
      </c>
    </row>
    <row r="167" customFormat="false" ht="61.5" hidden="false" customHeight="true" outlineLevel="0" collapsed="false">
      <c r="A167" s="13" t="s">
        <v>4089</v>
      </c>
      <c r="B167" s="14" t="s">
        <v>4062</v>
      </c>
      <c r="C167" s="15" t="s">
        <v>4090</v>
      </c>
      <c r="D167" s="15" t="s">
        <v>4091</v>
      </c>
      <c r="E167" s="23" t="s">
        <v>19</v>
      </c>
      <c r="F167" s="16"/>
      <c r="G167" s="16"/>
      <c r="H167" s="19" t="n">
        <f aca="false">LEN(IF(F167&lt;&gt;"",F167,D167))</f>
        <v>103</v>
      </c>
      <c r="I167" s="24" t="str">
        <f aca="false">IF(OR(H167&lt;8,H167&gt;500),"분량 확인","")</f>
        <v/>
      </c>
    </row>
    <row r="168" customFormat="false" ht="33.75" hidden="false" customHeight="true" outlineLevel="0" collapsed="false">
      <c r="A168" s="13" t="s">
        <v>4092</v>
      </c>
      <c r="B168" s="14" t="s">
        <v>4062</v>
      </c>
      <c r="C168" s="15" t="s">
        <v>4093</v>
      </c>
      <c r="D168" s="15" t="s">
        <v>4094</v>
      </c>
      <c r="E168" s="23" t="s">
        <v>19</v>
      </c>
      <c r="F168" s="16"/>
      <c r="G168" s="16"/>
      <c r="H168" s="19" t="n">
        <f aca="false">LEN(IF(F168&lt;&gt;"",F168,D168))</f>
        <v>23</v>
      </c>
      <c r="I168" s="24" t="str">
        <f aca="false">IF(OR(H168&lt;8,H168&gt;500),"분량 확인","")</f>
        <v/>
      </c>
    </row>
    <row r="169" customFormat="false" ht="61.5" hidden="false" customHeight="true" outlineLevel="0" collapsed="false">
      <c r="A169" s="13" t="s">
        <v>4095</v>
      </c>
      <c r="B169" s="14" t="s">
        <v>4062</v>
      </c>
      <c r="C169" s="15" t="s">
        <v>4096</v>
      </c>
      <c r="D169" s="15" t="s">
        <v>4097</v>
      </c>
      <c r="E169" s="23" t="s">
        <v>19</v>
      </c>
      <c r="F169" s="16"/>
      <c r="G169" s="16"/>
      <c r="H169" s="19" t="n">
        <f aca="false">LEN(IF(F169&lt;&gt;"",F169,D169))</f>
        <v>101</v>
      </c>
      <c r="I169" s="24" t="str">
        <f aca="false">IF(OR(H169&lt;8,H169&gt;500),"분량 확인","")</f>
        <v/>
      </c>
    </row>
    <row r="170" customFormat="false" ht="33.75" hidden="false" customHeight="true" outlineLevel="0" collapsed="false">
      <c r="A170" s="13" t="s">
        <v>4098</v>
      </c>
      <c r="B170" s="14" t="s">
        <v>4062</v>
      </c>
      <c r="C170" s="15" t="s">
        <v>4099</v>
      </c>
      <c r="D170" s="15" t="s">
        <v>4100</v>
      </c>
      <c r="E170" s="23" t="s">
        <v>19</v>
      </c>
      <c r="F170" s="16"/>
      <c r="G170" s="16"/>
      <c r="H170" s="19" t="n">
        <f aca="false">LEN(IF(F170&lt;&gt;"",F170,D170))</f>
        <v>22</v>
      </c>
      <c r="I170" s="24" t="str">
        <f aca="false">IF(OR(H170&lt;8,H170&gt;500),"분량 확인","")</f>
        <v/>
      </c>
    </row>
    <row r="171" customFormat="false" ht="75.75" hidden="false" customHeight="true" outlineLevel="0" collapsed="false">
      <c r="A171" s="13" t="s">
        <v>4101</v>
      </c>
      <c r="B171" s="14" t="s">
        <v>4062</v>
      </c>
      <c r="C171" s="15" t="s">
        <v>4102</v>
      </c>
      <c r="D171" s="15" t="s">
        <v>4103</v>
      </c>
      <c r="E171" s="23" t="s">
        <v>19</v>
      </c>
      <c r="F171" s="16"/>
      <c r="G171" s="16"/>
      <c r="H171" s="19" t="n">
        <f aca="false">LEN(IF(F171&lt;&gt;"",F171,D171))</f>
        <v>122</v>
      </c>
      <c r="I171" s="24" t="str">
        <f aca="false">IF(OR(H171&lt;8,H171&gt;500),"분량 확인","")</f>
        <v/>
      </c>
    </row>
    <row r="172" customFormat="false" ht="48" hidden="false" customHeight="true" outlineLevel="0" collapsed="false">
      <c r="A172" s="13" t="s">
        <v>4104</v>
      </c>
      <c r="B172" s="14" t="s">
        <v>4105</v>
      </c>
      <c r="C172" s="15" t="s">
        <v>4106</v>
      </c>
      <c r="D172" s="15" t="s">
        <v>4107</v>
      </c>
      <c r="E172" s="23" t="s">
        <v>19</v>
      </c>
      <c r="F172" s="16"/>
      <c r="G172" s="16"/>
      <c r="H172" s="19" t="n">
        <f aca="false">LEN(IF(F172&lt;&gt;"",F172,D172))</f>
        <v>76</v>
      </c>
      <c r="I172" s="24" t="str">
        <f aca="false">IF(OR(H172&lt;8,H172&gt;500),"분량 확인","")</f>
        <v/>
      </c>
    </row>
    <row r="173" customFormat="false" ht="48" hidden="false" customHeight="true" outlineLevel="0" collapsed="false">
      <c r="A173" s="13" t="s">
        <v>4108</v>
      </c>
      <c r="B173" s="14" t="s">
        <v>4105</v>
      </c>
      <c r="C173" s="15" t="s">
        <v>4109</v>
      </c>
      <c r="D173" s="15" t="s">
        <v>4110</v>
      </c>
      <c r="E173" s="23" t="s">
        <v>19</v>
      </c>
      <c r="F173" s="16"/>
      <c r="G173" s="16"/>
      <c r="H173" s="19" t="n">
        <f aca="false">LEN(IF(F173&lt;&gt;"",F173,D173))</f>
        <v>80</v>
      </c>
      <c r="I173" s="24" t="str">
        <f aca="false">IF(OR(H173&lt;8,H173&gt;500),"분량 확인","")</f>
        <v/>
      </c>
    </row>
    <row r="174" customFormat="false" ht="48" hidden="false" customHeight="true" outlineLevel="0" collapsed="false">
      <c r="A174" s="13" t="s">
        <v>4111</v>
      </c>
      <c r="B174" s="14" t="s">
        <v>4105</v>
      </c>
      <c r="C174" s="15" t="s">
        <v>4112</v>
      </c>
      <c r="D174" s="15" t="s">
        <v>4113</v>
      </c>
      <c r="E174" s="23" t="s">
        <v>19</v>
      </c>
      <c r="F174" s="16"/>
      <c r="G174" s="16"/>
      <c r="H174" s="19" t="n">
        <f aca="false">LEN(IF(F174&lt;&gt;"",F174,D174))</f>
        <v>76</v>
      </c>
      <c r="I174" s="24" t="str">
        <f aca="false">IF(OR(H174&lt;8,H174&gt;500),"분량 확인","")</f>
        <v/>
      </c>
    </row>
    <row r="175" customFormat="false" ht="48" hidden="false" customHeight="true" outlineLevel="0" collapsed="false">
      <c r="A175" s="13" t="s">
        <v>4114</v>
      </c>
      <c r="B175" s="14" t="s">
        <v>4105</v>
      </c>
      <c r="C175" s="15" t="s">
        <v>4115</v>
      </c>
      <c r="D175" s="15" t="s">
        <v>4116</v>
      </c>
      <c r="E175" s="23" t="s">
        <v>19</v>
      </c>
      <c r="F175" s="16"/>
      <c r="G175" s="16"/>
      <c r="H175" s="19" t="n">
        <f aca="false">LEN(IF(F175&lt;&gt;"",F175,D175))</f>
        <v>73</v>
      </c>
      <c r="I175" s="24" t="str">
        <f aca="false">IF(OR(H175&lt;8,H175&gt;500),"분량 확인","")</f>
        <v/>
      </c>
    </row>
    <row r="176" customFormat="false" ht="48" hidden="false" customHeight="true" outlineLevel="0" collapsed="false">
      <c r="A176" s="13" t="s">
        <v>4117</v>
      </c>
      <c r="B176" s="14" t="s">
        <v>4105</v>
      </c>
      <c r="C176" s="15" t="s">
        <v>4118</v>
      </c>
      <c r="D176" s="15" t="s">
        <v>4119</v>
      </c>
      <c r="E176" s="23" t="s">
        <v>19</v>
      </c>
      <c r="F176" s="16"/>
      <c r="G176" s="16"/>
      <c r="H176" s="19" t="n">
        <f aca="false">LEN(IF(F176&lt;&gt;"",F176,D176))</f>
        <v>79</v>
      </c>
      <c r="I176" s="24" t="str">
        <f aca="false">IF(OR(H176&lt;8,H176&gt;500),"분량 확인","")</f>
        <v/>
      </c>
    </row>
    <row r="177" customFormat="false" ht="48" hidden="false" customHeight="true" outlineLevel="0" collapsed="false">
      <c r="A177" s="13" t="s">
        <v>4120</v>
      </c>
      <c r="B177" s="14" t="s">
        <v>4105</v>
      </c>
      <c r="C177" s="15" t="s">
        <v>4121</v>
      </c>
      <c r="D177" s="15" t="s">
        <v>4122</v>
      </c>
      <c r="E177" s="23" t="s">
        <v>19</v>
      </c>
      <c r="F177" s="16"/>
      <c r="G177" s="16"/>
      <c r="H177" s="19" t="n">
        <f aca="false">LEN(IF(F177&lt;&gt;"",F177,D177))</f>
        <v>76</v>
      </c>
      <c r="I177" s="24" t="str">
        <f aca="false">IF(OR(H177&lt;8,H177&gt;500),"분량 확인","")</f>
        <v/>
      </c>
    </row>
    <row r="178" customFormat="false" ht="48" hidden="false" customHeight="true" outlineLevel="0" collapsed="false">
      <c r="A178" s="13" t="s">
        <v>4123</v>
      </c>
      <c r="B178" s="14" t="s">
        <v>4105</v>
      </c>
      <c r="C178" s="14" t="s">
        <v>4124</v>
      </c>
      <c r="D178" s="15" t="s">
        <v>4125</v>
      </c>
      <c r="E178" s="23" t="s">
        <v>19</v>
      </c>
      <c r="F178" s="16"/>
      <c r="G178" s="16"/>
      <c r="H178" s="19" t="n">
        <f aca="false">LEN(IF(F178&lt;&gt;"",F178,D178))</f>
        <v>75</v>
      </c>
      <c r="I178" s="24" t="str">
        <f aca="false">IF(OR(H178&lt;8,H178&gt;500),"분량 확인","")</f>
        <v/>
      </c>
    </row>
    <row r="179" customFormat="false" ht="48" hidden="false" customHeight="true" outlineLevel="0" collapsed="false">
      <c r="A179" s="13" t="s">
        <v>4126</v>
      </c>
      <c r="B179" s="14" t="s">
        <v>4105</v>
      </c>
      <c r="C179" s="14" t="s">
        <v>4127</v>
      </c>
      <c r="D179" s="15" t="s">
        <v>4128</v>
      </c>
      <c r="E179" s="23" t="s">
        <v>19</v>
      </c>
      <c r="F179" s="16"/>
      <c r="G179" s="16"/>
      <c r="H179" s="19" t="n">
        <f aca="false">LEN(IF(F179&lt;&gt;"",F179,D179))</f>
        <v>82</v>
      </c>
      <c r="I179" s="24" t="str">
        <f aca="false">IF(OR(H179&lt;8,H179&gt;500),"분량 확인","")</f>
        <v/>
      </c>
    </row>
    <row r="180" customFormat="false" ht="33.75" hidden="false" customHeight="true" outlineLevel="0" collapsed="false">
      <c r="A180" s="13" t="s">
        <v>4129</v>
      </c>
      <c r="B180" s="14" t="s">
        <v>4105</v>
      </c>
      <c r="C180" s="15" t="s">
        <v>4130</v>
      </c>
      <c r="D180" s="15" t="s">
        <v>4131</v>
      </c>
      <c r="E180" s="23" t="s">
        <v>19</v>
      </c>
      <c r="F180" s="16"/>
      <c r="G180" s="16"/>
      <c r="H180" s="19" t="n">
        <f aca="false">LEN(IF(F180&lt;&gt;"",F180,D180))</f>
        <v>44</v>
      </c>
      <c r="I180" s="24" t="str">
        <f aca="false">IF(OR(H180&lt;8,H180&gt;500),"분량 확인","")</f>
        <v/>
      </c>
    </row>
    <row r="181" customFormat="false" ht="48" hidden="false" customHeight="true" outlineLevel="0" collapsed="false">
      <c r="A181" s="13" t="s">
        <v>4132</v>
      </c>
      <c r="B181" s="14" t="s">
        <v>4105</v>
      </c>
      <c r="C181" s="15" t="s">
        <v>4133</v>
      </c>
      <c r="D181" s="15" t="s">
        <v>4134</v>
      </c>
      <c r="E181" s="23" t="s">
        <v>19</v>
      </c>
      <c r="F181" s="16"/>
      <c r="G181" s="16"/>
      <c r="H181" s="19" t="n">
        <f aca="false">LEN(IF(F181&lt;&gt;"",F181,D181))</f>
        <v>67</v>
      </c>
      <c r="I181" s="24" t="str">
        <f aca="false">IF(OR(H181&lt;8,H181&gt;500),"분량 확인","")</f>
        <v/>
      </c>
    </row>
    <row r="182" customFormat="false" ht="48" hidden="false" customHeight="true" outlineLevel="0" collapsed="false">
      <c r="A182" s="13" t="s">
        <v>4135</v>
      </c>
      <c r="B182" s="14" t="s">
        <v>4105</v>
      </c>
      <c r="C182" s="15" t="s">
        <v>4136</v>
      </c>
      <c r="D182" s="15" t="s">
        <v>4137</v>
      </c>
      <c r="E182" s="23" t="s">
        <v>19</v>
      </c>
      <c r="F182" s="16"/>
      <c r="G182" s="16"/>
      <c r="H182" s="19" t="n">
        <f aca="false">LEN(IF(F182&lt;&gt;"",F182,D182))</f>
        <v>62</v>
      </c>
      <c r="I182" s="24" t="str">
        <f aca="false">IF(OR(H182&lt;8,H182&gt;500),"분량 확인","")</f>
        <v/>
      </c>
    </row>
    <row r="183" customFormat="false" ht="48" hidden="false" customHeight="true" outlineLevel="0" collapsed="false">
      <c r="A183" s="13" t="s">
        <v>4138</v>
      </c>
      <c r="B183" s="14" t="s">
        <v>4105</v>
      </c>
      <c r="C183" s="15" t="s">
        <v>4139</v>
      </c>
      <c r="D183" s="15" t="s">
        <v>4140</v>
      </c>
      <c r="E183" s="23" t="s">
        <v>19</v>
      </c>
      <c r="F183" s="16"/>
      <c r="G183" s="16"/>
      <c r="H183" s="19" t="n">
        <f aca="false">LEN(IF(F183&lt;&gt;"",F183,D183))</f>
        <v>69</v>
      </c>
      <c r="I183" s="24" t="str">
        <f aca="false">IF(OR(H183&lt;8,H183&gt;500),"분량 확인","")</f>
        <v/>
      </c>
    </row>
    <row r="184" customFormat="false" ht="48" hidden="false" customHeight="true" outlineLevel="0" collapsed="false">
      <c r="A184" s="13" t="s">
        <v>4141</v>
      </c>
      <c r="B184" s="14" t="s">
        <v>4105</v>
      </c>
      <c r="C184" s="15" t="s">
        <v>4142</v>
      </c>
      <c r="D184" s="15" t="s">
        <v>4143</v>
      </c>
      <c r="E184" s="23" t="s">
        <v>19</v>
      </c>
      <c r="F184" s="16"/>
      <c r="G184" s="16"/>
      <c r="H184" s="19" t="n">
        <f aca="false">LEN(IF(F184&lt;&gt;"",F184,D184))</f>
        <v>67</v>
      </c>
      <c r="I184" s="24" t="str">
        <f aca="false">IF(OR(H184&lt;8,H184&gt;500),"분량 확인","")</f>
        <v/>
      </c>
    </row>
    <row r="185" customFormat="false" ht="48" hidden="false" customHeight="true" outlineLevel="0" collapsed="false">
      <c r="A185" s="13" t="s">
        <v>4144</v>
      </c>
      <c r="B185" s="14" t="s">
        <v>4105</v>
      </c>
      <c r="C185" s="14" t="s">
        <v>4145</v>
      </c>
      <c r="D185" s="15" t="s">
        <v>4146</v>
      </c>
      <c r="E185" s="23" t="s">
        <v>19</v>
      </c>
      <c r="F185" s="16"/>
      <c r="G185" s="16"/>
      <c r="H185" s="19" t="n">
        <f aca="false">LEN(IF(F185&lt;&gt;"",F185,D185))</f>
        <v>66</v>
      </c>
      <c r="I185" s="24" t="str">
        <f aca="false">IF(OR(H185&lt;8,H185&gt;500),"분량 확인","")</f>
        <v/>
      </c>
    </row>
    <row r="186" customFormat="false" ht="33.75" hidden="false" customHeight="true" outlineLevel="0" collapsed="false">
      <c r="A186" s="13" t="s">
        <v>4147</v>
      </c>
      <c r="B186" s="14" t="s">
        <v>4105</v>
      </c>
      <c r="C186" s="15" t="s">
        <v>4148</v>
      </c>
      <c r="D186" s="15" t="s">
        <v>4149</v>
      </c>
      <c r="E186" s="23" t="s">
        <v>19</v>
      </c>
      <c r="F186" s="16"/>
      <c r="G186" s="16"/>
      <c r="H186" s="19" t="n">
        <f aca="false">LEN(IF(F186&lt;&gt;"",F186,D186))</f>
        <v>44</v>
      </c>
      <c r="I186" s="24" t="str">
        <f aca="false">IF(OR(H186&lt;8,H186&gt;500),"분량 확인","")</f>
        <v/>
      </c>
    </row>
    <row r="187" customFormat="false" ht="33.75" hidden="false" customHeight="true" outlineLevel="0" collapsed="false">
      <c r="A187" s="13" t="s">
        <v>4150</v>
      </c>
      <c r="B187" s="14" t="s">
        <v>4151</v>
      </c>
      <c r="C187" s="15" t="s">
        <v>4152</v>
      </c>
      <c r="D187" s="15" t="s">
        <v>4153</v>
      </c>
      <c r="E187" s="23" t="s">
        <v>19</v>
      </c>
      <c r="F187" s="16"/>
      <c r="G187" s="16"/>
      <c r="H187" s="19" t="n">
        <f aca="false">LEN(IF(F187&lt;&gt;"",F187,D187))</f>
        <v>51</v>
      </c>
      <c r="I187" s="24" t="str">
        <f aca="false">IF(OR(H187&lt;8,H187&gt;500),"분량 확인","")</f>
        <v/>
      </c>
    </row>
    <row r="188" customFormat="false" ht="48" hidden="false" customHeight="true" outlineLevel="0" collapsed="false">
      <c r="A188" s="13" t="s">
        <v>4154</v>
      </c>
      <c r="B188" s="14" t="s">
        <v>4151</v>
      </c>
      <c r="C188" s="15" t="s">
        <v>4155</v>
      </c>
      <c r="D188" s="15" t="s">
        <v>4156</v>
      </c>
      <c r="E188" s="23" t="s">
        <v>19</v>
      </c>
      <c r="F188" s="16"/>
      <c r="G188" s="16"/>
      <c r="H188" s="19" t="n">
        <f aca="false">LEN(IF(F188&lt;&gt;"",F188,D188))</f>
        <v>60</v>
      </c>
      <c r="I188" s="24" t="str">
        <f aca="false">IF(OR(H188&lt;8,H188&gt;500),"분량 확인","")</f>
        <v/>
      </c>
    </row>
  </sheetData>
  <autoFilter ref="A1:I188"/>
  <conditionalFormatting sqref="E2:E188">
    <cfRule type="cellIs" priority="2" operator="equal" aboveAverage="0" equalAverage="0" bottom="0" percent="0" rank="0" text="" dxfId="5">
      <formula>"확정"</formula>
    </cfRule>
    <cfRule type="cellIs" priority="3" operator="equal" aboveAverage="0" equalAverage="0" bottom="0" percent="0" rank="0" text="" dxfId="6">
      <formula>"수정요청"</formula>
    </cfRule>
    <cfRule type="cellIs" priority="4" operator="equal" aboveAverage="0" equalAverage="0" bottom="0" percent="0" rank="0" text="" dxfId="7">
      <formula>"검수중"</formula>
    </cfRule>
    <cfRule type="cellIs" priority="5" operator="equal" aboveAverage="0" equalAverage="0" bottom="0" percent="0" rank="0" text="" dxfId="8">
      <formula>"삭제"</formula>
    </cfRule>
  </conditionalFormatting>
  <conditionalFormatting sqref="I2:I188">
    <cfRule type="expression" priority="6" aboveAverage="0" equalAverage="0" bottom="0" percent="0" rank="0" text="" dxfId="9">
      <formula>I2="분량 확인"</formula>
    </cfRule>
  </conditionalFormatting>
  <dataValidations count="1">
    <dataValidation allowBlank="false" error="초안 · 검수중 · 수정요청 · 확정 · 삭제 중에서 골라 주세요." errorStyle="stop" errorTitle="상태" operator="between" showDropDown="false" showErrorMessage="false" showInputMessage="false" sqref="E2:E188" type="list">
      <formula1>"초안,검수중,수정요청,확정,삭제"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12F53"/>
    <pageSetUpPr fitToPage="false"/>
  </sheetPr>
  <dimension ref="A1:I23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2"/>
    <col collapsed="false" customWidth="true" hidden="false" outlineLevel="0" max="3" min="3" style="0" width="26"/>
    <col collapsed="false" customWidth="true" hidden="false" outlineLevel="0" max="4" min="4" style="0" width="62"/>
    <col collapsed="false" customWidth="true" hidden="false" outlineLevel="0" max="5" min="5" style="0" width="10"/>
    <col collapsed="false" customWidth="true" hidden="false" outlineLevel="0" max="6" min="6" style="0" width="56"/>
    <col collapsed="false" customWidth="true" hidden="false" outlineLevel="0" max="7" min="7" style="0" width="30"/>
    <col collapsed="false" customWidth="true" hidden="false" outlineLevel="0" max="8" min="8" style="0" width="9"/>
    <col collapsed="false" customWidth="true" hidden="false" outlineLevel="0" max="9" min="9" style="0" width="10"/>
  </cols>
  <sheetData>
    <row r="1" customFormat="false" ht="30" hidden="false" customHeight="true" outlineLevel="0" collapsed="false">
      <c r="A1" s="11" t="s">
        <v>554</v>
      </c>
      <c r="B1" s="12" t="s">
        <v>25</v>
      </c>
      <c r="C1" s="12" t="s">
        <v>26</v>
      </c>
      <c r="D1" s="12" t="s">
        <v>27</v>
      </c>
      <c r="E1" s="12" t="s">
        <v>28</v>
      </c>
      <c r="F1" s="12" t="s">
        <v>29</v>
      </c>
      <c r="G1" s="12" t="s">
        <v>30</v>
      </c>
      <c r="H1" s="12" t="s">
        <v>555</v>
      </c>
      <c r="I1" s="12" t="s">
        <v>556</v>
      </c>
    </row>
    <row r="2" customFormat="false" ht="61.5" hidden="false" customHeight="true" outlineLevel="0" collapsed="false">
      <c r="A2" s="13" t="s">
        <v>4157</v>
      </c>
      <c r="B2" s="14" t="s">
        <v>4158</v>
      </c>
      <c r="C2" s="15" t="s">
        <v>4159</v>
      </c>
      <c r="D2" s="14" t="s">
        <v>4160</v>
      </c>
      <c r="E2" s="23" t="s">
        <v>19</v>
      </c>
      <c r="F2" s="16"/>
      <c r="G2" s="16"/>
      <c r="H2" s="19" t="n">
        <f aca="false">LEN(IF(F2&lt;&gt;"",F2,D2))</f>
        <v>1</v>
      </c>
      <c r="I2" s="24" t="str">
        <f aca="false">IF(OR(H2&lt;1,H2&gt;4),"분량 확인","")</f>
        <v/>
      </c>
    </row>
    <row r="3" customFormat="false" ht="61.5" hidden="false" customHeight="true" outlineLevel="0" collapsed="false">
      <c r="A3" s="13" t="s">
        <v>4161</v>
      </c>
      <c r="B3" s="14" t="s">
        <v>4162</v>
      </c>
      <c r="C3" s="15" t="s">
        <v>4159</v>
      </c>
      <c r="D3" s="14" t="s">
        <v>4160</v>
      </c>
      <c r="E3" s="23" t="s">
        <v>19</v>
      </c>
      <c r="F3" s="16"/>
      <c r="G3" s="16"/>
      <c r="H3" s="19" t="n">
        <f aca="false">LEN(IF(F3&lt;&gt;"",F3,D3))</f>
        <v>1</v>
      </c>
      <c r="I3" s="24" t="str">
        <f aca="false">IF(OR(H3&lt;1,H3&gt;4),"분량 확인","")</f>
        <v/>
      </c>
    </row>
    <row r="4" customFormat="false" ht="61.5" hidden="false" customHeight="true" outlineLevel="0" collapsed="false">
      <c r="A4" s="13" t="s">
        <v>4163</v>
      </c>
      <c r="B4" s="14" t="s">
        <v>4164</v>
      </c>
      <c r="C4" s="15" t="s">
        <v>4159</v>
      </c>
      <c r="D4" s="14" t="s">
        <v>4165</v>
      </c>
      <c r="E4" s="23" t="s">
        <v>19</v>
      </c>
      <c r="F4" s="16"/>
      <c r="G4" s="16"/>
      <c r="H4" s="19" t="n">
        <f aca="false">LEN(IF(F4&lt;&gt;"",F4,D4))</f>
        <v>1</v>
      </c>
      <c r="I4" s="24" t="str">
        <f aca="false">IF(OR(H4&lt;1,H4&gt;4),"분량 확인","")</f>
        <v/>
      </c>
    </row>
    <row r="5" customFormat="false" ht="61.5" hidden="false" customHeight="true" outlineLevel="0" collapsed="false">
      <c r="A5" s="13" t="s">
        <v>4166</v>
      </c>
      <c r="B5" s="14" t="s">
        <v>4167</v>
      </c>
      <c r="C5" s="15" t="s">
        <v>4159</v>
      </c>
      <c r="D5" s="14" t="s">
        <v>4160</v>
      </c>
      <c r="E5" s="23" t="s">
        <v>19</v>
      </c>
      <c r="F5" s="16"/>
      <c r="G5" s="16"/>
      <c r="H5" s="19" t="n">
        <f aca="false">LEN(IF(F5&lt;&gt;"",F5,D5))</f>
        <v>1</v>
      </c>
      <c r="I5" s="24" t="str">
        <f aca="false">IF(OR(H5&lt;1,H5&gt;4),"분량 확인","")</f>
        <v/>
      </c>
    </row>
    <row r="6" customFormat="false" ht="61.5" hidden="false" customHeight="true" outlineLevel="0" collapsed="false">
      <c r="A6" s="13" t="s">
        <v>4168</v>
      </c>
      <c r="B6" s="14" t="s">
        <v>4169</v>
      </c>
      <c r="C6" s="15" t="s">
        <v>4159</v>
      </c>
      <c r="D6" s="14" t="s">
        <v>4165</v>
      </c>
      <c r="E6" s="23" t="s">
        <v>19</v>
      </c>
      <c r="F6" s="16"/>
      <c r="G6" s="16"/>
      <c r="H6" s="19" t="n">
        <f aca="false">LEN(IF(F6&lt;&gt;"",F6,D6))</f>
        <v>1</v>
      </c>
      <c r="I6" s="24" t="str">
        <f aca="false">IF(OR(H6&lt;1,H6&gt;4),"분량 확인","")</f>
        <v/>
      </c>
    </row>
    <row r="7" customFormat="false" ht="61.5" hidden="false" customHeight="true" outlineLevel="0" collapsed="false">
      <c r="A7" s="13" t="s">
        <v>4170</v>
      </c>
      <c r="B7" s="14" t="s">
        <v>4171</v>
      </c>
      <c r="C7" s="15" t="s">
        <v>4159</v>
      </c>
      <c r="D7" s="14" t="s">
        <v>4165</v>
      </c>
      <c r="E7" s="23" t="s">
        <v>19</v>
      </c>
      <c r="F7" s="16"/>
      <c r="G7" s="16"/>
      <c r="H7" s="19" t="n">
        <f aca="false">LEN(IF(F7&lt;&gt;"",F7,D7))</f>
        <v>1</v>
      </c>
      <c r="I7" s="24" t="str">
        <f aca="false">IF(OR(H7&lt;1,H7&gt;4),"분량 확인","")</f>
        <v/>
      </c>
    </row>
    <row r="8" customFormat="false" ht="61.5" hidden="false" customHeight="true" outlineLevel="0" collapsed="false">
      <c r="A8" s="13" t="s">
        <v>4172</v>
      </c>
      <c r="B8" s="14" t="s">
        <v>4173</v>
      </c>
      <c r="C8" s="15" t="s">
        <v>4159</v>
      </c>
      <c r="D8" s="14" t="s">
        <v>4160</v>
      </c>
      <c r="E8" s="23" t="s">
        <v>19</v>
      </c>
      <c r="F8" s="16"/>
      <c r="G8" s="16"/>
      <c r="H8" s="19" t="n">
        <f aca="false">LEN(IF(F8&lt;&gt;"",F8,D8))</f>
        <v>1</v>
      </c>
      <c r="I8" s="24" t="str">
        <f aca="false">IF(OR(H8&lt;1,H8&gt;4),"분량 확인","")</f>
        <v/>
      </c>
    </row>
    <row r="9" customFormat="false" ht="61.5" hidden="false" customHeight="true" outlineLevel="0" collapsed="false">
      <c r="A9" s="13" t="s">
        <v>4174</v>
      </c>
      <c r="B9" s="14" t="s">
        <v>4175</v>
      </c>
      <c r="C9" s="15" t="s">
        <v>4159</v>
      </c>
      <c r="D9" s="14" t="s">
        <v>4160</v>
      </c>
      <c r="E9" s="23" t="s">
        <v>19</v>
      </c>
      <c r="F9" s="16"/>
      <c r="G9" s="16"/>
      <c r="H9" s="19" t="n">
        <f aca="false">LEN(IF(F9&lt;&gt;"",F9,D9))</f>
        <v>1</v>
      </c>
      <c r="I9" s="24" t="str">
        <f aca="false">IF(OR(H9&lt;1,H9&gt;4),"분량 확인","")</f>
        <v/>
      </c>
    </row>
    <row r="10" customFormat="false" ht="61.5" hidden="false" customHeight="true" outlineLevel="0" collapsed="false">
      <c r="A10" s="13" t="s">
        <v>4176</v>
      </c>
      <c r="B10" s="14" t="s">
        <v>4177</v>
      </c>
      <c r="C10" s="15" t="s">
        <v>4159</v>
      </c>
      <c r="D10" s="14" t="s">
        <v>4160</v>
      </c>
      <c r="E10" s="23" t="s">
        <v>19</v>
      </c>
      <c r="F10" s="16"/>
      <c r="G10" s="16"/>
      <c r="H10" s="19" t="n">
        <f aca="false">LEN(IF(F10&lt;&gt;"",F10,D10))</f>
        <v>1</v>
      </c>
      <c r="I10" s="24" t="str">
        <f aca="false">IF(OR(H10&lt;1,H10&gt;4),"분량 확인","")</f>
        <v/>
      </c>
    </row>
    <row r="11" customFormat="false" ht="61.5" hidden="false" customHeight="true" outlineLevel="0" collapsed="false">
      <c r="A11" s="13" t="s">
        <v>4178</v>
      </c>
      <c r="B11" s="14" t="s">
        <v>4179</v>
      </c>
      <c r="C11" s="15" t="s">
        <v>4159</v>
      </c>
      <c r="D11" s="14" t="s">
        <v>4180</v>
      </c>
      <c r="E11" s="23" t="s">
        <v>19</v>
      </c>
      <c r="F11" s="16"/>
      <c r="G11" s="16"/>
      <c r="H11" s="19" t="n">
        <f aca="false">LEN(IF(F11&lt;&gt;"",F11,D11))</f>
        <v>4</v>
      </c>
      <c r="I11" s="24" t="str">
        <f aca="false">IF(OR(H11&lt;1,H11&gt;4),"분량 확인","")</f>
        <v/>
      </c>
    </row>
    <row r="12" customFormat="false" ht="61.5" hidden="false" customHeight="true" outlineLevel="0" collapsed="false">
      <c r="A12" s="13" t="s">
        <v>4181</v>
      </c>
      <c r="B12" s="14" t="s">
        <v>4182</v>
      </c>
      <c r="C12" s="15" t="s">
        <v>4159</v>
      </c>
      <c r="D12" s="14" t="s">
        <v>4160</v>
      </c>
      <c r="E12" s="23" t="s">
        <v>19</v>
      </c>
      <c r="F12" s="16"/>
      <c r="G12" s="16"/>
      <c r="H12" s="19" t="n">
        <f aca="false">LEN(IF(F12&lt;&gt;"",F12,D12))</f>
        <v>1</v>
      </c>
      <c r="I12" s="24" t="str">
        <f aca="false">IF(OR(H12&lt;1,H12&gt;4),"분량 확인","")</f>
        <v/>
      </c>
    </row>
    <row r="13" customFormat="false" ht="61.5" hidden="false" customHeight="true" outlineLevel="0" collapsed="false">
      <c r="A13" s="13" t="s">
        <v>4183</v>
      </c>
      <c r="B13" s="14" t="s">
        <v>4184</v>
      </c>
      <c r="C13" s="15" t="s">
        <v>4159</v>
      </c>
      <c r="D13" s="14" t="s">
        <v>4165</v>
      </c>
      <c r="E13" s="23" t="s">
        <v>19</v>
      </c>
      <c r="F13" s="16"/>
      <c r="G13" s="16"/>
      <c r="H13" s="19" t="n">
        <f aca="false">LEN(IF(F13&lt;&gt;"",F13,D13))</f>
        <v>1</v>
      </c>
      <c r="I13" s="24" t="str">
        <f aca="false">IF(OR(H13&lt;1,H13&gt;4),"분량 확인","")</f>
        <v/>
      </c>
    </row>
    <row r="14" customFormat="false" ht="61.5" hidden="false" customHeight="true" outlineLevel="0" collapsed="false">
      <c r="A14" s="13" t="s">
        <v>4185</v>
      </c>
      <c r="B14" s="14" t="s">
        <v>4186</v>
      </c>
      <c r="C14" s="15" t="s">
        <v>4159</v>
      </c>
      <c r="D14" s="14" t="s">
        <v>4187</v>
      </c>
      <c r="E14" s="23" t="s">
        <v>19</v>
      </c>
      <c r="F14" s="16"/>
      <c r="G14" s="16"/>
      <c r="H14" s="19" t="n">
        <f aca="false">LEN(IF(F14&lt;&gt;"",F14,D14))</f>
        <v>2</v>
      </c>
      <c r="I14" s="24" t="str">
        <f aca="false">IF(OR(H14&lt;1,H14&gt;4),"분량 확인","")</f>
        <v/>
      </c>
    </row>
    <row r="15" customFormat="false" ht="61.5" hidden="false" customHeight="true" outlineLevel="0" collapsed="false">
      <c r="A15" s="13" t="s">
        <v>4188</v>
      </c>
      <c r="B15" s="14" t="s">
        <v>4189</v>
      </c>
      <c r="C15" s="15" t="s">
        <v>4159</v>
      </c>
      <c r="D15" s="14" t="s">
        <v>4187</v>
      </c>
      <c r="E15" s="23" t="s">
        <v>19</v>
      </c>
      <c r="F15" s="16"/>
      <c r="G15" s="16"/>
      <c r="H15" s="19" t="n">
        <f aca="false">LEN(IF(F15&lt;&gt;"",F15,D15))</f>
        <v>2</v>
      </c>
      <c r="I15" s="24" t="str">
        <f aca="false">IF(OR(H15&lt;1,H15&gt;4),"분량 확인","")</f>
        <v/>
      </c>
    </row>
    <row r="16" customFormat="false" ht="61.5" hidden="false" customHeight="true" outlineLevel="0" collapsed="false">
      <c r="A16" s="13" t="s">
        <v>4190</v>
      </c>
      <c r="B16" s="14" t="s">
        <v>4191</v>
      </c>
      <c r="C16" s="15" t="s">
        <v>4159</v>
      </c>
      <c r="D16" s="14" t="s">
        <v>4165</v>
      </c>
      <c r="E16" s="23" t="s">
        <v>19</v>
      </c>
      <c r="F16" s="16"/>
      <c r="G16" s="16"/>
      <c r="H16" s="19" t="n">
        <f aca="false">LEN(IF(F16&lt;&gt;"",F16,D16))</f>
        <v>1</v>
      </c>
      <c r="I16" s="24" t="str">
        <f aca="false">IF(OR(H16&lt;1,H16&gt;4),"분량 확인","")</f>
        <v/>
      </c>
    </row>
    <row r="17" customFormat="false" ht="61.5" hidden="false" customHeight="true" outlineLevel="0" collapsed="false">
      <c r="A17" s="13" t="s">
        <v>4192</v>
      </c>
      <c r="B17" s="14" t="s">
        <v>4193</v>
      </c>
      <c r="C17" s="15" t="s">
        <v>4159</v>
      </c>
      <c r="D17" s="14" t="s">
        <v>4187</v>
      </c>
      <c r="E17" s="23" t="s">
        <v>19</v>
      </c>
      <c r="F17" s="16"/>
      <c r="G17" s="16"/>
      <c r="H17" s="19" t="n">
        <f aca="false">LEN(IF(F17&lt;&gt;"",F17,D17))</f>
        <v>2</v>
      </c>
      <c r="I17" s="24" t="str">
        <f aca="false">IF(OR(H17&lt;1,H17&gt;4),"분량 확인","")</f>
        <v/>
      </c>
    </row>
    <row r="18" customFormat="false" ht="61.5" hidden="false" customHeight="true" outlineLevel="0" collapsed="false">
      <c r="A18" s="13" t="s">
        <v>4194</v>
      </c>
      <c r="B18" s="14" t="s">
        <v>4195</v>
      </c>
      <c r="C18" s="15" t="s">
        <v>4159</v>
      </c>
      <c r="D18" s="14" t="s">
        <v>4187</v>
      </c>
      <c r="E18" s="23" t="s">
        <v>19</v>
      </c>
      <c r="F18" s="16"/>
      <c r="G18" s="16"/>
      <c r="H18" s="19" t="n">
        <f aca="false">LEN(IF(F18&lt;&gt;"",F18,D18))</f>
        <v>2</v>
      </c>
      <c r="I18" s="24" t="str">
        <f aca="false">IF(OR(H18&lt;1,H18&gt;4),"분량 확인","")</f>
        <v/>
      </c>
    </row>
    <row r="19" customFormat="false" ht="61.5" hidden="false" customHeight="true" outlineLevel="0" collapsed="false">
      <c r="A19" s="13" t="s">
        <v>4196</v>
      </c>
      <c r="B19" s="14" t="s">
        <v>4197</v>
      </c>
      <c r="C19" s="15" t="s">
        <v>4159</v>
      </c>
      <c r="D19" s="14" t="s">
        <v>4160</v>
      </c>
      <c r="E19" s="23" t="s">
        <v>19</v>
      </c>
      <c r="F19" s="16"/>
      <c r="G19" s="16"/>
      <c r="H19" s="19" t="n">
        <f aca="false">LEN(IF(F19&lt;&gt;"",F19,D19))</f>
        <v>1</v>
      </c>
      <c r="I19" s="24" t="str">
        <f aca="false">IF(OR(H19&lt;1,H19&gt;4),"분량 확인","")</f>
        <v/>
      </c>
    </row>
    <row r="20" customFormat="false" ht="61.5" hidden="false" customHeight="true" outlineLevel="0" collapsed="false">
      <c r="A20" s="13" t="s">
        <v>4198</v>
      </c>
      <c r="B20" s="14" t="s">
        <v>4199</v>
      </c>
      <c r="C20" s="15" t="s">
        <v>4159</v>
      </c>
      <c r="D20" s="14" t="s">
        <v>4187</v>
      </c>
      <c r="E20" s="23" t="s">
        <v>19</v>
      </c>
      <c r="F20" s="16"/>
      <c r="G20" s="16"/>
      <c r="H20" s="19" t="n">
        <f aca="false">LEN(IF(F20&lt;&gt;"",F20,D20))</f>
        <v>2</v>
      </c>
      <c r="I20" s="24" t="str">
        <f aca="false">IF(OR(H20&lt;1,H20&gt;4),"분량 확인","")</f>
        <v/>
      </c>
    </row>
    <row r="21" customFormat="false" ht="61.5" hidden="false" customHeight="true" outlineLevel="0" collapsed="false">
      <c r="A21" s="13" t="s">
        <v>4200</v>
      </c>
      <c r="B21" s="14" t="s">
        <v>4201</v>
      </c>
      <c r="C21" s="15" t="s">
        <v>4159</v>
      </c>
      <c r="D21" s="14" t="s">
        <v>4160</v>
      </c>
      <c r="E21" s="23" t="s">
        <v>19</v>
      </c>
      <c r="F21" s="16"/>
      <c r="G21" s="16"/>
      <c r="H21" s="19" t="n">
        <f aca="false">LEN(IF(F21&lt;&gt;"",F21,D21))</f>
        <v>1</v>
      </c>
      <c r="I21" s="24" t="str">
        <f aca="false">IF(OR(H21&lt;1,H21&gt;4),"분량 확인","")</f>
        <v/>
      </c>
    </row>
    <row r="22" customFormat="false" ht="61.5" hidden="false" customHeight="true" outlineLevel="0" collapsed="false">
      <c r="A22" s="13" t="s">
        <v>4202</v>
      </c>
      <c r="B22" s="14" t="s">
        <v>4203</v>
      </c>
      <c r="C22" s="15" t="s">
        <v>4159</v>
      </c>
      <c r="D22" s="14" t="s">
        <v>4160</v>
      </c>
      <c r="E22" s="23" t="s">
        <v>19</v>
      </c>
      <c r="F22" s="16"/>
      <c r="G22" s="16"/>
      <c r="H22" s="19" t="n">
        <f aca="false">LEN(IF(F22&lt;&gt;"",F22,D22))</f>
        <v>1</v>
      </c>
      <c r="I22" s="24" t="str">
        <f aca="false">IF(OR(H22&lt;1,H22&gt;4),"분량 확인","")</f>
        <v/>
      </c>
    </row>
    <row r="23" customFormat="false" ht="61.5" hidden="false" customHeight="true" outlineLevel="0" collapsed="false">
      <c r="A23" s="13" t="s">
        <v>4204</v>
      </c>
      <c r="B23" s="14" t="s">
        <v>4205</v>
      </c>
      <c r="C23" s="15" t="s">
        <v>4159</v>
      </c>
      <c r="D23" s="14" t="s">
        <v>4160</v>
      </c>
      <c r="E23" s="23" t="s">
        <v>19</v>
      </c>
      <c r="F23" s="16"/>
      <c r="G23" s="16"/>
      <c r="H23" s="19" t="n">
        <f aca="false">LEN(IF(F23&lt;&gt;"",F23,D23))</f>
        <v>1</v>
      </c>
      <c r="I23" s="24" t="str">
        <f aca="false">IF(OR(H23&lt;1,H23&gt;4),"분량 확인","")</f>
        <v/>
      </c>
    </row>
  </sheetData>
  <autoFilter ref="A1:I23"/>
  <conditionalFormatting sqref="E2:E23">
    <cfRule type="cellIs" priority="2" operator="equal" aboveAverage="0" equalAverage="0" bottom="0" percent="0" rank="0" text="" dxfId="5">
      <formula>"확정"</formula>
    </cfRule>
    <cfRule type="cellIs" priority="3" operator="equal" aboveAverage="0" equalAverage="0" bottom="0" percent="0" rank="0" text="" dxfId="6">
      <formula>"수정요청"</formula>
    </cfRule>
    <cfRule type="cellIs" priority="4" operator="equal" aboveAverage="0" equalAverage="0" bottom="0" percent="0" rank="0" text="" dxfId="7">
      <formula>"검수중"</formula>
    </cfRule>
    <cfRule type="cellIs" priority="5" operator="equal" aboveAverage="0" equalAverage="0" bottom="0" percent="0" rank="0" text="" dxfId="8">
      <formula>"삭제"</formula>
    </cfRule>
  </conditionalFormatting>
  <conditionalFormatting sqref="I2:I23">
    <cfRule type="expression" priority="6" aboveAverage="0" equalAverage="0" bottom="0" percent="0" rank="0" text="" dxfId="9">
      <formula>I2="분량 확인"</formula>
    </cfRule>
  </conditionalFormatting>
  <dataValidations count="1">
    <dataValidation allowBlank="false" error="초안 · 검수중 · 수정요청 · 확정 · 삭제 중에서 골라 주세요." errorStyle="stop" errorTitle="상태" operator="between" showDropDown="false" showErrorMessage="false" showInputMessage="false" sqref="E2:E23" type="list">
      <formula1>"초안,검수중,수정요청,확정,삭제"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12F53"/>
    <pageSetUpPr fitToPage="false"/>
  </sheetPr>
  <dimension ref="A1:I14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2"/>
    <col collapsed="false" customWidth="true" hidden="false" outlineLevel="0" max="3" min="3" style="0" width="26"/>
    <col collapsed="false" customWidth="true" hidden="false" outlineLevel="0" max="4" min="4" style="0" width="62"/>
    <col collapsed="false" customWidth="true" hidden="false" outlineLevel="0" max="5" min="5" style="0" width="10"/>
    <col collapsed="false" customWidth="true" hidden="false" outlineLevel="0" max="6" min="6" style="0" width="56"/>
    <col collapsed="false" customWidth="true" hidden="false" outlineLevel="0" max="7" min="7" style="0" width="30"/>
    <col collapsed="false" customWidth="true" hidden="false" outlineLevel="0" max="8" min="8" style="0" width="9"/>
    <col collapsed="false" customWidth="true" hidden="false" outlineLevel="0" max="9" min="9" style="0" width="10"/>
  </cols>
  <sheetData>
    <row r="1" customFormat="false" ht="30" hidden="false" customHeight="true" outlineLevel="0" collapsed="false">
      <c r="A1" s="11" t="s">
        <v>554</v>
      </c>
      <c r="B1" s="12" t="s">
        <v>25</v>
      </c>
      <c r="C1" s="12" t="s">
        <v>26</v>
      </c>
      <c r="D1" s="12" t="s">
        <v>27</v>
      </c>
      <c r="E1" s="12" t="s">
        <v>28</v>
      </c>
      <c r="F1" s="12" t="s">
        <v>29</v>
      </c>
      <c r="G1" s="12" t="s">
        <v>30</v>
      </c>
      <c r="H1" s="12" t="s">
        <v>555</v>
      </c>
      <c r="I1" s="12" t="s">
        <v>556</v>
      </c>
    </row>
    <row r="2" customFormat="false" ht="19.5" hidden="false" customHeight="true" outlineLevel="0" collapsed="false">
      <c r="A2" s="13" t="s">
        <v>4206</v>
      </c>
      <c r="B2" s="14" t="s">
        <v>4207</v>
      </c>
      <c r="C2" s="14" t="s">
        <v>4208</v>
      </c>
      <c r="D2" s="15" t="s">
        <v>4209</v>
      </c>
      <c r="E2" s="23" t="s">
        <v>19</v>
      </c>
      <c r="F2" s="16"/>
      <c r="G2" s="16"/>
      <c r="H2" s="19" t="n">
        <f aca="false">LEN(IF(F2&lt;&gt;"",F2,D2))</f>
        <v>28</v>
      </c>
      <c r="I2" s="24" t="str">
        <f aca="false">IF(OR(H2&lt;1,H2&gt;400),"분량 확인","")</f>
        <v/>
      </c>
    </row>
    <row r="3" customFormat="false" ht="19.5" hidden="false" customHeight="true" outlineLevel="0" collapsed="false">
      <c r="A3" s="13" t="s">
        <v>226</v>
      </c>
      <c r="B3" s="14" t="s">
        <v>4207</v>
      </c>
      <c r="C3" s="14" t="s">
        <v>4210</v>
      </c>
      <c r="D3" s="15" t="s">
        <v>4211</v>
      </c>
      <c r="E3" s="23" t="s">
        <v>19</v>
      </c>
      <c r="F3" s="16"/>
      <c r="G3" s="17" t="s">
        <v>4212</v>
      </c>
      <c r="H3" s="19" t="n">
        <f aca="false">LEN(IF(F3&lt;&gt;"",F3,D3))</f>
        <v>6</v>
      </c>
      <c r="I3" s="24" t="str">
        <f aca="false">IF(OR(H3&lt;1,H3&gt;400),"분량 확인","")</f>
        <v/>
      </c>
    </row>
    <row r="4" customFormat="false" ht="19.5" hidden="false" customHeight="true" outlineLevel="0" collapsed="false">
      <c r="A4" s="13" t="s">
        <v>4213</v>
      </c>
      <c r="B4" s="14" t="s">
        <v>4214</v>
      </c>
      <c r="C4" s="14" t="s">
        <v>4215</v>
      </c>
      <c r="D4" s="15" t="s">
        <v>4216</v>
      </c>
      <c r="E4" s="23" t="s">
        <v>19</v>
      </c>
      <c r="F4" s="16"/>
      <c r="G4" s="16"/>
      <c r="H4" s="19" t="n">
        <f aca="false">LEN(IF(F4&lt;&gt;"",F4,D4))</f>
        <v>23</v>
      </c>
      <c r="I4" s="24" t="str">
        <f aca="false">IF(OR(H4&lt;1,H4&gt;400),"분량 확인","")</f>
        <v/>
      </c>
    </row>
    <row r="5" customFormat="false" ht="19.5" hidden="false" customHeight="true" outlineLevel="0" collapsed="false">
      <c r="A5" s="13" t="s">
        <v>4217</v>
      </c>
      <c r="B5" s="14" t="s">
        <v>4214</v>
      </c>
      <c r="C5" s="14" t="s">
        <v>4218</v>
      </c>
      <c r="D5" s="15" t="s">
        <v>4219</v>
      </c>
      <c r="E5" s="23" t="s">
        <v>19</v>
      </c>
      <c r="F5" s="16"/>
      <c r="G5" s="16"/>
      <c r="H5" s="19" t="n">
        <f aca="false">LEN(IF(F5&lt;&gt;"",F5,D5))</f>
        <v>18</v>
      </c>
      <c r="I5" s="24" t="str">
        <f aca="false">IF(OR(H5&lt;1,H5&gt;400),"분량 확인","")</f>
        <v/>
      </c>
    </row>
    <row r="6" customFormat="false" ht="19.5" hidden="false" customHeight="true" outlineLevel="0" collapsed="false">
      <c r="A6" s="13" t="s">
        <v>4220</v>
      </c>
      <c r="B6" s="14" t="s">
        <v>4214</v>
      </c>
      <c r="C6" s="14" t="s">
        <v>4221</v>
      </c>
      <c r="D6" s="15" t="s">
        <v>4222</v>
      </c>
      <c r="E6" s="23" t="s">
        <v>19</v>
      </c>
      <c r="F6" s="16"/>
      <c r="G6" s="16"/>
      <c r="H6" s="19" t="n">
        <f aca="false">LEN(IF(F6&lt;&gt;"",F6,D6))</f>
        <v>3</v>
      </c>
      <c r="I6" s="24" t="str">
        <f aca="false">IF(OR(H6&lt;1,H6&gt;400),"분량 확인","")</f>
        <v/>
      </c>
    </row>
    <row r="7" customFormat="false" ht="19.5" hidden="false" customHeight="true" outlineLevel="0" collapsed="false">
      <c r="A7" s="13" t="s">
        <v>4223</v>
      </c>
      <c r="B7" s="14" t="s">
        <v>4214</v>
      </c>
      <c r="C7" s="14" t="s">
        <v>4224</v>
      </c>
      <c r="D7" s="15" t="s">
        <v>4225</v>
      </c>
      <c r="E7" s="23" t="s">
        <v>19</v>
      </c>
      <c r="F7" s="16"/>
      <c r="G7" s="16"/>
      <c r="H7" s="19" t="n">
        <f aca="false">LEN(IF(F7&lt;&gt;"",F7,D7))</f>
        <v>16</v>
      </c>
      <c r="I7" s="24" t="str">
        <f aca="false">IF(OR(H7&lt;1,H7&gt;400),"분량 확인","")</f>
        <v/>
      </c>
    </row>
    <row r="8" customFormat="false" ht="19.5" hidden="false" customHeight="true" outlineLevel="0" collapsed="false">
      <c r="A8" s="13" t="s">
        <v>4226</v>
      </c>
      <c r="B8" s="14" t="s">
        <v>4214</v>
      </c>
      <c r="C8" s="14" t="s">
        <v>4210</v>
      </c>
      <c r="D8" s="15" t="s">
        <v>4227</v>
      </c>
      <c r="E8" s="23" t="s">
        <v>19</v>
      </c>
      <c r="F8" s="16"/>
      <c r="G8" s="16"/>
      <c r="H8" s="19" t="n">
        <f aca="false">LEN(IF(F8&lt;&gt;"",F8,D8))</f>
        <v>9</v>
      </c>
      <c r="I8" s="24" t="str">
        <f aca="false">IF(OR(H8&lt;1,H8&gt;400),"분량 확인","")</f>
        <v/>
      </c>
    </row>
    <row r="9" customFormat="false" ht="33.75" hidden="false" customHeight="true" outlineLevel="0" collapsed="false">
      <c r="A9" s="13" t="s">
        <v>4228</v>
      </c>
      <c r="B9" s="14" t="s">
        <v>4229</v>
      </c>
      <c r="C9" s="14" t="s">
        <v>4215</v>
      </c>
      <c r="D9" s="14" t="s">
        <v>4230</v>
      </c>
      <c r="E9" s="23" t="s">
        <v>19</v>
      </c>
      <c r="F9" s="16"/>
      <c r="G9" s="16"/>
      <c r="H9" s="19" t="n">
        <f aca="false">LEN(IF(F9&lt;&gt;"",F9,D9))</f>
        <v>31</v>
      </c>
      <c r="I9" s="24" t="str">
        <f aca="false">IF(OR(H9&lt;1,H9&gt;400),"분량 확인","")</f>
        <v/>
      </c>
    </row>
    <row r="10" customFormat="false" ht="19.5" hidden="false" customHeight="true" outlineLevel="0" collapsed="false">
      <c r="A10" s="13" t="s">
        <v>534</v>
      </c>
      <c r="B10" s="14" t="s">
        <v>4229</v>
      </c>
      <c r="C10" s="14" t="s">
        <v>4218</v>
      </c>
      <c r="D10" s="15" t="s">
        <v>4231</v>
      </c>
      <c r="E10" s="23" t="s">
        <v>19</v>
      </c>
      <c r="F10" s="16"/>
      <c r="G10" s="17" t="s">
        <v>4232</v>
      </c>
      <c r="H10" s="19" t="n">
        <f aca="false">LEN(IF(F10&lt;&gt;"",F10,D10))</f>
        <v>13</v>
      </c>
      <c r="I10" s="24" t="str">
        <f aca="false">IF(OR(H10&lt;1,H10&gt;400),"분량 확인","")</f>
        <v/>
      </c>
    </row>
    <row r="11" customFormat="false" ht="33.75" hidden="false" customHeight="true" outlineLevel="0" collapsed="false">
      <c r="A11" s="13" t="s">
        <v>4233</v>
      </c>
      <c r="B11" s="14" t="s">
        <v>4229</v>
      </c>
      <c r="C11" s="14" t="s">
        <v>4234</v>
      </c>
      <c r="D11" s="15" t="s">
        <v>4235</v>
      </c>
      <c r="E11" s="23" t="s">
        <v>19</v>
      </c>
      <c r="F11" s="16"/>
      <c r="G11" s="16"/>
      <c r="H11" s="19" t="n">
        <f aca="false">LEN(IF(F11&lt;&gt;"",F11,D11))</f>
        <v>11</v>
      </c>
      <c r="I11" s="24" t="str">
        <f aca="false">IF(OR(H11&lt;1,H11&gt;400),"분량 확인","")</f>
        <v/>
      </c>
    </row>
    <row r="12" customFormat="false" ht="19.5" hidden="false" customHeight="true" outlineLevel="0" collapsed="false">
      <c r="A12" s="13" t="s">
        <v>4236</v>
      </c>
      <c r="B12" s="14" t="s">
        <v>4229</v>
      </c>
      <c r="C12" s="14" t="s">
        <v>4237</v>
      </c>
      <c r="D12" s="15" t="s">
        <v>4238</v>
      </c>
      <c r="E12" s="23" t="s">
        <v>19</v>
      </c>
      <c r="F12" s="16"/>
      <c r="G12" s="16"/>
      <c r="H12" s="19" t="n">
        <f aca="false">LEN(IF(F12&lt;&gt;"",F12,D12))</f>
        <v>8</v>
      </c>
      <c r="I12" s="24" t="str">
        <f aca="false">IF(OR(H12&lt;1,H12&gt;400),"분량 확인","")</f>
        <v/>
      </c>
    </row>
    <row r="13" customFormat="false" ht="75.75" hidden="false" customHeight="true" outlineLevel="0" collapsed="false">
      <c r="A13" s="13" t="s">
        <v>222</v>
      </c>
      <c r="B13" s="14" t="s">
        <v>4239</v>
      </c>
      <c r="C13" s="14" t="s">
        <v>4240</v>
      </c>
      <c r="D13" s="15" t="s">
        <v>4241</v>
      </c>
      <c r="E13" s="23" t="s">
        <v>19</v>
      </c>
      <c r="F13" s="16"/>
      <c r="G13" s="17" t="s">
        <v>4242</v>
      </c>
      <c r="H13" s="19" t="n">
        <f aca="false">LEN(IF(F13&lt;&gt;"",F13,D13))</f>
        <v>126</v>
      </c>
      <c r="I13" s="24" t="str">
        <f aca="false">IF(OR(H13&lt;1,H13&gt;400),"분량 확인","")</f>
        <v/>
      </c>
    </row>
    <row r="14" customFormat="false" ht="19.5" hidden="false" customHeight="true" outlineLevel="0" collapsed="false">
      <c r="A14" s="13" t="s">
        <v>4243</v>
      </c>
      <c r="B14" s="14" t="s">
        <v>4239</v>
      </c>
      <c r="C14" s="14" t="s">
        <v>4210</v>
      </c>
      <c r="D14" s="15" t="s">
        <v>4244</v>
      </c>
      <c r="E14" s="23" t="s">
        <v>19</v>
      </c>
      <c r="F14" s="16"/>
      <c r="G14" s="16"/>
      <c r="H14" s="19" t="n">
        <f aca="false">LEN(IF(F14&lt;&gt;"",F14,D14))</f>
        <v>7</v>
      </c>
      <c r="I14" s="24" t="str">
        <f aca="false">IF(OR(H14&lt;1,H14&gt;400),"분량 확인","")</f>
        <v/>
      </c>
    </row>
    <row r="15" customFormat="false" ht="33.75" hidden="false" customHeight="true" outlineLevel="0" collapsed="false">
      <c r="A15" s="13" t="s">
        <v>4245</v>
      </c>
      <c r="B15" s="14" t="s">
        <v>4246</v>
      </c>
      <c r="C15" s="14" t="s">
        <v>4215</v>
      </c>
      <c r="D15" s="15" t="s">
        <v>4247</v>
      </c>
      <c r="E15" s="23" t="s">
        <v>19</v>
      </c>
      <c r="F15" s="16"/>
      <c r="G15" s="16"/>
      <c r="H15" s="19" t="n">
        <f aca="false">LEN(IF(F15&lt;&gt;"",F15,D15))</f>
        <v>37</v>
      </c>
      <c r="I15" s="24" t="str">
        <f aca="false">IF(OR(H15&lt;1,H15&gt;400),"분량 확인","")</f>
        <v/>
      </c>
    </row>
    <row r="16" customFormat="false" ht="33.75" hidden="false" customHeight="true" outlineLevel="0" collapsed="false">
      <c r="A16" s="13" t="s">
        <v>547</v>
      </c>
      <c r="B16" s="14" t="s">
        <v>4246</v>
      </c>
      <c r="C16" s="14" t="s">
        <v>4218</v>
      </c>
      <c r="D16" s="15" t="s">
        <v>4248</v>
      </c>
      <c r="E16" s="23" t="s">
        <v>19</v>
      </c>
      <c r="F16" s="16"/>
      <c r="G16" s="17" t="s">
        <v>4249</v>
      </c>
      <c r="H16" s="19" t="n">
        <f aca="false">LEN(IF(F16&lt;&gt;"",F16,D16))</f>
        <v>50</v>
      </c>
      <c r="I16" s="24" t="str">
        <f aca="false">IF(OR(H16&lt;1,H16&gt;400),"분량 확인","")</f>
        <v/>
      </c>
    </row>
    <row r="17" customFormat="false" ht="33.75" hidden="false" customHeight="true" outlineLevel="0" collapsed="false">
      <c r="A17" s="13" t="s">
        <v>4250</v>
      </c>
      <c r="B17" s="14" t="s">
        <v>4246</v>
      </c>
      <c r="C17" s="14" t="s">
        <v>4251</v>
      </c>
      <c r="D17" s="15" t="s">
        <v>4252</v>
      </c>
      <c r="E17" s="23" t="s">
        <v>19</v>
      </c>
      <c r="F17" s="16"/>
      <c r="G17" s="16"/>
      <c r="H17" s="19" t="n">
        <f aca="false">LEN(IF(F17&lt;&gt;"",F17,D17))</f>
        <v>31</v>
      </c>
      <c r="I17" s="24" t="str">
        <f aca="false">IF(OR(H17&lt;1,H17&gt;400),"분량 확인","")</f>
        <v/>
      </c>
    </row>
    <row r="18" customFormat="false" ht="33.75" hidden="false" customHeight="true" outlineLevel="0" collapsed="false">
      <c r="A18" s="13" t="s">
        <v>4253</v>
      </c>
      <c r="B18" s="14" t="s">
        <v>4246</v>
      </c>
      <c r="C18" s="14" t="s">
        <v>4254</v>
      </c>
      <c r="D18" s="15" t="s">
        <v>4255</v>
      </c>
      <c r="E18" s="23" t="s">
        <v>19</v>
      </c>
      <c r="F18" s="16"/>
      <c r="G18" s="16"/>
      <c r="H18" s="19" t="n">
        <f aca="false">LEN(IF(F18&lt;&gt;"",F18,D18))</f>
        <v>25</v>
      </c>
      <c r="I18" s="24" t="str">
        <f aca="false">IF(OR(H18&lt;1,H18&gt;400),"분량 확인","")</f>
        <v/>
      </c>
    </row>
    <row r="19" customFormat="false" ht="33.75" hidden="false" customHeight="true" outlineLevel="0" collapsed="false">
      <c r="A19" s="13" t="s">
        <v>4256</v>
      </c>
      <c r="B19" s="14" t="s">
        <v>4246</v>
      </c>
      <c r="C19" s="14" t="s">
        <v>4257</v>
      </c>
      <c r="D19" s="15" t="s">
        <v>4258</v>
      </c>
      <c r="E19" s="23" t="s">
        <v>19</v>
      </c>
      <c r="F19" s="16"/>
      <c r="G19" s="16"/>
      <c r="H19" s="19" t="n">
        <f aca="false">LEN(IF(F19&lt;&gt;"",F19,D19))</f>
        <v>30</v>
      </c>
      <c r="I19" s="24" t="str">
        <f aca="false">IF(OR(H19&lt;1,H19&gt;400),"분량 확인","")</f>
        <v/>
      </c>
    </row>
    <row r="20" customFormat="false" ht="33.75" hidden="false" customHeight="true" outlineLevel="0" collapsed="false">
      <c r="A20" s="13" t="s">
        <v>4259</v>
      </c>
      <c r="B20" s="14" t="s">
        <v>4246</v>
      </c>
      <c r="C20" s="14" t="s">
        <v>4260</v>
      </c>
      <c r="D20" s="15" t="s">
        <v>4261</v>
      </c>
      <c r="E20" s="23" t="s">
        <v>19</v>
      </c>
      <c r="F20" s="16"/>
      <c r="G20" s="16"/>
      <c r="H20" s="19" t="n">
        <f aca="false">LEN(IF(F20&lt;&gt;"",F20,D20))</f>
        <v>25</v>
      </c>
      <c r="I20" s="24" t="str">
        <f aca="false">IF(OR(H20&lt;1,H20&gt;400),"분량 확인","")</f>
        <v/>
      </c>
    </row>
    <row r="21" customFormat="false" ht="33.75" hidden="false" customHeight="true" outlineLevel="0" collapsed="false">
      <c r="A21" s="13" t="s">
        <v>233</v>
      </c>
      <c r="B21" s="14" t="s">
        <v>4246</v>
      </c>
      <c r="C21" s="14" t="s">
        <v>4262</v>
      </c>
      <c r="D21" s="15" t="s">
        <v>236</v>
      </c>
      <c r="E21" s="23" t="s">
        <v>19</v>
      </c>
      <c r="F21" s="16"/>
      <c r="G21" s="17" t="s">
        <v>4263</v>
      </c>
      <c r="H21" s="19" t="n">
        <f aca="false">LEN(IF(F21&lt;&gt;"",F21,D21))</f>
        <v>28</v>
      </c>
      <c r="I21" s="24" t="str">
        <f aca="false">IF(OR(H21&lt;1,H21&gt;400),"분량 확인","")</f>
        <v/>
      </c>
    </row>
    <row r="22" customFormat="false" ht="33.75" hidden="false" customHeight="true" outlineLevel="0" collapsed="false">
      <c r="A22" s="13" t="s">
        <v>4264</v>
      </c>
      <c r="B22" s="14" t="s">
        <v>4246</v>
      </c>
      <c r="C22" s="14" t="s">
        <v>4265</v>
      </c>
      <c r="D22" s="15" t="s">
        <v>4266</v>
      </c>
      <c r="E22" s="23" t="s">
        <v>19</v>
      </c>
      <c r="F22" s="16"/>
      <c r="G22" s="16"/>
      <c r="H22" s="19" t="n">
        <f aca="false">LEN(IF(F22&lt;&gt;"",F22,D22))</f>
        <v>31</v>
      </c>
      <c r="I22" s="24" t="str">
        <f aca="false">IF(OR(H22&lt;1,H22&gt;400),"분량 확인","")</f>
        <v/>
      </c>
    </row>
    <row r="23" customFormat="false" ht="33.75" hidden="false" customHeight="true" outlineLevel="0" collapsed="false">
      <c r="A23" s="13" t="s">
        <v>4267</v>
      </c>
      <c r="B23" s="14" t="s">
        <v>4246</v>
      </c>
      <c r="C23" s="14" t="s">
        <v>4268</v>
      </c>
      <c r="D23" s="15" t="s">
        <v>4269</v>
      </c>
      <c r="E23" s="23" t="s">
        <v>19</v>
      </c>
      <c r="F23" s="16"/>
      <c r="G23" s="16"/>
      <c r="H23" s="19" t="n">
        <f aca="false">LEN(IF(F23&lt;&gt;"",F23,D23))</f>
        <v>4</v>
      </c>
      <c r="I23" s="24" t="str">
        <f aca="false">IF(OR(H23&lt;1,H23&gt;400),"분량 확인","")</f>
        <v/>
      </c>
    </row>
    <row r="24" customFormat="false" ht="19.5" hidden="false" customHeight="true" outlineLevel="0" collapsed="false">
      <c r="A24" s="13" t="s">
        <v>4270</v>
      </c>
      <c r="B24" s="14" t="s">
        <v>4246</v>
      </c>
      <c r="C24" s="14" t="s">
        <v>4271</v>
      </c>
      <c r="D24" s="15" t="s">
        <v>4272</v>
      </c>
      <c r="E24" s="23" t="s">
        <v>19</v>
      </c>
      <c r="F24" s="16"/>
      <c r="G24" s="16"/>
      <c r="H24" s="19" t="n">
        <f aca="false">LEN(IF(F24&lt;&gt;"",F24,D24))</f>
        <v>19</v>
      </c>
      <c r="I24" s="24" t="str">
        <f aca="false">IF(OR(H24&lt;1,H24&gt;400),"분량 확인","")</f>
        <v/>
      </c>
    </row>
    <row r="25" customFormat="false" ht="33.75" hidden="false" customHeight="true" outlineLevel="0" collapsed="false">
      <c r="A25" s="13" t="s">
        <v>4273</v>
      </c>
      <c r="B25" s="14" t="s">
        <v>4246</v>
      </c>
      <c r="C25" s="14" t="s">
        <v>4274</v>
      </c>
      <c r="D25" s="15" t="s">
        <v>4275</v>
      </c>
      <c r="E25" s="23" t="s">
        <v>19</v>
      </c>
      <c r="F25" s="16"/>
      <c r="G25" s="16"/>
      <c r="H25" s="19" t="n">
        <f aca="false">LEN(IF(F25&lt;&gt;"",F25,D25))</f>
        <v>39</v>
      </c>
      <c r="I25" s="24" t="str">
        <f aca="false">IF(OR(H25&lt;1,H25&gt;400),"분량 확인","")</f>
        <v/>
      </c>
    </row>
    <row r="26" customFormat="false" ht="61.5" hidden="false" customHeight="true" outlineLevel="0" collapsed="false">
      <c r="A26" s="13" t="s">
        <v>4276</v>
      </c>
      <c r="B26" s="14" t="s">
        <v>4246</v>
      </c>
      <c r="C26" s="14" t="s">
        <v>4277</v>
      </c>
      <c r="D26" s="15" t="s">
        <v>4278</v>
      </c>
      <c r="E26" s="23" t="s">
        <v>19</v>
      </c>
      <c r="F26" s="16"/>
      <c r="G26" s="16"/>
      <c r="H26" s="19" t="n">
        <f aca="false">LEN(IF(F26&lt;&gt;"",F26,D26))</f>
        <v>101</v>
      </c>
      <c r="I26" s="24" t="str">
        <f aca="false">IF(OR(H26&lt;1,H26&gt;400),"분량 확인","")</f>
        <v/>
      </c>
    </row>
    <row r="27" customFormat="false" ht="48" hidden="false" customHeight="true" outlineLevel="0" collapsed="false">
      <c r="A27" s="13" t="s">
        <v>544</v>
      </c>
      <c r="B27" s="14" t="s">
        <v>4279</v>
      </c>
      <c r="C27" s="14" t="s">
        <v>4280</v>
      </c>
      <c r="D27" s="15" t="s">
        <v>4281</v>
      </c>
      <c r="E27" s="23" t="s">
        <v>19</v>
      </c>
      <c r="F27" s="16"/>
      <c r="G27" s="17" t="s">
        <v>4282</v>
      </c>
      <c r="H27" s="19" t="n">
        <f aca="false">LEN(IF(F27&lt;&gt;"",F27,D27))</f>
        <v>67</v>
      </c>
      <c r="I27" s="24" t="str">
        <f aca="false">IF(OR(H27&lt;1,H27&gt;400),"분량 확인","")</f>
        <v/>
      </c>
    </row>
    <row r="28" customFormat="false" ht="33.75" hidden="false" customHeight="true" outlineLevel="0" collapsed="false">
      <c r="A28" s="13" t="s">
        <v>4283</v>
      </c>
      <c r="B28" s="14" t="s">
        <v>4279</v>
      </c>
      <c r="C28" s="14" t="s">
        <v>4284</v>
      </c>
      <c r="D28" s="15" t="s">
        <v>4285</v>
      </c>
      <c r="E28" s="23" t="s">
        <v>19</v>
      </c>
      <c r="F28" s="16"/>
      <c r="G28" s="16"/>
      <c r="H28" s="19" t="n">
        <f aca="false">LEN(IF(F28&lt;&gt;"",F28,D28))</f>
        <v>30</v>
      </c>
      <c r="I28" s="24" t="str">
        <f aca="false">IF(OR(H28&lt;1,H28&gt;400),"분량 확인","")</f>
        <v/>
      </c>
    </row>
    <row r="29" customFormat="false" ht="19.5" hidden="false" customHeight="true" outlineLevel="0" collapsed="false">
      <c r="A29" s="13" t="s">
        <v>4286</v>
      </c>
      <c r="B29" s="14" t="s">
        <v>4279</v>
      </c>
      <c r="C29" s="14" t="s">
        <v>4287</v>
      </c>
      <c r="D29" s="15" t="s">
        <v>4288</v>
      </c>
      <c r="E29" s="23" t="s">
        <v>19</v>
      </c>
      <c r="F29" s="16"/>
      <c r="G29" s="16"/>
      <c r="H29" s="19" t="n">
        <f aca="false">LEN(IF(F29&lt;&gt;"",F29,D29))</f>
        <v>7</v>
      </c>
      <c r="I29" s="24" t="str">
        <f aca="false">IF(OR(H29&lt;1,H29&gt;400),"분량 확인","")</f>
        <v/>
      </c>
    </row>
    <row r="30" customFormat="false" ht="33.75" hidden="false" customHeight="true" outlineLevel="0" collapsed="false">
      <c r="A30" s="13" t="s">
        <v>4289</v>
      </c>
      <c r="B30" s="14" t="s">
        <v>4279</v>
      </c>
      <c r="C30" s="14" t="s">
        <v>4290</v>
      </c>
      <c r="D30" s="15" t="s">
        <v>4291</v>
      </c>
      <c r="E30" s="23" t="s">
        <v>19</v>
      </c>
      <c r="F30" s="16"/>
      <c r="G30" s="16"/>
      <c r="H30" s="19" t="n">
        <f aca="false">LEN(IF(F30&lt;&gt;"",F30,D30))</f>
        <v>7</v>
      </c>
      <c r="I30" s="24" t="str">
        <f aca="false">IF(OR(H30&lt;1,H30&gt;400),"분량 확인","")</f>
        <v/>
      </c>
    </row>
    <row r="31" customFormat="false" ht="33.75" hidden="false" customHeight="true" outlineLevel="0" collapsed="false">
      <c r="A31" s="13" t="s">
        <v>537</v>
      </c>
      <c r="B31" s="14" t="s">
        <v>4292</v>
      </c>
      <c r="C31" s="14" t="s">
        <v>4280</v>
      </c>
      <c r="D31" s="15" t="s">
        <v>4293</v>
      </c>
      <c r="E31" s="23" t="s">
        <v>19</v>
      </c>
      <c r="F31" s="16"/>
      <c r="G31" s="17" t="s">
        <v>4294</v>
      </c>
      <c r="H31" s="19" t="n">
        <f aca="false">LEN(IF(F31&lt;&gt;"",F31,D31))</f>
        <v>33</v>
      </c>
      <c r="I31" s="24" t="str">
        <f aca="false">IF(OR(H31&lt;1,H31&gt;400),"분량 확인","")</f>
        <v/>
      </c>
    </row>
    <row r="32" customFormat="false" ht="33.75" hidden="false" customHeight="true" outlineLevel="0" collapsed="false">
      <c r="A32" s="13" t="s">
        <v>4295</v>
      </c>
      <c r="B32" s="14" t="s">
        <v>4292</v>
      </c>
      <c r="C32" s="14" t="s">
        <v>4296</v>
      </c>
      <c r="D32" s="15" t="s">
        <v>4297</v>
      </c>
      <c r="E32" s="23" t="s">
        <v>19</v>
      </c>
      <c r="F32" s="16"/>
      <c r="G32" s="16"/>
      <c r="H32" s="19" t="n">
        <f aca="false">LEN(IF(F32&lt;&gt;"",F32,D32))</f>
        <v>6</v>
      </c>
      <c r="I32" s="24" t="str">
        <f aca="false">IF(OR(H32&lt;1,H32&gt;400),"분량 확인","")</f>
        <v/>
      </c>
    </row>
    <row r="33" customFormat="false" ht="33.75" hidden="false" customHeight="true" outlineLevel="0" collapsed="false">
      <c r="A33" s="13" t="s">
        <v>4298</v>
      </c>
      <c r="B33" s="14" t="s">
        <v>4292</v>
      </c>
      <c r="C33" s="14" t="s">
        <v>4299</v>
      </c>
      <c r="D33" s="15" t="s">
        <v>4300</v>
      </c>
      <c r="E33" s="23" t="s">
        <v>19</v>
      </c>
      <c r="F33" s="16"/>
      <c r="G33" s="16"/>
      <c r="H33" s="19" t="n">
        <f aca="false">LEN(IF(F33&lt;&gt;"",F33,D33))</f>
        <v>8</v>
      </c>
      <c r="I33" s="24" t="str">
        <f aca="false">IF(OR(H33&lt;1,H33&gt;400),"분량 확인","")</f>
        <v/>
      </c>
    </row>
    <row r="34" customFormat="false" ht="33.75" hidden="false" customHeight="true" outlineLevel="0" collapsed="false">
      <c r="A34" s="13" t="s">
        <v>4301</v>
      </c>
      <c r="B34" s="14" t="s">
        <v>4292</v>
      </c>
      <c r="C34" s="14" t="s">
        <v>4302</v>
      </c>
      <c r="D34" s="15" t="s">
        <v>4303</v>
      </c>
      <c r="E34" s="23" t="s">
        <v>19</v>
      </c>
      <c r="F34" s="16"/>
      <c r="G34" s="16"/>
      <c r="H34" s="19" t="n">
        <f aca="false">LEN(IF(F34&lt;&gt;"",F34,D34))</f>
        <v>7</v>
      </c>
      <c r="I34" s="24" t="str">
        <f aca="false">IF(OR(H34&lt;1,H34&gt;400),"분량 확인","")</f>
        <v/>
      </c>
    </row>
    <row r="35" customFormat="false" ht="19.5" hidden="false" customHeight="true" outlineLevel="0" collapsed="false">
      <c r="A35" s="13" t="s">
        <v>4304</v>
      </c>
      <c r="B35" s="14" t="s">
        <v>4292</v>
      </c>
      <c r="C35" s="14" t="s">
        <v>4305</v>
      </c>
      <c r="D35" s="14" t="s">
        <v>4306</v>
      </c>
      <c r="E35" s="23" t="s">
        <v>19</v>
      </c>
      <c r="F35" s="16"/>
      <c r="G35" s="16"/>
      <c r="H35" s="19" t="n">
        <f aca="false">LEN(IF(F35&lt;&gt;"",F35,D35))</f>
        <v>12</v>
      </c>
      <c r="I35" s="24" t="str">
        <f aca="false">IF(OR(H35&lt;1,H35&gt;400),"분량 확인","")</f>
        <v/>
      </c>
    </row>
    <row r="36" customFormat="false" ht="19.5" hidden="false" customHeight="true" outlineLevel="0" collapsed="false">
      <c r="A36" s="13" t="s">
        <v>4307</v>
      </c>
      <c r="B36" s="14" t="s">
        <v>4308</v>
      </c>
      <c r="C36" s="14" t="s">
        <v>4284</v>
      </c>
      <c r="D36" s="15" t="s">
        <v>4309</v>
      </c>
      <c r="E36" s="23" t="s">
        <v>19</v>
      </c>
      <c r="F36" s="16"/>
      <c r="G36" s="16"/>
      <c r="H36" s="19" t="n">
        <f aca="false">LEN(IF(F36&lt;&gt;"",F36,D36))</f>
        <v>27</v>
      </c>
      <c r="I36" s="24" t="str">
        <f aca="false">IF(OR(H36&lt;1,H36&gt;400),"분량 확인","")</f>
        <v/>
      </c>
    </row>
    <row r="37" customFormat="false" ht="19.5" hidden="false" customHeight="true" outlineLevel="0" collapsed="false">
      <c r="A37" s="13" t="s">
        <v>4310</v>
      </c>
      <c r="B37" s="14" t="s">
        <v>4308</v>
      </c>
      <c r="C37" s="14" t="s">
        <v>4210</v>
      </c>
      <c r="D37" s="15" t="s">
        <v>4311</v>
      </c>
      <c r="E37" s="23" t="s">
        <v>19</v>
      </c>
      <c r="F37" s="16"/>
      <c r="G37" s="16"/>
      <c r="H37" s="19" t="n">
        <f aca="false">LEN(IF(F37&lt;&gt;"",F37,D37))</f>
        <v>8</v>
      </c>
      <c r="I37" s="24" t="str">
        <f aca="false">IF(OR(H37&lt;1,H37&gt;400),"분량 확인","")</f>
        <v/>
      </c>
    </row>
    <row r="38" customFormat="false" ht="33.75" hidden="false" customHeight="true" outlineLevel="0" collapsed="false">
      <c r="A38" s="13" t="s">
        <v>4312</v>
      </c>
      <c r="B38" s="15" t="s">
        <v>4313</v>
      </c>
      <c r="C38" s="14" t="s">
        <v>4314</v>
      </c>
      <c r="D38" s="14" t="s">
        <v>4315</v>
      </c>
      <c r="E38" s="23" t="s">
        <v>19</v>
      </c>
      <c r="F38" s="16"/>
      <c r="G38" s="16"/>
      <c r="H38" s="19" t="n">
        <f aca="false">LEN(IF(F38&lt;&gt;"",F38,D38))</f>
        <v>31</v>
      </c>
      <c r="I38" s="24" t="str">
        <f aca="false">IF(OR(H38&lt;1,H38&gt;400),"분량 확인","")</f>
        <v/>
      </c>
    </row>
    <row r="39" customFormat="false" ht="19.5" hidden="false" customHeight="true" outlineLevel="0" collapsed="false">
      <c r="A39" s="13" t="s">
        <v>4316</v>
      </c>
      <c r="B39" s="15" t="s">
        <v>4313</v>
      </c>
      <c r="C39" s="14" t="s">
        <v>4317</v>
      </c>
      <c r="D39" s="14" t="s">
        <v>4318</v>
      </c>
      <c r="E39" s="23" t="s">
        <v>19</v>
      </c>
      <c r="F39" s="16"/>
      <c r="G39" s="16"/>
      <c r="H39" s="19" t="n">
        <f aca="false">LEN(IF(F39&lt;&gt;"",F39,D39))</f>
        <v>15</v>
      </c>
      <c r="I39" s="24" t="str">
        <f aca="false">IF(OR(H39&lt;1,H39&gt;400),"분량 확인","")</f>
        <v/>
      </c>
    </row>
    <row r="40" customFormat="false" ht="19.5" hidden="false" customHeight="true" outlineLevel="0" collapsed="false">
      <c r="A40" s="13" t="s">
        <v>4319</v>
      </c>
      <c r="B40" s="14" t="s">
        <v>4320</v>
      </c>
      <c r="C40" s="14" t="s">
        <v>4321</v>
      </c>
      <c r="D40" s="14" t="s">
        <v>4322</v>
      </c>
      <c r="E40" s="23" t="s">
        <v>19</v>
      </c>
      <c r="F40" s="16"/>
      <c r="G40" s="16"/>
      <c r="H40" s="19" t="n">
        <f aca="false">LEN(IF(F40&lt;&gt;"",F40,D40))</f>
        <v>23</v>
      </c>
      <c r="I40" s="24" t="str">
        <f aca="false">IF(OR(H40&lt;1,H40&gt;400),"분량 확인","")</f>
        <v/>
      </c>
    </row>
    <row r="41" customFormat="false" ht="33.75" hidden="false" customHeight="true" outlineLevel="0" collapsed="false">
      <c r="A41" s="13" t="s">
        <v>4323</v>
      </c>
      <c r="B41" s="14" t="s">
        <v>4320</v>
      </c>
      <c r="C41" s="14" t="s">
        <v>4324</v>
      </c>
      <c r="D41" s="15" t="s">
        <v>4325</v>
      </c>
      <c r="E41" s="23" t="s">
        <v>19</v>
      </c>
      <c r="F41" s="16"/>
      <c r="G41" s="16"/>
      <c r="H41" s="19" t="n">
        <f aca="false">LEN(IF(F41&lt;&gt;"",F41,D41))</f>
        <v>20</v>
      </c>
      <c r="I41" s="24" t="str">
        <f aca="false">IF(OR(H41&lt;1,H41&gt;400),"분량 확인","")</f>
        <v/>
      </c>
    </row>
    <row r="42" customFormat="false" ht="48" hidden="false" customHeight="true" outlineLevel="0" collapsed="false">
      <c r="A42" s="13" t="s">
        <v>4326</v>
      </c>
      <c r="B42" s="14" t="s">
        <v>4320</v>
      </c>
      <c r="C42" s="14" t="s">
        <v>4327</v>
      </c>
      <c r="D42" s="15" t="s">
        <v>4328</v>
      </c>
      <c r="E42" s="23" t="s">
        <v>19</v>
      </c>
      <c r="F42" s="16"/>
      <c r="G42" s="16"/>
      <c r="H42" s="19" t="n">
        <f aca="false">LEN(IF(F42&lt;&gt;"",F42,D42))</f>
        <v>85</v>
      </c>
      <c r="I42" s="24" t="str">
        <f aca="false">IF(OR(H42&lt;1,H42&gt;400),"분량 확인","")</f>
        <v/>
      </c>
    </row>
    <row r="43" customFormat="false" ht="33.75" hidden="false" customHeight="true" outlineLevel="0" collapsed="false">
      <c r="A43" s="13" t="s">
        <v>4329</v>
      </c>
      <c r="B43" s="14" t="s">
        <v>4320</v>
      </c>
      <c r="C43" s="14" t="s">
        <v>4330</v>
      </c>
      <c r="D43" s="15" t="s">
        <v>4331</v>
      </c>
      <c r="E43" s="23" t="s">
        <v>19</v>
      </c>
      <c r="F43" s="16"/>
      <c r="G43" s="16"/>
      <c r="H43" s="19" t="n">
        <f aca="false">LEN(IF(F43&lt;&gt;"",F43,D43))</f>
        <v>13</v>
      </c>
      <c r="I43" s="24" t="str">
        <f aca="false">IF(OR(H43&lt;1,H43&gt;400),"분량 확인","")</f>
        <v/>
      </c>
    </row>
    <row r="44" customFormat="false" ht="33.75" hidden="false" customHeight="true" outlineLevel="0" collapsed="false">
      <c r="A44" s="13" t="s">
        <v>4332</v>
      </c>
      <c r="B44" s="14" t="s">
        <v>4320</v>
      </c>
      <c r="C44" s="14" t="s">
        <v>4333</v>
      </c>
      <c r="D44" s="14" t="s">
        <v>4334</v>
      </c>
      <c r="E44" s="23" t="s">
        <v>19</v>
      </c>
      <c r="F44" s="16"/>
      <c r="G44" s="16"/>
      <c r="H44" s="19" t="n">
        <f aca="false">LEN(IF(F44&lt;&gt;"",F44,D44))</f>
        <v>17</v>
      </c>
      <c r="I44" s="24" t="str">
        <f aca="false">IF(OR(H44&lt;1,H44&gt;400),"분량 확인","")</f>
        <v/>
      </c>
    </row>
    <row r="45" customFormat="false" ht="19.5" hidden="false" customHeight="true" outlineLevel="0" collapsed="false">
      <c r="A45" s="13" t="s">
        <v>4335</v>
      </c>
      <c r="B45" s="14" t="s">
        <v>4320</v>
      </c>
      <c r="C45" s="14" t="s">
        <v>4336</v>
      </c>
      <c r="D45" s="15" t="s">
        <v>4337</v>
      </c>
      <c r="E45" s="23" t="s">
        <v>19</v>
      </c>
      <c r="F45" s="16"/>
      <c r="G45" s="16"/>
      <c r="H45" s="19" t="n">
        <f aca="false">LEN(IF(F45&lt;&gt;"",F45,D45))</f>
        <v>20</v>
      </c>
      <c r="I45" s="24" t="str">
        <f aca="false">IF(OR(H45&lt;1,H45&gt;400),"분량 확인","")</f>
        <v/>
      </c>
    </row>
    <row r="46" customFormat="false" ht="19.5" hidden="false" customHeight="true" outlineLevel="0" collapsed="false">
      <c r="A46" s="13" t="s">
        <v>4338</v>
      </c>
      <c r="B46" s="14" t="s">
        <v>4320</v>
      </c>
      <c r="C46" s="14" t="s">
        <v>4339</v>
      </c>
      <c r="D46" s="15" t="s">
        <v>4340</v>
      </c>
      <c r="E46" s="23" t="s">
        <v>19</v>
      </c>
      <c r="F46" s="16"/>
      <c r="G46" s="16"/>
      <c r="H46" s="19" t="n">
        <f aca="false">LEN(IF(F46&lt;&gt;"",F46,D46))</f>
        <v>9</v>
      </c>
      <c r="I46" s="24" t="str">
        <f aca="false">IF(OR(H46&lt;1,H46&gt;400),"분량 확인","")</f>
        <v/>
      </c>
    </row>
    <row r="47" customFormat="false" ht="19.5" hidden="false" customHeight="true" outlineLevel="0" collapsed="false">
      <c r="A47" s="13" t="s">
        <v>4341</v>
      </c>
      <c r="B47" s="14" t="s">
        <v>4320</v>
      </c>
      <c r="C47" s="14" t="s">
        <v>4342</v>
      </c>
      <c r="D47" s="15" t="s">
        <v>4343</v>
      </c>
      <c r="E47" s="23" t="s">
        <v>19</v>
      </c>
      <c r="F47" s="16"/>
      <c r="G47" s="16"/>
      <c r="H47" s="19" t="n">
        <f aca="false">LEN(IF(F47&lt;&gt;"",F47,D47))</f>
        <v>7</v>
      </c>
      <c r="I47" s="24" t="str">
        <f aca="false">IF(OR(H47&lt;1,H47&gt;400),"분량 확인","")</f>
        <v/>
      </c>
    </row>
    <row r="48" customFormat="false" ht="19.5" hidden="false" customHeight="true" outlineLevel="0" collapsed="false">
      <c r="A48" s="13" t="s">
        <v>4344</v>
      </c>
      <c r="B48" s="14" t="s">
        <v>4320</v>
      </c>
      <c r="C48" s="14" t="s">
        <v>4345</v>
      </c>
      <c r="D48" s="15" t="s">
        <v>4346</v>
      </c>
      <c r="E48" s="23" t="s">
        <v>19</v>
      </c>
      <c r="F48" s="16"/>
      <c r="G48" s="16"/>
      <c r="H48" s="19" t="n">
        <f aca="false">LEN(IF(F48&lt;&gt;"",F48,D48))</f>
        <v>15</v>
      </c>
      <c r="I48" s="24" t="str">
        <f aca="false">IF(OR(H48&lt;1,H48&gt;400),"분량 확인","")</f>
        <v/>
      </c>
    </row>
    <row r="49" customFormat="false" ht="19.5" hidden="false" customHeight="true" outlineLevel="0" collapsed="false">
      <c r="A49" s="13" t="s">
        <v>4347</v>
      </c>
      <c r="B49" s="14" t="s">
        <v>4320</v>
      </c>
      <c r="C49" s="14" t="s">
        <v>4348</v>
      </c>
      <c r="D49" s="15" t="s">
        <v>4349</v>
      </c>
      <c r="E49" s="23" t="s">
        <v>19</v>
      </c>
      <c r="F49" s="16"/>
      <c r="G49" s="16"/>
      <c r="H49" s="19" t="n">
        <f aca="false">LEN(IF(F49&lt;&gt;"",F49,D49))</f>
        <v>4</v>
      </c>
      <c r="I49" s="24" t="str">
        <f aca="false">IF(OR(H49&lt;1,H49&gt;400),"분량 확인","")</f>
        <v/>
      </c>
    </row>
    <row r="50" customFormat="false" ht="19.5" hidden="false" customHeight="true" outlineLevel="0" collapsed="false">
      <c r="A50" s="13" t="s">
        <v>4350</v>
      </c>
      <c r="B50" s="14" t="s">
        <v>4320</v>
      </c>
      <c r="C50" s="14" t="s">
        <v>4351</v>
      </c>
      <c r="D50" s="15" t="s">
        <v>4352</v>
      </c>
      <c r="E50" s="23" t="s">
        <v>19</v>
      </c>
      <c r="F50" s="16"/>
      <c r="G50" s="16"/>
      <c r="H50" s="19" t="n">
        <f aca="false">LEN(IF(F50&lt;&gt;"",F50,D50))</f>
        <v>4</v>
      </c>
      <c r="I50" s="24" t="str">
        <f aca="false">IF(OR(H50&lt;1,H50&gt;400),"분량 확인","")</f>
        <v/>
      </c>
    </row>
    <row r="51" customFormat="false" ht="33.75" hidden="false" customHeight="true" outlineLevel="0" collapsed="false">
      <c r="A51" s="13" t="s">
        <v>4353</v>
      </c>
      <c r="B51" s="14" t="s">
        <v>4320</v>
      </c>
      <c r="C51" s="14" t="s">
        <v>4354</v>
      </c>
      <c r="D51" s="15" t="s">
        <v>4355</v>
      </c>
      <c r="E51" s="23" t="s">
        <v>19</v>
      </c>
      <c r="F51" s="16"/>
      <c r="G51" s="16"/>
      <c r="H51" s="19" t="n">
        <f aca="false">LEN(IF(F51&lt;&gt;"",F51,D51))</f>
        <v>15</v>
      </c>
      <c r="I51" s="24" t="str">
        <f aca="false">IF(OR(H51&lt;1,H51&gt;400),"분량 확인","")</f>
        <v/>
      </c>
    </row>
    <row r="52" customFormat="false" ht="48" hidden="false" customHeight="true" outlineLevel="0" collapsed="false">
      <c r="A52" s="13" t="s">
        <v>4356</v>
      </c>
      <c r="B52" s="14" t="s">
        <v>4320</v>
      </c>
      <c r="C52" s="14" t="s">
        <v>4357</v>
      </c>
      <c r="D52" s="15" t="s">
        <v>4358</v>
      </c>
      <c r="E52" s="23" t="s">
        <v>19</v>
      </c>
      <c r="F52" s="16"/>
      <c r="G52" s="16"/>
      <c r="H52" s="19" t="n">
        <f aca="false">LEN(IF(F52&lt;&gt;"",F52,D52))</f>
        <v>79</v>
      </c>
      <c r="I52" s="24" t="str">
        <f aca="false">IF(OR(H52&lt;1,H52&gt;400),"분량 확인","")</f>
        <v/>
      </c>
    </row>
    <row r="53" customFormat="false" ht="33.75" hidden="false" customHeight="true" outlineLevel="0" collapsed="false">
      <c r="A53" s="13" t="s">
        <v>4359</v>
      </c>
      <c r="B53" s="14" t="s">
        <v>4320</v>
      </c>
      <c r="C53" s="14" t="s">
        <v>4360</v>
      </c>
      <c r="D53" s="15" t="s">
        <v>4361</v>
      </c>
      <c r="E53" s="23" t="s">
        <v>19</v>
      </c>
      <c r="F53" s="16"/>
      <c r="G53" s="16"/>
      <c r="H53" s="19" t="n">
        <f aca="false">LEN(IF(F53&lt;&gt;"",F53,D53))</f>
        <v>13</v>
      </c>
      <c r="I53" s="24" t="str">
        <f aca="false">IF(OR(H53&lt;1,H53&gt;400),"분량 확인","")</f>
        <v/>
      </c>
    </row>
    <row r="54" customFormat="false" ht="33.75" hidden="false" customHeight="true" outlineLevel="0" collapsed="false">
      <c r="A54" s="13" t="s">
        <v>4362</v>
      </c>
      <c r="B54" s="14" t="s">
        <v>4320</v>
      </c>
      <c r="C54" s="14" t="s">
        <v>4363</v>
      </c>
      <c r="D54" s="15" t="s">
        <v>4364</v>
      </c>
      <c r="E54" s="23" t="s">
        <v>19</v>
      </c>
      <c r="F54" s="16"/>
      <c r="G54" s="16"/>
      <c r="H54" s="19" t="n">
        <f aca="false">LEN(IF(F54&lt;&gt;"",F54,D54))</f>
        <v>14</v>
      </c>
      <c r="I54" s="24" t="str">
        <f aca="false">IF(OR(H54&lt;1,H54&gt;400),"분량 확인","")</f>
        <v/>
      </c>
    </row>
    <row r="55" customFormat="false" ht="33.75" hidden="false" customHeight="true" outlineLevel="0" collapsed="false">
      <c r="A55" s="13" t="s">
        <v>4365</v>
      </c>
      <c r="B55" s="14" t="s">
        <v>4320</v>
      </c>
      <c r="C55" s="14" t="s">
        <v>4366</v>
      </c>
      <c r="D55" s="15" t="s">
        <v>4367</v>
      </c>
      <c r="E55" s="23" t="s">
        <v>19</v>
      </c>
      <c r="F55" s="16"/>
      <c r="G55" s="16"/>
      <c r="H55" s="19" t="n">
        <f aca="false">LEN(IF(F55&lt;&gt;"",F55,D55))</f>
        <v>9</v>
      </c>
      <c r="I55" s="24" t="str">
        <f aca="false">IF(OR(H55&lt;1,H55&gt;400),"분량 확인","")</f>
        <v/>
      </c>
    </row>
    <row r="56" customFormat="false" ht="33.75" hidden="false" customHeight="true" outlineLevel="0" collapsed="false">
      <c r="A56" s="13" t="s">
        <v>4368</v>
      </c>
      <c r="B56" s="14" t="s">
        <v>4320</v>
      </c>
      <c r="C56" s="14" t="s">
        <v>4369</v>
      </c>
      <c r="D56" s="15" t="s">
        <v>4370</v>
      </c>
      <c r="E56" s="23" t="s">
        <v>19</v>
      </c>
      <c r="F56" s="16"/>
      <c r="G56" s="16"/>
      <c r="H56" s="19" t="n">
        <f aca="false">LEN(IF(F56&lt;&gt;"",F56,D56))</f>
        <v>26</v>
      </c>
      <c r="I56" s="24" t="str">
        <f aca="false">IF(OR(H56&lt;1,H56&gt;400),"분량 확인","")</f>
        <v/>
      </c>
    </row>
    <row r="57" customFormat="false" ht="33.75" hidden="false" customHeight="true" outlineLevel="0" collapsed="false">
      <c r="A57" s="13" t="s">
        <v>4371</v>
      </c>
      <c r="B57" s="14" t="s">
        <v>4320</v>
      </c>
      <c r="C57" s="14" t="s">
        <v>4372</v>
      </c>
      <c r="D57" s="15" t="s">
        <v>4373</v>
      </c>
      <c r="E57" s="23" t="s">
        <v>19</v>
      </c>
      <c r="F57" s="16"/>
      <c r="G57" s="16"/>
      <c r="H57" s="19" t="n">
        <f aca="false">LEN(IF(F57&lt;&gt;"",F57,D57))</f>
        <v>10</v>
      </c>
      <c r="I57" s="24" t="str">
        <f aca="false">IF(OR(H57&lt;1,H57&gt;400),"분량 확인","")</f>
        <v/>
      </c>
    </row>
    <row r="58" customFormat="false" ht="33.75" hidden="false" customHeight="true" outlineLevel="0" collapsed="false">
      <c r="A58" s="13" t="s">
        <v>4374</v>
      </c>
      <c r="B58" s="14" t="s">
        <v>4320</v>
      </c>
      <c r="C58" s="14" t="s">
        <v>4375</v>
      </c>
      <c r="D58" s="15" t="s">
        <v>4376</v>
      </c>
      <c r="E58" s="23" t="s">
        <v>19</v>
      </c>
      <c r="F58" s="16"/>
      <c r="G58" s="16"/>
      <c r="H58" s="19" t="n">
        <f aca="false">LEN(IF(F58&lt;&gt;"",F58,D58))</f>
        <v>14</v>
      </c>
      <c r="I58" s="24" t="str">
        <f aca="false">IF(OR(H58&lt;1,H58&gt;400),"분량 확인","")</f>
        <v/>
      </c>
    </row>
    <row r="59" customFormat="false" ht="33.75" hidden="false" customHeight="true" outlineLevel="0" collapsed="false">
      <c r="A59" s="13" t="s">
        <v>4377</v>
      </c>
      <c r="B59" s="14" t="s">
        <v>4320</v>
      </c>
      <c r="C59" s="14" t="s">
        <v>4378</v>
      </c>
      <c r="D59" s="15" t="s">
        <v>4379</v>
      </c>
      <c r="E59" s="23" t="s">
        <v>19</v>
      </c>
      <c r="F59" s="16"/>
      <c r="G59" s="16"/>
      <c r="H59" s="19" t="n">
        <f aca="false">LEN(IF(F59&lt;&gt;"",F59,D59))</f>
        <v>13</v>
      </c>
      <c r="I59" s="24" t="str">
        <f aca="false">IF(OR(H59&lt;1,H59&gt;400),"분량 확인","")</f>
        <v/>
      </c>
    </row>
    <row r="60" customFormat="false" ht="33.75" hidden="false" customHeight="true" outlineLevel="0" collapsed="false">
      <c r="A60" s="13" t="s">
        <v>4380</v>
      </c>
      <c r="B60" s="14" t="s">
        <v>4320</v>
      </c>
      <c r="C60" s="14" t="s">
        <v>4381</v>
      </c>
      <c r="D60" s="15" t="s">
        <v>4382</v>
      </c>
      <c r="E60" s="23" t="s">
        <v>19</v>
      </c>
      <c r="F60" s="16"/>
      <c r="G60" s="16"/>
      <c r="H60" s="19" t="n">
        <f aca="false">LEN(IF(F60&lt;&gt;"",F60,D60))</f>
        <v>13</v>
      </c>
      <c r="I60" s="24" t="str">
        <f aca="false">IF(OR(H60&lt;1,H60&gt;400),"분량 확인","")</f>
        <v/>
      </c>
    </row>
    <row r="61" customFormat="false" ht="33.75" hidden="false" customHeight="true" outlineLevel="0" collapsed="false">
      <c r="A61" s="13" t="s">
        <v>4383</v>
      </c>
      <c r="B61" s="14" t="s">
        <v>4320</v>
      </c>
      <c r="C61" s="14" t="s">
        <v>4384</v>
      </c>
      <c r="D61" s="15" t="s">
        <v>4385</v>
      </c>
      <c r="E61" s="23" t="s">
        <v>19</v>
      </c>
      <c r="F61" s="16"/>
      <c r="G61" s="16"/>
      <c r="H61" s="19" t="n">
        <f aca="false">LEN(IF(F61&lt;&gt;"",F61,D61))</f>
        <v>13</v>
      </c>
      <c r="I61" s="24" t="str">
        <f aca="false">IF(OR(H61&lt;1,H61&gt;400),"분량 확인","")</f>
        <v/>
      </c>
    </row>
    <row r="62" customFormat="false" ht="33.75" hidden="false" customHeight="true" outlineLevel="0" collapsed="false">
      <c r="A62" s="13" t="s">
        <v>4386</v>
      </c>
      <c r="B62" s="14" t="s">
        <v>4320</v>
      </c>
      <c r="C62" s="14" t="s">
        <v>4387</v>
      </c>
      <c r="D62" s="15" t="s">
        <v>4388</v>
      </c>
      <c r="E62" s="23" t="s">
        <v>19</v>
      </c>
      <c r="F62" s="16"/>
      <c r="G62" s="16"/>
      <c r="H62" s="19" t="n">
        <f aca="false">LEN(IF(F62&lt;&gt;"",F62,D62))</f>
        <v>18</v>
      </c>
      <c r="I62" s="24" t="str">
        <f aca="false">IF(OR(H62&lt;1,H62&gt;400),"분량 확인","")</f>
        <v/>
      </c>
    </row>
    <row r="63" customFormat="false" ht="33.75" hidden="false" customHeight="true" outlineLevel="0" collapsed="false">
      <c r="A63" s="13" t="s">
        <v>4389</v>
      </c>
      <c r="B63" s="14" t="s">
        <v>4320</v>
      </c>
      <c r="C63" s="14" t="s">
        <v>4390</v>
      </c>
      <c r="D63" s="15" t="s">
        <v>4391</v>
      </c>
      <c r="E63" s="23" t="s">
        <v>19</v>
      </c>
      <c r="F63" s="16"/>
      <c r="G63" s="16"/>
      <c r="H63" s="19" t="n">
        <f aca="false">LEN(IF(F63&lt;&gt;"",F63,D63))</f>
        <v>15</v>
      </c>
      <c r="I63" s="24" t="str">
        <f aca="false">IF(OR(H63&lt;1,H63&gt;400),"분량 확인","")</f>
        <v/>
      </c>
    </row>
    <row r="64" customFormat="false" ht="33.75" hidden="false" customHeight="true" outlineLevel="0" collapsed="false">
      <c r="A64" s="13" t="s">
        <v>4392</v>
      </c>
      <c r="B64" s="14" t="s">
        <v>4320</v>
      </c>
      <c r="C64" s="14" t="s">
        <v>4393</v>
      </c>
      <c r="D64" s="15" t="s">
        <v>4394</v>
      </c>
      <c r="E64" s="23" t="s">
        <v>19</v>
      </c>
      <c r="F64" s="16"/>
      <c r="G64" s="16"/>
      <c r="H64" s="19" t="n">
        <f aca="false">LEN(IF(F64&lt;&gt;"",F64,D64))</f>
        <v>13</v>
      </c>
      <c r="I64" s="24" t="str">
        <f aca="false">IF(OR(H64&lt;1,H64&gt;400),"분량 확인","")</f>
        <v/>
      </c>
    </row>
    <row r="65" customFormat="false" ht="33.75" hidden="false" customHeight="true" outlineLevel="0" collapsed="false">
      <c r="A65" s="13" t="s">
        <v>4395</v>
      </c>
      <c r="B65" s="14" t="s">
        <v>4320</v>
      </c>
      <c r="C65" s="14" t="s">
        <v>4396</v>
      </c>
      <c r="D65" s="15" t="s">
        <v>4397</v>
      </c>
      <c r="E65" s="23" t="s">
        <v>19</v>
      </c>
      <c r="F65" s="16"/>
      <c r="G65" s="16"/>
      <c r="H65" s="19" t="n">
        <f aca="false">LEN(IF(F65&lt;&gt;"",F65,D65))</f>
        <v>15</v>
      </c>
      <c r="I65" s="24" t="str">
        <f aca="false">IF(OR(H65&lt;1,H65&gt;400),"분량 확인","")</f>
        <v/>
      </c>
    </row>
    <row r="66" customFormat="false" ht="33.75" hidden="false" customHeight="true" outlineLevel="0" collapsed="false">
      <c r="A66" s="13" t="s">
        <v>4398</v>
      </c>
      <c r="B66" s="14" t="s">
        <v>4320</v>
      </c>
      <c r="C66" s="14" t="s">
        <v>4399</v>
      </c>
      <c r="D66" s="15" t="s">
        <v>4400</v>
      </c>
      <c r="E66" s="23" t="s">
        <v>19</v>
      </c>
      <c r="F66" s="16"/>
      <c r="G66" s="16"/>
      <c r="H66" s="19" t="n">
        <f aca="false">LEN(IF(F66&lt;&gt;"",F66,D66))</f>
        <v>11</v>
      </c>
      <c r="I66" s="24" t="str">
        <f aca="false">IF(OR(H66&lt;1,H66&gt;400),"분량 확인","")</f>
        <v/>
      </c>
    </row>
    <row r="67" customFormat="false" ht="33.75" hidden="false" customHeight="true" outlineLevel="0" collapsed="false">
      <c r="A67" s="13" t="s">
        <v>4401</v>
      </c>
      <c r="B67" s="14" t="s">
        <v>4320</v>
      </c>
      <c r="C67" s="14" t="s">
        <v>4402</v>
      </c>
      <c r="D67" s="15" t="s">
        <v>4403</v>
      </c>
      <c r="E67" s="23" t="s">
        <v>19</v>
      </c>
      <c r="F67" s="16"/>
      <c r="G67" s="16"/>
      <c r="H67" s="19" t="n">
        <f aca="false">LEN(IF(F67&lt;&gt;"",F67,D67))</f>
        <v>11</v>
      </c>
      <c r="I67" s="24" t="str">
        <f aca="false">IF(OR(H67&lt;1,H67&gt;400),"분량 확인","")</f>
        <v/>
      </c>
    </row>
    <row r="68" customFormat="false" ht="33.75" hidden="false" customHeight="true" outlineLevel="0" collapsed="false">
      <c r="A68" s="13" t="s">
        <v>4404</v>
      </c>
      <c r="B68" s="14" t="s">
        <v>4320</v>
      </c>
      <c r="C68" s="14" t="s">
        <v>4405</v>
      </c>
      <c r="D68" s="14" t="s">
        <v>4406</v>
      </c>
      <c r="E68" s="23" t="s">
        <v>19</v>
      </c>
      <c r="F68" s="16"/>
      <c r="G68" s="16"/>
      <c r="H68" s="19" t="n">
        <f aca="false">LEN(IF(F68&lt;&gt;"",F68,D68))</f>
        <v>35</v>
      </c>
      <c r="I68" s="24" t="str">
        <f aca="false">IF(OR(H68&lt;1,H68&gt;400),"분량 확인","")</f>
        <v/>
      </c>
    </row>
    <row r="69" customFormat="false" ht="48" hidden="false" customHeight="true" outlineLevel="0" collapsed="false">
      <c r="A69" s="13" t="s">
        <v>4407</v>
      </c>
      <c r="B69" s="14" t="s">
        <v>4320</v>
      </c>
      <c r="C69" s="14" t="s">
        <v>4408</v>
      </c>
      <c r="D69" s="15" t="s">
        <v>4409</v>
      </c>
      <c r="E69" s="23" t="s">
        <v>19</v>
      </c>
      <c r="F69" s="16"/>
      <c r="G69" s="16"/>
      <c r="H69" s="19" t="n">
        <f aca="false">LEN(IF(F69&lt;&gt;"",F69,D69))</f>
        <v>87</v>
      </c>
      <c r="I69" s="24" t="str">
        <f aca="false">IF(OR(H69&lt;1,H69&gt;400),"분량 확인","")</f>
        <v/>
      </c>
    </row>
    <row r="70" customFormat="false" ht="33.75" hidden="false" customHeight="true" outlineLevel="0" collapsed="false">
      <c r="A70" s="13" t="s">
        <v>4410</v>
      </c>
      <c r="B70" s="14" t="s">
        <v>4320</v>
      </c>
      <c r="C70" s="14" t="s">
        <v>4411</v>
      </c>
      <c r="D70" s="15" t="s">
        <v>4412</v>
      </c>
      <c r="E70" s="23" t="s">
        <v>19</v>
      </c>
      <c r="F70" s="16"/>
      <c r="G70" s="16"/>
      <c r="H70" s="19" t="n">
        <f aca="false">LEN(IF(F70&lt;&gt;"",F70,D70))</f>
        <v>29</v>
      </c>
      <c r="I70" s="24" t="str">
        <f aca="false">IF(OR(H70&lt;1,H70&gt;400),"분량 확인","")</f>
        <v/>
      </c>
    </row>
    <row r="71" customFormat="false" ht="33.75" hidden="false" customHeight="true" outlineLevel="0" collapsed="false">
      <c r="A71" s="13" t="s">
        <v>4413</v>
      </c>
      <c r="B71" s="14" t="s">
        <v>4320</v>
      </c>
      <c r="C71" s="14" t="s">
        <v>4414</v>
      </c>
      <c r="D71" s="15" t="s">
        <v>4415</v>
      </c>
      <c r="E71" s="23" t="s">
        <v>19</v>
      </c>
      <c r="F71" s="16"/>
      <c r="G71" s="16"/>
      <c r="H71" s="19" t="n">
        <f aca="false">LEN(IF(F71&lt;&gt;"",F71,D71))</f>
        <v>28</v>
      </c>
      <c r="I71" s="24" t="str">
        <f aca="false">IF(OR(H71&lt;1,H71&gt;400),"분량 확인","")</f>
        <v/>
      </c>
    </row>
    <row r="72" customFormat="false" ht="48" hidden="false" customHeight="true" outlineLevel="0" collapsed="false">
      <c r="A72" s="13" t="s">
        <v>4416</v>
      </c>
      <c r="B72" s="14" t="s">
        <v>4320</v>
      </c>
      <c r="C72" s="14" t="s">
        <v>4417</v>
      </c>
      <c r="D72" s="14" t="s">
        <v>4418</v>
      </c>
      <c r="E72" s="23" t="s">
        <v>19</v>
      </c>
      <c r="F72" s="16"/>
      <c r="G72" s="16"/>
      <c r="H72" s="19" t="n">
        <f aca="false">LEN(IF(F72&lt;&gt;"",F72,D72))</f>
        <v>74</v>
      </c>
      <c r="I72" s="24" t="str">
        <f aca="false">IF(OR(H72&lt;1,H72&gt;400),"분량 확인","")</f>
        <v/>
      </c>
    </row>
    <row r="73" customFormat="false" ht="19.5" hidden="false" customHeight="true" outlineLevel="0" collapsed="false">
      <c r="A73" s="13" t="s">
        <v>4419</v>
      </c>
      <c r="B73" s="14" t="s">
        <v>4320</v>
      </c>
      <c r="C73" s="14" t="s">
        <v>4420</v>
      </c>
      <c r="D73" s="14" t="s">
        <v>4421</v>
      </c>
      <c r="E73" s="23" t="s">
        <v>19</v>
      </c>
      <c r="F73" s="16"/>
      <c r="G73" s="16"/>
      <c r="H73" s="19" t="n">
        <f aca="false">LEN(IF(F73&lt;&gt;"",F73,D73))</f>
        <v>5</v>
      </c>
      <c r="I73" s="24" t="str">
        <f aca="false">IF(OR(H73&lt;1,H73&gt;400),"분량 확인","")</f>
        <v/>
      </c>
    </row>
    <row r="74" customFormat="false" ht="33.75" hidden="false" customHeight="true" outlineLevel="0" collapsed="false">
      <c r="A74" s="13" t="s">
        <v>4422</v>
      </c>
      <c r="B74" s="14" t="s">
        <v>4320</v>
      </c>
      <c r="C74" s="14" t="s">
        <v>4423</v>
      </c>
      <c r="D74" s="15" t="s">
        <v>4424</v>
      </c>
      <c r="E74" s="23" t="s">
        <v>19</v>
      </c>
      <c r="F74" s="16"/>
      <c r="G74" s="16"/>
      <c r="H74" s="19" t="n">
        <f aca="false">LEN(IF(F74&lt;&gt;"",F74,D74))</f>
        <v>13</v>
      </c>
      <c r="I74" s="24" t="str">
        <f aca="false">IF(OR(H74&lt;1,H74&gt;400),"분량 확인","")</f>
        <v/>
      </c>
    </row>
    <row r="75" customFormat="false" ht="33.75" hidden="false" customHeight="true" outlineLevel="0" collapsed="false">
      <c r="A75" s="13" t="s">
        <v>4425</v>
      </c>
      <c r="B75" s="14" t="s">
        <v>4320</v>
      </c>
      <c r="C75" s="14" t="s">
        <v>4426</v>
      </c>
      <c r="D75" s="15" t="s">
        <v>4427</v>
      </c>
      <c r="E75" s="23" t="s">
        <v>19</v>
      </c>
      <c r="F75" s="16"/>
      <c r="G75" s="16"/>
      <c r="H75" s="19" t="n">
        <f aca="false">LEN(IF(F75&lt;&gt;"",F75,D75))</f>
        <v>2</v>
      </c>
      <c r="I75" s="24" t="str">
        <f aca="false">IF(OR(H75&lt;1,H75&gt;400),"분량 확인","")</f>
        <v/>
      </c>
    </row>
    <row r="76" customFormat="false" ht="19.5" hidden="false" customHeight="true" outlineLevel="0" collapsed="false">
      <c r="A76" s="13" t="s">
        <v>4428</v>
      </c>
      <c r="B76" s="14" t="s">
        <v>4320</v>
      </c>
      <c r="C76" s="14" t="s">
        <v>4429</v>
      </c>
      <c r="D76" s="14" t="s">
        <v>4430</v>
      </c>
      <c r="E76" s="23" t="s">
        <v>19</v>
      </c>
      <c r="F76" s="16"/>
      <c r="G76" s="16"/>
      <c r="H76" s="19" t="n">
        <f aca="false">LEN(IF(F76&lt;&gt;"",F76,D76))</f>
        <v>3</v>
      </c>
      <c r="I76" s="24" t="str">
        <f aca="false">IF(OR(H76&lt;1,H76&gt;400),"분량 확인","")</f>
        <v/>
      </c>
    </row>
    <row r="77" customFormat="false" ht="33.75" hidden="false" customHeight="true" outlineLevel="0" collapsed="false">
      <c r="A77" s="13" t="s">
        <v>4431</v>
      </c>
      <c r="B77" s="14" t="s">
        <v>4320</v>
      </c>
      <c r="C77" s="14" t="s">
        <v>4432</v>
      </c>
      <c r="D77" s="15" t="s">
        <v>4433</v>
      </c>
      <c r="E77" s="23" t="s">
        <v>19</v>
      </c>
      <c r="F77" s="16"/>
      <c r="G77" s="16"/>
      <c r="H77" s="19" t="n">
        <f aca="false">LEN(IF(F77&lt;&gt;"",F77,D77))</f>
        <v>15</v>
      </c>
      <c r="I77" s="24" t="str">
        <f aca="false">IF(OR(H77&lt;1,H77&gt;400),"분량 확인","")</f>
        <v/>
      </c>
    </row>
    <row r="78" customFormat="false" ht="33.75" hidden="false" customHeight="true" outlineLevel="0" collapsed="false">
      <c r="A78" s="13" t="s">
        <v>4434</v>
      </c>
      <c r="B78" s="14" t="s">
        <v>4320</v>
      </c>
      <c r="C78" s="14" t="s">
        <v>4435</v>
      </c>
      <c r="D78" s="15" t="s">
        <v>4427</v>
      </c>
      <c r="E78" s="23" t="s">
        <v>19</v>
      </c>
      <c r="F78" s="16"/>
      <c r="G78" s="16"/>
      <c r="H78" s="19" t="n">
        <f aca="false">LEN(IF(F78&lt;&gt;"",F78,D78))</f>
        <v>2</v>
      </c>
      <c r="I78" s="24" t="str">
        <f aca="false">IF(OR(H78&lt;1,H78&gt;400),"분량 확인","")</f>
        <v/>
      </c>
    </row>
    <row r="79" customFormat="false" ht="19.5" hidden="false" customHeight="true" outlineLevel="0" collapsed="false">
      <c r="A79" s="13" t="s">
        <v>4436</v>
      </c>
      <c r="B79" s="14" t="s">
        <v>4320</v>
      </c>
      <c r="C79" s="14" t="s">
        <v>4437</v>
      </c>
      <c r="D79" s="14" t="s">
        <v>4438</v>
      </c>
      <c r="E79" s="23" t="s">
        <v>19</v>
      </c>
      <c r="F79" s="16"/>
      <c r="G79" s="16"/>
      <c r="H79" s="19" t="n">
        <f aca="false">LEN(IF(F79&lt;&gt;"",F79,D79))</f>
        <v>4</v>
      </c>
      <c r="I79" s="24" t="str">
        <f aca="false">IF(OR(H79&lt;1,H79&gt;400),"분량 확인","")</f>
        <v/>
      </c>
    </row>
    <row r="80" customFormat="false" ht="33.75" hidden="false" customHeight="true" outlineLevel="0" collapsed="false">
      <c r="A80" s="13" t="s">
        <v>4439</v>
      </c>
      <c r="B80" s="14" t="s">
        <v>4320</v>
      </c>
      <c r="C80" s="14" t="s">
        <v>4440</v>
      </c>
      <c r="D80" s="15" t="s">
        <v>4441</v>
      </c>
      <c r="E80" s="23" t="s">
        <v>19</v>
      </c>
      <c r="F80" s="16"/>
      <c r="G80" s="16"/>
      <c r="H80" s="19" t="n">
        <f aca="false">LEN(IF(F80&lt;&gt;"",F80,D80))</f>
        <v>16</v>
      </c>
      <c r="I80" s="24" t="str">
        <f aca="false">IF(OR(H80&lt;1,H80&gt;400),"분량 확인","")</f>
        <v/>
      </c>
    </row>
    <row r="81" customFormat="false" ht="33.75" hidden="false" customHeight="true" outlineLevel="0" collapsed="false">
      <c r="A81" s="13" t="s">
        <v>4442</v>
      </c>
      <c r="B81" s="14" t="s">
        <v>4320</v>
      </c>
      <c r="C81" s="14" t="s">
        <v>4443</v>
      </c>
      <c r="D81" s="15" t="s">
        <v>4427</v>
      </c>
      <c r="E81" s="23" t="s">
        <v>19</v>
      </c>
      <c r="F81" s="16"/>
      <c r="G81" s="16"/>
      <c r="H81" s="19" t="n">
        <f aca="false">LEN(IF(F81&lt;&gt;"",F81,D81))</f>
        <v>2</v>
      </c>
      <c r="I81" s="24" t="str">
        <f aca="false">IF(OR(H81&lt;1,H81&gt;400),"분량 확인","")</f>
        <v/>
      </c>
    </row>
    <row r="82" customFormat="false" ht="19.5" hidden="false" customHeight="true" outlineLevel="0" collapsed="false">
      <c r="A82" s="13" t="s">
        <v>4444</v>
      </c>
      <c r="B82" s="14" t="s">
        <v>4320</v>
      </c>
      <c r="C82" s="14" t="s">
        <v>4445</v>
      </c>
      <c r="D82" s="14" t="s">
        <v>4446</v>
      </c>
      <c r="E82" s="23" t="s">
        <v>19</v>
      </c>
      <c r="F82" s="16"/>
      <c r="G82" s="16"/>
      <c r="H82" s="19" t="n">
        <f aca="false">LEN(IF(F82&lt;&gt;"",F82,D82))</f>
        <v>4</v>
      </c>
      <c r="I82" s="24" t="str">
        <f aca="false">IF(OR(H82&lt;1,H82&gt;400),"분량 확인","")</f>
        <v/>
      </c>
    </row>
    <row r="83" customFormat="false" ht="33.75" hidden="false" customHeight="true" outlineLevel="0" collapsed="false">
      <c r="A83" s="13" t="s">
        <v>4447</v>
      </c>
      <c r="B83" s="14" t="s">
        <v>4320</v>
      </c>
      <c r="C83" s="14" t="s">
        <v>4448</v>
      </c>
      <c r="D83" s="15" t="s">
        <v>4449</v>
      </c>
      <c r="E83" s="23" t="s">
        <v>19</v>
      </c>
      <c r="F83" s="16"/>
      <c r="G83" s="16"/>
      <c r="H83" s="19" t="n">
        <f aca="false">LEN(IF(F83&lt;&gt;"",F83,D83))</f>
        <v>17</v>
      </c>
      <c r="I83" s="24" t="str">
        <f aca="false">IF(OR(H83&lt;1,H83&gt;400),"분량 확인","")</f>
        <v/>
      </c>
    </row>
    <row r="84" customFormat="false" ht="33.75" hidden="false" customHeight="true" outlineLevel="0" collapsed="false">
      <c r="A84" s="13" t="s">
        <v>4450</v>
      </c>
      <c r="B84" s="14" t="s">
        <v>4320</v>
      </c>
      <c r="C84" s="14" t="s">
        <v>4451</v>
      </c>
      <c r="D84" s="15" t="s">
        <v>4427</v>
      </c>
      <c r="E84" s="23" t="s">
        <v>19</v>
      </c>
      <c r="F84" s="16"/>
      <c r="G84" s="16"/>
      <c r="H84" s="19" t="n">
        <f aca="false">LEN(IF(F84&lt;&gt;"",F84,D84))</f>
        <v>2</v>
      </c>
      <c r="I84" s="24" t="str">
        <f aca="false">IF(OR(H84&lt;1,H84&gt;400),"분량 확인","")</f>
        <v/>
      </c>
    </row>
    <row r="85" customFormat="false" ht="19.5" hidden="false" customHeight="true" outlineLevel="0" collapsed="false">
      <c r="A85" s="13" t="s">
        <v>4452</v>
      </c>
      <c r="B85" s="14" t="s">
        <v>4320</v>
      </c>
      <c r="C85" s="14" t="s">
        <v>4453</v>
      </c>
      <c r="D85" s="14" t="s">
        <v>4454</v>
      </c>
      <c r="E85" s="23" t="s">
        <v>19</v>
      </c>
      <c r="F85" s="16"/>
      <c r="G85" s="16"/>
      <c r="H85" s="19" t="n">
        <f aca="false">LEN(IF(F85&lt;&gt;"",F85,D85))</f>
        <v>5</v>
      </c>
      <c r="I85" s="24" t="str">
        <f aca="false">IF(OR(H85&lt;1,H85&gt;400),"분량 확인","")</f>
        <v/>
      </c>
    </row>
    <row r="86" customFormat="false" ht="33.75" hidden="false" customHeight="true" outlineLevel="0" collapsed="false">
      <c r="A86" s="13" t="s">
        <v>4455</v>
      </c>
      <c r="B86" s="14" t="s">
        <v>4320</v>
      </c>
      <c r="C86" s="14" t="s">
        <v>4456</v>
      </c>
      <c r="D86" s="15" t="s">
        <v>4457</v>
      </c>
      <c r="E86" s="23" t="s">
        <v>19</v>
      </c>
      <c r="F86" s="16"/>
      <c r="G86" s="16"/>
      <c r="H86" s="19" t="n">
        <f aca="false">LEN(IF(F86&lt;&gt;"",F86,D86))</f>
        <v>16</v>
      </c>
      <c r="I86" s="24" t="str">
        <f aca="false">IF(OR(H86&lt;1,H86&gt;400),"분량 확인","")</f>
        <v/>
      </c>
    </row>
    <row r="87" customFormat="false" ht="33.75" hidden="false" customHeight="true" outlineLevel="0" collapsed="false">
      <c r="A87" s="13" t="s">
        <v>4458</v>
      </c>
      <c r="B87" s="14" t="s">
        <v>4320</v>
      </c>
      <c r="C87" s="14" t="s">
        <v>4459</v>
      </c>
      <c r="D87" s="15" t="s">
        <v>4460</v>
      </c>
      <c r="E87" s="23" t="s">
        <v>19</v>
      </c>
      <c r="F87" s="16"/>
      <c r="G87" s="16"/>
      <c r="H87" s="19" t="n">
        <f aca="false">LEN(IF(F87&lt;&gt;"",F87,D87))</f>
        <v>5</v>
      </c>
      <c r="I87" s="24" t="str">
        <f aca="false">IF(OR(H87&lt;1,H87&gt;400),"분량 확인","")</f>
        <v/>
      </c>
    </row>
    <row r="88" customFormat="false" ht="48" hidden="false" customHeight="true" outlineLevel="0" collapsed="false">
      <c r="A88" s="13" t="s">
        <v>4461</v>
      </c>
      <c r="B88" s="14" t="s">
        <v>4320</v>
      </c>
      <c r="C88" s="14" t="s">
        <v>4462</v>
      </c>
      <c r="D88" s="15" t="s">
        <v>4463</v>
      </c>
      <c r="E88" s="23" t="s">
        <v>19</v>
      </c>
      <c r="F88" s="16"/>
      <c r="G88" s="16"/>
      <c r="H88" s="19" t="n">
        <f aca="false">LEN(IF(F88&lt;&gt;"",F88,D88))</f>
        <v>61</v>
      </c>
      <c r="I88" s="24" t="str">
        <f aca="false">IF(OR(H88&lt;1,H88&gt;400),"분량 확인","")</f>
        <v/>
      </c>
    </row>
    <row r="89" customFormat="false" ht="19.5" hidden="false" customHeight="true" outlineLevel="0" collapsed="false">
      <c r="A89" s="13" t="s">
        <v>4464</v>
      </c>
      <c r="B89" s="14" t="s">
        <v>4320</v>
      </c>
      <c r="C89" s="14" t="s">
        <v>4465</v>
      </c>
      <c r="D89" s="14" t="s">
        <v>4466</v>
      </c>
      <c r="E89" s="23" t="s">
        <v>19</v>
      </c>
      <c r="F89" s="16"/>
      <c r="G89" s="16"/>
      <c r="H89" s="19" t="n">
        <f aca="false">LEN(IF(F89&lt;&gt;"",F89,D89))</f>
        <v>5</v>
      </c>
      <c r="I89" s="24" t="str">
        <f aca="false">IF(OR(H89&lt;1,H89&gt;400),"분량 확인","")</f>
        <v/>
      </c>
    </row>
    <row r="90" customFormat="false" ht="33.75" hidden="false" customHeight="true" outlineLevel="0" collapsed="false">
      <c r="A90" s="13" t="s">
        <v>4467</v>
      </c>
      <c r="B90" s="14" t="s">
        <v>4320</v>
      </c>
      <c r="C90" s="14" t="s">
        <v>4468</v>
      </c>
      <c r="D90" s="15" t="s">
        <v>4469</v>
      </c>
      <c r="E90" s="23" t="s">
        <v>19</v>
      </c>
      <c r="F90" s="16"/>
      <c r="G90" s="16"/>
      <c r="H90" s="19" t="n">
        <f aca="false">LEN(IF(F90&lt;&gt;"",F90,D90))</f>
        <v>11</v>
      </c>
      <c r="I90" s="24" t="str">
        <f aca="false">IF(OR(H90&lt;1,H90&gt;400),"분량 확인","")</f>
        <v/>
      </c>
    </row>
    <row r="91" customFormat="false" ht="33.75" hidden="false" customHeight="true" outlineLevel="0" collapsed="false">
      <c r="A91" s="13" t="s">
        <v>4470</v>
      </c>
      <c r="B91" s="14" t="s">
        <v>4320</v>
      </c>
      <c r="C91" s="14" t="s">
        <v>4471</v>
      </c>
      <c r="D91" s="15" t="s">
        <v>4472</v>
      </c>
      <c r="E91" s="23" t="s">
        <v>19</v>
      </c>
      <c r="F91" s="16"/>
      <c r="G91" s="16"/>
      <c r="H91" s="19" t="n">
        <f aca="false">LEN(IF(F91&lt;&gt;"",F91,D91))</f>
        <v>2</v>
      </c>
      <c r="I91" s="24" t="str">
        <f aca="false">IF(OR(H91&lt;1,H91&gt;400),"분량 확인","")</f>
        <v/>
      </c>
    </row>
    <row r="92" customFormat="false" ht="33.75" hidden="false" customHeight="true" outlineLevel="0" collapsed="false">
      <c r="A92" s="13" t="s">
        <v>4473</v>
      </c>
      <c r="B92" s="14" t="s">
        <v>4320</v>
      </c>
      <c r="C92" s="14" t="s">
        <v>4474</v>
      </c>
      <c r="D92" s="15" t="s">
        <v>4475</v>
      </c>
      <c r="E92" s="23" t="s">
        <v>19</v>
      </c>
      <c r="F92" s="16"/>
      <c r="G92" s="16"/>
      <c r="H92" s="19" t="n">
        <f aca="false">LEN(IF(F92&lt;&gt;"",F92,D92))</f>
        <v>37</v>
      </c>
      <c r="I92" s="24" t="str">
        <f aca="false">IF(OR(H92&lt;1,H92&gt;400),"분량 확인","")</f>
        <v/>
      </c>
    </row>
    <row r="93" customFormat="false" ht="19.5" hidden="false" customHeight="true" outlineLevel="0" collapsed="false">
      <c r="A93" s="13" t="s">
        <v>4476</v>
      </c>
      <c r="B93" s="14" t="s">
        <v>4320</v>
      </c>
      <c r="C93" s="14" t="s">
        <v>4477</v>
      </c>
      <c r="D93" s="14" t="s">
        <v>4478</v>
      </c>
      <c r="E93" s="23" t="s">
        <v>19</v>
      </c>
      <c r="F93" s="16"/>
      <c r="G93" s="16"/>
      <c r="H93" s="19" t="n">
        <f aca="false">LEN(IF(F93&lt;&gt;"",F93,D93))</f>
        <v>4</v>
      </c>
      <c r="I93" s="24" t="str">
        <f aca="false">IF(OR(H93&lt;1,H93&gt;400),"분량 확인","")</f>
        <v/>
      </c>
    </row>
    <row r="94" customFormat="false" ht="33.75" hidden="false" customHeight="true" outlineLevel="0" collapsed="false">
      <c r="A94" s="13" t="s">
        <v>4479</v>
      </c>
      <c r="B94" s="14" t="s">
        <v>4320</v>
      </c>
      <c r="C94" s="14" t="s">
        <v>4480</v>
      </c>
      <c r="D94" s="15" t="s">
        <v>4481</v>
      </c>
      <c r="E94" s="23" t="s">
        <v>19</v>
      </c>
      <c r="F94" s="16"/>
      <c r="G94" s="16"/>
      <c r="H94" s="19" t="n">
        <f aca="false">LEN(IF(F94&lt;&gt;"",F94,D94))</f>
        <v>6</v>
      </c>
      <c r="I94" s="24" t="str">
        <f aca="false">IF(OR(H94&lt;1,H94&gt;400),"분량 확인","")</f>
        <v/>
      </c>
    </row>
    <row r="95" customFormat="false" ht="33.75" hidden="false" customHeight="true" outlineLevel="0" collapsed="false">
      <c r="A95" s="13" t="s">
        <v>4482</v>
      </c>
      <c r="B95" s="14" t="s">
        <v>4320</v>
      </c>
      <c r="C95" s="14" t="s">
        <v>4483</v>
      </c>
      <c r="D95" s="15" t="s">
        <v>4472</v>
      </c>
      <c r="E95" s="23" t="s">
        <v>19</v>
      </c>
      <c r="F95" s="16"/>
      <c r="G95" s="16"/>
      <c r="H95" s="19" t="n">
        <f aca="false">LEN(IF(F95&lt;&gt;"",F95,D95))</f>
        <v>2</v>
      </c>
      <c r="I95" s="24" t="str">
        <f aca="false">IF(OR(H95&lt;1,H95&gt;400),"분량 확인","")</f>
        <v/>
      </c>
    </row>
    <row r="96" customFormat="false" ht="33.75" hidden="false" customHeight="true" outlineLevel="0" collapsed="false">
      <c r="A96" s="13" t="s">
        <v>4484</v>
      </c>
      <c r="B96" s="14" t="s">
        <v>4320</v>
      </c>
      <c r="C96" s="14" t="s">
        <v>4485</v>
      </c>
      <c r="D96" s="15" t="s">
        <v>4486</v>
      </c>
      <c r="E96" s="23" t="s">
        <v>19</v>
      </c>
      <c r="F96" s="16"/>
      <c r="G96" s="16"/>
      <c r="H96" s="19" t="n">
        <f aca="false">LEN(IF(F96&lt;&gt;"",F96,D96))</f>
        <v>40</v>
      </c>
      <c r="I96" s="24" t="str">
        <f aca="false">IF(OR(H96&lt;1,H96&gt;400),"분량 확인","")</f>
        <v/>
      </c>
    </row>
    <row r="97" customFormat="false" ht="19.5" hidden="false" customHeight="true" outlineLevel="0" collapsed="false">
      <c r="A97" s="13" t="s">
        <v>4487</v>
      </c>
      <c r="B97" s="14" t="s">
        <v>4320</v>
      </c>
      <c r="C97" s="14" t="s">
        <v>4488</v>
      </c>
      <c r="D97" s="14" t="s">
        <v>4489</v>
      </c>
      <c r="E97" s="23" t="s">
        <v>19</v>
      </c>
      <c r="F97" s="16"/>
      <c r="G97" s="16"/>
      <c r="H97" s="19" t="n">
        <f aca="false">LEN(IF(F97&lt;&gt;"",F97,D97))</f>
        <v>2</v>
      </c>
      <c r="I97" s="24" t="str">
        <f aca="false">IF(OR(H97&lt;1,H97&gt;400),"분량 확인","")</f>
        <v/>
      </c>
    </row>
    <row r="98" customFormat="false" ht="33.75" hidden="false" customHeight="true" outlineLevel="0" collapsed="false">
      <c r="A98" s="13" t="s">
        <v>4490</v>
      </c>
      <c r="B98" s="14" t="s">
        <v>4320</v>
      </c>
      <c r="C98" s="14" t="s">
        <v>4491</v>
      </c>
      <c r="D98" s="15" t="s">
        <v>4492</v>
      </c>
      <c r="E98" s="23" t="s">
        <v>19</v>
      </c>
      <c r="F98" s="16"/>
      <c r="G98" s="16"/>
      <c r="H98" s="19" t="n">
        <f aca="false">LEN(IF(F98&lt;&gt;"",F98,D98))</f>
        <v>14</v>
      </c>
      <c r="I98" s="24" t="str">
        <f aca="false">IF(OR(H98&lt;1,H98&gt;400),"분량 확인","")</f>
        <v/>
      </c>
    </row>
    <row r="99" customFormat="false" ht="33.75" hidden="false" customHeight="true" outlineLevel="0" collapsed="false">
      <c r="A99" s="13" t="s">
        <v>4493</v>
      </c>
      <c r="B99" s="14" t="s">
        <v>4320</v>
      </c>
      <c r="C99" s="14" t="s">
        <v>4494</v>
      </c>
      <c r="D99" s="15" t="s">
        <v>4472</v>
      </c>
      <c r="E99" s="23" t="s">
        <v>19</v>
      </c>
      <c r="F99" s="16"/>
      <c r="G99" s="16"/>
      <c r="H99" s="19" t="n">
        <f aca="false">LEN(IF(F99&lt;&gt;"",F99,D99))</f>
        <v>2</v>
      </c>
      <c r="I99" s="24" t="str">
        <f aca="false">IF(OR(H99&lt;1,H99&gt;400),"분량 확인","")</f>
        <v/>
      </c>
    </row>
    <row r="100" customFormat="false" ht="33.75" hidden="false" customHeight="true" outlineLevel="0" collapsed="false">
      <c r="A100" s="13" t="s">
        <v>4495</v>
      </c>
      <c r="B100" s="14" t="s">
        <v>4320</v>
      </c>
      <c r="C100" s="14" t="s">
        <v>4496</v>
      </c>
      <c r="D100" s="15" t="s">
        <v>4497</v>
      </c>
      <c r="E100" s="23" t="s">
        <v>19</v>
      </c>
      <c r="F100" s="16"/>
      <c r="G100" s="16"/>
      <c r="H100" s="19" t="n">
        <f aca="false">LEN(IF(F100&lt;&gt;"",F100,D100))</f>
        <v>27</v>
      </c>
      <c r="I100" s="24" t="str">
        <f aca="false">IF(OR(H100&lt;1,H100&gt;400),"분량 확인","")</f>
        <v/>
      </c>
    </row>
    <row r="101" customFormat="false" ht="19.5" hidden="false" customHeight="true" outlineLevel="0" collapsed="false">
      <c r="A101" s="13" t="s">
        <v>4498</v>
      </c>
      <c r="B101" s="14" t="s">
        <v>4320</v>
      </c>
      <c r="C101" s="14" t="s">
        <v>4499</v>
      </c>
      <c r="D101" s="14" t="s">
        <v>4500</v>
      </c>
      <c r="E101" s="23" t="s">
        <v>19</v>
      </c>
      <c r="F101" s="16"/>
      <c r="G101" s="16"/>
      <c r="H101" s="19" t="n">
        <f aca="false">LEN(IF(F101&lt;&gt;"",F101,D101))</f>
        <v>8</v>
      </c>
      <c r="I101" s="24" t="str">
        <f aca="false">IF(OR(H101&lt;1,H101&gt;400),"분량 확인","")</f>
        <v/>
      </c>
    </row>
    <row r="102" customFormat="false" ht="33.75" hidden="false" customHeight="true" outlineLevel="0" collapsed="false">
      <c r="A102" s="13" t="s">
        <v>4501</v>
      </c>
      <c r="B102" s="14" t="s">
        <v>4320</v>
      </c>
      <c r="C102" s="14" t="s">
        <v>4502</v>
      </c>
      <c r="D102" s="15" t="s">
        <v>4503</v>
      </c>
      <c r="E102" s="23" t="s">
        <v>19</v>
      </c>
      <c r="F102" s="16"/>
      <c r="G102" s="16"/>
      <c r="H102" s="19" t="n">
        <f aca="false">LEN(IF(F102&lt;&gt;"",F102,D102))</f>
        <v>10</v>
      </c>
      <c r="I102" s="24" t="str">
        <f aca="false">IF(OR(H102&lt;1,H102&gt;400),"분량 확인","")</f>
        <v/>
      </c>
    </row>
    <row r="103" customFormat="false" ht="33.75" hidden="false" customHeight="true" outlineLevel="0" collapsed="false">
      <c r="A103" s="13" t="s">
        <v>4504</v>
      </c>
      <c r="B103" s="14" t="s">
        <v>4320</v>
      </c>
      <c r="C103" s="14" t="s">
        <v>4505</v>
      </c>
      <c r="D103" s="15" t="s">
        <v>4472</v>
      </c>
      <c r="E103" s="23" t="s">
        <v>19</v>
      </c>
      <c r="F103" s="16"/>
      <c r="G103" s="16"/>
      <c r="H103" s="19" t="n">
        <f aca="false">LEN(IF(F103&lt;&gt;"",F103,D103))</f>
        <v>2</v>
      </c>
      <c r="I103" s="24" t="str">
        <f aca="false">IF(OR(H103&lt;1,H103&gt;400),"분량 확인","")</f>
        <v/>
      </c>
    </row>
    <row r="104" customFormat="false" ht="33.75" hidden="false" customHeight="true" outlineLevel="0" collapsed="false">
      <c r="A104" s="13" t="s">
        <v>4506</v>
      </c>
      <c r="B104" s="14" t="s">
        <v>4320</v>
      </c>
      <c r="C104" s="14" t="s">
        <v>4507</v>
      </c>
      <c r="D104" s="15" t="s">
        <v>4508</v>
      </c>
      <c r="E104" s="23" t="s">
        <v>19</v>
      </c>
      <c r="F104" s="16"/>
      <c r="G104" s="16"/>
      <c r="H104" s="19" t="n">
        <f aca="false">LEN(IF(F104&lt;&gt;"",F104,D104))</f>
        <v>35</v>
      </c>
      <c r="I104" s="24" t="str">
        <f aca="false">IF(OR(H104&lt;1,H104&gt;400),"분량 확인","")</f>
        <v/>
      </c>
    </row>
    <row r="105" customFormat="false" ht="19.5" hidden="false" customHeight="true" outlineLevel="0" collapsed="false">
      <c r="A105" s="13" t="s">
        <v>4509</v>
      </c>
      <c r="B105" s="14" t="s">
        <v>4320</v>
      </c>
      <c r="C105" s="14" t="s">
        <v>4510</v>
      </c>
      <c r="D105" s="14" t="s">
        <v>4511</v>
      </c>
      <c r="E105" s="23" t="s">
        <v>19</v>
      </c>
      <c r="F105" s="16"/>
      <c r="G105" s="16"/>
      <c r="H105" s="19" t="n">
        <f aca="false">LEN(IF(F105&lt;&gt;"",F105,D105))</f>
        <v>7</v>
      </c>
      <c r="I105" s="24" t="str">
        <f aca="false">IF(OR(H105&lt;1,H105&gt;400),"분량 확인","")</f>
        <v/>
      </c>
    </row>
    <row r="106" customFormat="false" ht="33.75" hidden="false" customHeight="true" outlineLevel="0" collapsed="false">
      <c r="A106" s="13" t="s">
        <v>4512</v>
      </c>
      <c r="B106" s="14" t="s">
        <v>4320</v>
      </c>
      <c r="C106" s="14" t="s">
        <v>4513</v>
      </c>
      <c r="D106" s="15" t="s">
        <v>4514</v>
      </c>
      <c r="E106" s="23" t="s">
        <v>19</v>
      </c>
      <c r="F106" s="16"/>
      <c r="G106" s="16"/>
      <c r="H106" s="19" t="n">
        <f aca="false">LEN(IF(F106&lt;&gt;"",F106,D106))</f>
        <v>14</v>
      </c>
      <c r="I106" s="24" t="str">
        <f aca="false">IF(OR(H106&lt;1,H106&gt;400),"분량 확인","")</f>
        <v/>
      </c>
    </row>
    <row r="107" customFormat="false" ht="33.75" hidden="false" customHeight="true" outlineLevel="0" collapsed="false">
      <c r="A107" s="13" t="s">
        <v>4515</v>
      </c>
      <c r="B107" s="14" t="s">
        <v>4320</v>
      </c>
      <c r="C107" s="14" t="s">
        <v>4516</v>
      </c>
      <c r="D107" s="15" t="s">
        <v>4472</v>
      </c>
      <c r="E107" s="23" t="s">
        <v>19</v>
      </c>
      <c r="F107" s="16"/>
      <c r="G107" s="16"/>
      <c r="H107" s="19" t="n">
        <f aca="false">LEN(IF(F107&lt;&gt;"",F107,D107))</f>
        <v>2</v>
      </c>
      <c r="I107" s="24" t="str">
        <f aca="false">IF(OR(H107&lt;1,H107&gt;400),"분량 확인","")</f>
        <v/>
      </c>
    </row>
    <row r="108" customFormat="false" ht="33.75" hidden="false" customHeight="true" outlineLevel="0" collapsed="false">
      <c r="A108" s="13" t="s">
        <v>4517</v>
      </c>
      <c r="B108" s="14" t="s">
        <v>4320</v>
      </c>
      <c r="C108" s="14" t="s">
        <v>4518</v>
      </c>
      <c r="D108" s="15" t="s">
        <v>4519</v>
      </c>
      <c r="E108" s="23" t="s">
        <v>19</v>
      </c>
      <c r="F108" s="16"/>
      <c r="G108" s="16"/>
      <c r="H108" s="19" t="n">
        <f aca="false">LEN(IF(F108&lt;&gt;"",F108,D108))</f>
        <v>25</v>
      </c>
      <c r="I108" s="24" t="str">
        <f aca="false">IF(OR(H108&lt;1,H108&gt;400),"분량 확인","")</f>
        <v/>
      </c>
    </row>
    <row r="109" customFormat="false" ht="48" hidden="false" customHeight="true" outlineLevel="0" collapsed="false">
      <c r="A109" s="13" t="s">
        <v>4520</v>
      </c>
      <c r="B109" s="14" t="s">
        <v>4320</v>
      </c>
      <c r="C109" s="14" t="s">
        <v>4521</v>
      </c>
      <c r="D109" s="15" t="s">
        <v>4522</v>
      </c>
      <c r="E109" s="23" t="s">
        <v>19</v>
      </c>
      <c r="F109" s="16"/>
      <c r="G109" s="16"/>
      <c r="H109" s="19" t="n">
        <f aca="false">LEN(IF(F109&lt;&gt;"",F109,D109))</f>
        <v>65</v>
      </c>
      <c r="I109" s="24" t="str">
        <f aca="false">IF(OR(H109&lt;1,H109&gt;400),"분량 확인","")</f>
        <v/>
      </c>
    </row>
    <row r="110" customFormat="false" ht="19.5" hidden="false" customHeight="true" outlineLevel="0" collapsed="false">
      <c r="A110" s="13" t="s">
        <v>4523</v>
      </c>
      <c r="B110" s="15" t="s">
        <v>4524</v>
      </c>
      <c r="C110" s="14" t="s">
        <v>4215</v>
      </c>
      <c r="D110" s="14" t="s">
        <v>4525</v>
      </c>
      <c r="E110" s="23" t="s">
        <v>19</v>
      </c>
      <c r="F110" s="16"/>
      <c r="G110" s="16"/>
      <c r="H110" s="19" t="n">
        <f aca="false">LEN(IF(F110&lt;&gt;"",F110,D110))</f>
        <v>23</v>
      </c>
      <c r="I110" s="24" t="str">
        <f aca="false">IF(OR(H110&lt;1,H110&gt;400),"분량 확인","")</f>
        <v/>
      </c>
    </row>
    <row r="111" customFormat="false" ht="19.5" hidden="false" customHeight="true" outlineLevel="0" collapsed="false">
      <c r="A111" s="13" t="s">
        <v>4526</v>
      </c>
      <c r="B111" s="15" t="s">
        <v>4524</v>
      </c>
      <c r="C111" s="14" t="s">
        <v>4218</v>
      </c>
      <c r="D111" s="15" t="s">
        <v>4527</v>
      </c>
      <c r="E111" s="23" t="s">
        <v>19</v>
      </c>
      <c r="F111" s="16"/>
      <c r="G111" s="16"/>
      <c r="H111" s="19" t="n">
        <f aca="false">LEN(IF(F111&lt;&gt;"",F111,D111))</f>
        <v>14</v>
      </c>
      <c r="I111" s="24" t="str">
        <f aca="false">IF(OR(H111&lt;1,H111&gt;400),"분량 확인","")</f>
        <v/>
      </c>
    </row>
    <row r="112" customFormat="false" ht="19.5" hidden="false" customHeight="true" outlineLevel="0" collapsed="false">
      <c r="A112" s="13" t="s">
        <v>4528</v>
      </c>
      <c r="B112" s="15" t="s">
        <v>4524</v>
      </c>
      <c r="C112" s="14" t="s">
        <v>4210</v>
      </c>
      <c r="D112" s="15" t="s">
        <v>4529</v>
      </c>
      <c r="E112" s="23" t="s">
        <v>19</v>
      </c>
      <c r="F112" s="16"/>
      <c r="G112" s="16"/>
      <c r="H112" s="19" t="n">
        <f aca="false">LEN(IF(F112&lt;&gt;"",F112,D112))</f>
        <v>8</v>
      </c>
      <c r="I112" s="24" t="str">
        <f aca="false">IF(OR(H112&lt;1,H112&gt;400),"분량 확인","")</f>
        <v/>
      </c>
    </row>
    <row r="113" customFormat="false" ht="61.5" hidden="false" customHeight="true" outlineLevel="0" collapsed="false">
      <c r="A113" s="13" t="s">
        <v>4530</v>
      </c>
      <c r="B113" s="15" t="s">
        <v>4531</v>
      </c>
      <c r="C113" s="15" t="s">
        <v>4532</v>
      </c>
      <c r="D113" s="15" t="s">
        <v>4533</v>
      </c>
      <c r="E113" s="23" t="s">
        <v>19</v>
      </c>
      <c r="F113" s="16"/>
      <c r="G113" s="16"/>
      <c r="H113" s="19" t="n">
        <f aca="false">LEN(IF(F113&lt;&gt;"",F113,D113))</f>
        <v>105</v>
      </c>
      <c r="I113" s="24" t="str">
        <f aca="false">IF(OR(H113&lt;1,H113&gt;400),"분량 확인","")</f>
        <v/>
      </c>
    </row>
    <row r="114" customFormat="false" ht="19.5" hidden="false" customHeight="true" outlineLevel="0" collapsed="false">
      <c r="A114" s="13" t="s">
        <v>4534</v>
      </c>
      <c r="B114" s="15" t="s">
        <v>4535</v>
      </c>
      <c r="C114" s="14" t="s">
        <v>4536</v>
      </c>
      <c r="D114" s="15" t="s">
        <v>4537</v>
      </c>
      <c r="E114" s="23" t="s">
        <v>19</v>
      </c>
      <c r="F114" s="16"/>
      <c r="G114" s="16"/>
      <c r="H114" s="19" t="n">
        <f aca="false">LEN(IF(F114&lt;&gt;"",F114,D114))</f>
        <v>28</v>
      </c>
      <c r="I114" s="24" t="str">
        <f aca="false">IF(OR(H114&lt;1,H114&gt;400),"분량 확인","")</f>
        <v/>
      </c>
    </row>
    <row r="115" customFormat="false" ht="48" hidden="false" customHeight="true" outlineLevel="0" collapsed="false">
      <c r="A115" s="13" t="s">
        <v>4538</v>
      </c>
      <c r="B115" s="15" t="s">
        <v>4535</v>
      </c>
      <c r="C115" s="14" t="s">
        <v>4539</v>
      </c>
      <c r="D115" s="15" t="s">
        <v>4540</v>
      </c>
      <c r="E115" s="23" t="s">
        <v>19</v>
      </c>
      <c r="F115" s="16"/>
      <c r="G115" s="16"/>
      <c r="H115" s="19" t="n">
        <f aca="false">LEN(IF(F115&lt;&gt;"",F115,D115))</f>
        <v>71</v>
      </c>
      <c r="I115" s="24" t="str">
        <f aca="false">IF(OR(H115&lt;1,H115&gt;400),"분량 확인","")</f>
        <v/>
      </c>
    </row>
    <row r="116" customFormat="false" ht="33.75" hidden="false" customHeight="true" outlineLevel="0" collapsed="false">
      <c r="A116" s="13" t="s">
        <v>4541</v>
      </c>
      <c r="B116" s="15" t="s">
        <v>4535</v>
      </c>
      <c r="C116" s="14" t="s">
        <v>4542</v>
      </c>
      <c r="D116" s="15" t="s">
        <v>4543</v>
      </c>
      <c r="E116" s="23" t="s">
        <v>19</v>
      </c>
      <c r="F116" s="16"/>
      <c r="G116" s="16"/>
      <c r="H116" s="19" t="n">
        <f aca="false">LEN(IF(F116&lt;&gt;"",F116,D116))</f>
        <v>8</v>
      </c>
      <c r="I116" s="24" t="str">
        <f aca="false">IF(OR(H116&lt;1,H116&gt;400),"분량 확인","")</f>
        <v/>
      </c>
    </row>
    <row r="117" customFormat="false" ht="33.75" hidden="false" customHeight="true" outlineLevel="0" collapsed="false">
      <c r="A117" s="13" t="s">
        <v>180</v>
      </c>
      <c r="B117" s="15" t="s">
        <v>4535</v>
      </c>
      <c r="C117" s="14" t="s">
        <v>4544</v>
      </c>
      <c r="D117" s="14" t="s">
        <v>4545</v>
      </c>
      <c r="E117" s="23" t="s">
        <v>19</v>
      </c>
      <c r="F117" s="16"/>
      <c r="G117" s="17" t="s">
        <v>4546</v>
      </c>
      <c r="H117" s="19" t="n">
        <f aca="false">LEN(IF(F117&lt;&gt;"",F117,D117))</f>
        <v>3</v>
      </c>
      <c r="I117" s="24" t="str">
        <f aca="false">IF(OR(H117&lt;1,H117&gt;400),"분량 확인","")</f>
        <v/>
      </c>
    </row>
    <row r="118" customFormat="false" ht="33.75" hidden="false" customHeight="true" outlineLevel="0" collapsed="false">
      <c r="A118" s="13" t="s">
        <v>176</v>
      </c>
      <c r="B118" s="15" t="s">
        <v>4535</v>
      </c>
      <c r="C118" s="14" t="s">
        <v>4547</v>
      </c>
      <c r="D118" s="14" t="s">
        <v>179</v>
      </c>
      <c r="E118" s="23" t="s">
        <v>19</v>
      </c>
      <c r="F118" s="16"/>
      <c r="G118" s="17" t="s">
        <v>4548</v>
      </c>
      <c r="H118" s="19" t="n">
        <f aca="false">LEN(IF(F118&lt;&gt;"",F118,D118))</f>
        <v>4</v>
      </c>
      <c r="I118" s="24" t="str">
        <f aca="false">IF(OR(H118&lt;1,H118&gt;400),"분량 확인","")</f>
        <v/>
      </c>
    </row>
    <row r="119" customFormat="false" ht="33.75" hidden="false" customHeight="true" outlineLevel="0" collapsed="false">
      <c r="A119" s="13" t="s">
        <v>4549</v>
      </c>
      <c r="B119" s="15" t="s">
        <v>4535</v>
      </c>
      <c r="C119" s="14" t="s">
        <v>4550</v>
      </c>
      <c r="D119" s="15" t="s">
        <v>4551</v>
      </c>
      <c r="E119" s="23" t="s">
        <v>19</v>
      </c>
      <c r="F119" s="16"/>
      <c r="G119" s="16"/>
      <c r="H119" s="19" t="n">
        <f aca="false">LEN(IF(F119&lt;&gt;"",F119,D119))</f>
        <v>10</v>
      </c>
      <c r="I119" s="24" t="str">
        <f aca="false">IF(OR(H119&lt;1,H119&gt;400),"분량 확인","")</f>
        <v/>
      </c>
    </row>
    <row r="120" customFormat="false" ht="33.75" hidden="false" customHeight="true" outlineLevel="0" collapsed="false">
      <c r="A120" s="13" t="s">
        <v>4552</v>
      </c>
      <c r="B120" s="15" t="s">
        <v>4535</v>
      </c>
      <c r="C120" s="14" t="s">
        <v>4553</v>
      </c>
      <c r="D120" s="14" t="s">
        <v>4554</v>
      </c>
      <c r="E120" s="23" t="s">
        <v>19</v>
      </c>
      <c r="F120" s="16"/>
      <c r="G120" s="16"/>
      <c r="H120" s="19" t="n">
        <f aca="false">LEN(IF(F120&lt;&gt;"",F120,D120))</f>
        <v>9</v>
      </c>
      <c r="I120" s="24" t="str">
        <f aca="false">IF(OR(H120&lt;1,H120&gt;400),"분량 확인","")</f>
        <v/>
      </c>
    </row>
    <row r="121" customFormat="false" ht="33.75" hidden="false" customHeight="true" outlineLevel="0" collapsed="false">
      <c r="A121" s="13" t="s">
        <v>229</v>
      </c>
      <c r="B121" s="15" t="s">
        <v>4535</v>
      </c>
      <c r="C121" s="14" t="s">
        <v>4555</v>
      </c>
      <c r="D121" s="14" t="s">
        <v>179</v>
      </c>
      <c r="E121" s="23" t="s">
        <v>19</v>
      </c>
      <c r="F121" s="16"/>
      <c r="G121" s="17" t="s">
        <v>4556</v>
      </c>
      <c r="H121" s="19" t="n">
        <f aca="false">LEN(IF(F121&lt;&gt;"",F121,D121))</f>
        <v>4</v>
      </c>
      <c r="I121" s="24" t="str">
        <f aca="false">IF(OR(H121&lt;1,H121&gt;400),"분량 확인","")</f>
        <v/>
      </c>
    </row>
    <row r="122" customFormat="false" ht="33.75" hidden="false" customHeight="true" outlineLevel="0" collapsed="false">
      <c r="A122" s="13" t="s">
        <v>4557</v>
      </c>
      <c r="B122" s="15" t="s">
        <v>4535</v>
      </c>
      <c r="C122" s="14" t="s">
        <v>4558</v>
      </c>
      <c r="D122" s="15" t="s">
        <v>4559</v>
      </c>
      <c r="E122" s="23" t="s">
        <v>19</v>
      </c>
      <c r="F122" s="16"/>
      <c r="G122" s="16"/>
      <c r="H122" s="19" t="n">
        <f aca="false">LEN(IF(F122&lt;&gt;"",F122,D122))</f>
        <v>5</v>
      </c>
      <c r="I122" s="24" t="str">
        <f aca="false">IF(OR(H122&lt;1,H122&gt;400),"분량 확인","")</f>
        <v/>
      </c>
    </row>
    <row r="123" customFormat="false" ht="33.75" hidden="false" customHeight="true" outlineLevel="0" collapsed="false">
      <c r="A123" s="13" t="s">
        <v>4560</v>
      </c>
      <c r="B123" s="15" t="s">
        <v>4535</v>
      </c>
      <c r="C123" s="14" t="s">
        <v>4561</v>
      </c>
      <c r="D123" s="14" t="s">
        <v>4562</v>
      </c>
      <c r="E123" s="23" t="s">
        <v>19</v>
      </c>
      <c r="F123" s="16"/>
      <c r="G123" s="16"/>
      <c r="H123" s="19" t="n">
        <f aca="false">LEN(IF(F123&lt;&gt;"",F123,D123))</f>
        <v>9</v>
      </c>
      <c r="I123" s="24" t="str">
        <f aca="false">IF(OR(H123&lt;1,H123&gt;400),"분량 확인","")</f>
        <v/>
      </c>
    </row>
    <row r="124" customFormat="false" ht="19.5" hidden="false" customHeight="true" outlineLevel="0" collapsed="false">
      <c r="A124" s="13" t="s">
        <v>4563</v>
      </c>
      <c r="B124" s="15" t="s">
        <v>4535</v>
      </c>
      <c r="C124" s="14" t="s">
        <v>4564</v>
      </c>
      <c r="D124" s="15" t="s">
        <v>4565</v>
      </c>
      <c r="E124" s="23" t="s">
        <v>19</v>
      </c>
      <c r="F124" s="16"/>
      <c r="G124" s="16"/>
      <c r="H124" s="19" t="n">
        <f aca="false">LEN(IF(F124&lt;&gt;"",F124,D124))</f>
        <v>20</v>
      </c>
      <c r="I124" s="24" t="str">
        <f aca="false">IF(OR(H124&lt;1,H124&gt;400),"분량 확인","")</f>
        <v/>
      </c>
    </row>
    <row r="125" customFormat="false" ht="48" hidden="false" customHeight="true" outlineLevel="0" collapsed="false">
      <c r="A125" s="13" t="s">
        <v>540</v>
      </c>
      <c r="B125" s="15" t="s">
        <v>4535</v>
      </c>
      <c r="C125" s="14" t="s">
        <v>4566</v>
      </c>
      <c r="D125" s="15" t="s">
        <v>543</v>
      </c>
      <c r="E125" s="23" t="s">
        <v>19</v>
      </c>
      <c r="F125" s="16"/>
      <c r="G125" s="17" t="s">
        <v>4567</v>
      </c>
      <c r="H125" s="19" t="n">
        <f aca="false">LEN(IF(F125&lt;&gt;"",F125,D125))</f>
        <v>62</v>
      </c>
      <c r="I125" s="24" t="str">
        <f aca="false">IF(OR(H125&lt;1,H125&gt;400),"분량 확인","")</f>
        <v/>
      </c>
    </row>
    <row r="126" customFormat="false" ht="61.5" hidden="false" customHeight="true" outlineLevel="0" collapsed="false">
      <c r="A126" s="13" t="s">
        <v>183</v>
      </c>
      <c r="B126" s="15" t="s">
        <v>4535</v>
      </c>
      <c r="C126" s="14" t="s">
        <v>4568</v>
      </c>
      <c r="D126" s="15" t="s">
        <v>186</v>
      </c>
      <c r="E126" s="23" t="s">
        <v>19</v>
      </c>
      <c r="F126" s="16"/>
      <c r="G126" s="17" t="s">
        <v>4569</v>
      </c>
      <c r="H126" s="19" t="n">
        <f aca="false">LEN(IF(F126&lt;&gt;"",F126,D126))</f>
        <v>94</v>
      </c>
      <c r="I126" s="24" t="str">
        <f aca="false">IF(OR(H126&lt;1,H126&gt;400),"분량 확인","")</f>
        <v/>
      </c>
    </row>
    <row r="127" customFormat="false" ht="19.5" hidden="false" customHeight="true" outlineLevel="0" collapsed="false">
      <c r="A127" s="13" t="s">
        <v>4570</v>
      </c>
      <c r="B127" s="15" t="s">
        <v>4571</v>
      </c>
      <c r="C127" s="14" t="s">
        <v>4215</v>
      </c>
      <c r="D127" s="15" t="s">
        <v>4514</v>
      </c>
      <c r="E127" s="23" t="s">
        <v>19</v>
      </c>
      <c r="F127" s="16"/>
      <c r="G127" s="16"/>
      <c r="H127" s="19" t="n">
        <f aca="false">LEN(IF(F127&lt;&gt;"",F127,D127))</f>
        <v>14</v>
      </c>
      <c r="I127" s="24" t="str">
        <f aca="false">IF(OR(H127&lt;1,H127&gt;400),"분량 확인","")</f>
        <v/>
      </c>
    </row>
    <row r="128" customFormat="false" ht="75.75" hidden="false" customHeight="true" outlineLevel="0" collapsed="false">
      <c r="A128" s="13" t="s">
        <v>531</v>
      </c>
      <c r="B128" s="15" t="s">
        <v>4571</v>
      </c>
      <c r="C128" s="14" t="s">
        <v>4240</v>
      </c>
      <c r="D128" s="15" t="s">
        <v>4572</v>
      </c>
      <c r="E128" s="23" t="s">
        <v>19</v>
      </c>
      <c r="F128" s="16"/>
      <c r="G128" s="17" t="s">
        <v>4573</v>
      </c>
      <c r="H128" s="19" t="n">
        <f aca="false">LEN(IF(F128&lt;&gt;"",F128,D128))</f>
        <v>139</v>
      </c>
      <c r="I128" s="24" t="str">
        <f aca="false">IF(OR(H128&lt;1,H128&gt;400),"분량 확인","")</f>
        <v/>
      </c>
    </row>
    <row r="129" customFormat="false" ht="19.5" hidden="false" customHeight="true" outlineLevel="0" collapsed="false">
      <c r="A129" s="13" t="s">
        <v>4574</v>
      </c>
      <c r="B129" s="15" t="s">
        <v>4571</v>
      </c>
      <c r="C129" s="14" t="s">
        <v>4210</v>
      </c>
      <c r="D129" s="15" t="s">
        <v>4575</v>
      </c>
      <c r="E129" s="23" t="s">
        <v>19</v>
      </c>
      <c r="F129" s="16"/>
      <c r="G129" s="16"/>
      <c r="H129" s="19" t="n">
        <f aca="false">LEN(IF(F129&lt;&gt;"",F129,D129))</f>
        <v>15</v>
      </c>
      <c r="I129" s="24" t="str">
        <f aca="false">IF(OR(H129&lt;1,H129&gt;400),"분량 확인","")</f>
        <v/>
      </c>
    </row>
    <row r="130" customFormat="false" ht="33.75" hidden="false" customHeight="true" outlineLevel="0" collapsed="false">
      <c r="A130" s="13" t="s">
        <v>4576</v>
      </c>
      <c r="B130" s="15" t="s">
        <v>4577</v>
      </c>
      <c r="C130" s="14" t="s">
        <v>4165</v>
      </c>
      <c r="D130" s="15" t="s">
        <v>4578</v>
      </c>
      <c r="E130" s="23" t="s">
        <v>19</v>
      </c>
      <c r="F130" s="16"/>
      <c r="G130" s="16"/>
      <c r="H130" s="19" t="n">
        <f aca="false">LEN(IF(F130&lt;&gt;"",F130,D130))</f>
        <v>11</v>
      </c>
      <c r="I130" s="24" t="str">
        <f aca="false">IF(OR(H130&lt;1,H130&gt;400),"분량 확인","")</f>
        <v/>
      </c>
    </row>
    <row r="131" customFormat="false" ht="33.75" hidden="false" customHeight="true" outlineLevel="0" collapsed="false">
      <c r="A131" s="13" t="s">
        <v>4579</v>
      </c>
      <c r="B131" s="15" t="s">
        <v>4577</v>
      </c>
      <c r="C131" s="14" t="s">
        <v>4160</v>
      </c>
      <c r="D131" s="15" t="s">
        <v>4580</v>
      </c>
      <c r="E131" s="23" t="s">
        <v>19</v>
      </c>
      <c r="F131" s="16"/>
      <c r="G131" s="16"/>
      <c r="H131" s="19" t="n">
        <f aca="false">LEN(IF(F131&lt;&gt;"",F131,D131))</f>
        <v>16</v>
      </c>
      <c r="I131" s="24" t="str">
        <f aca="false">IF(OR(H131&lt;1,H131&gt;400),"분량 확인","")</f>
        <v/>
      </c>
    </row>
    <row r="132" customFormat="false" ht="33.75" hidden="false" customHeight="true" outlineLevel="0" collapsed="false">
      <c r="A132" s="13" t="s">
        <v>4581</v>
      </c>
      <c r="B132" s="15" t="s">
        <v>4577</v>
      </c>
      <c r="C132" s="14" t="s">
        <v>4582</v>
      </c>
      <c r="D132" s="15" t="s">
        <v>4583</v>
      </c>
      <c r="E132" s="23" t="s">
        <v>19</v>
      </c>
      <c r="F132" s="16"/>
      <c r="G132" s="16"/>
      <c r="H132" s="19" t="n">
        <f aca="false">LEN(IF(F132&lt;&gt;"",F132,D132))</f>
        <v>17</v>
      </c>
      <c r="I132" s="24" t="str">
        <f aca="false">IF(OR(H132&lt;1,H132&gt;400),"분량 확인","")</f>
        <v/>
      </c>
    </row>
    <row r="133" customFormat="false" ht="33.75" hidden="false" customHeight="true" outlineLevel="0" collapsed="false">
      <c r="A133" s="13" t="s">
        <v>4584</v>
      </c>
      <c r="B133" s="15" t="s">
        <v>4585</v>
      </c>
      <c r="C133" s="14" t="s">
        <v>4586</v>
      </c>
      <c r="D133" s="15" t="s">
        <v>4587</v>
      </c>
      <c r="E133" s="23" t="s">
        <v>19</v>
      </c>
      <c r="F133" s="16"/>
      <c r="G133" s="16"/>
      <c r="H133" s="19" t="n">
        <f aca="false">LEN(IF(F133&lt;&gt;"",F133,D133))</f>
        <v>18</v>
      </c>
      <c r="I133" s="24" t="str">
        <f aca="false">IF(OR(H133&lt;1,H133&gt;400),"분량 확인","")</f>
        <v/>
      </c>
    </row>
    <row r="134" customFormat="false" ht="33.75" hidden="false" customHeight="true" outlineLevel="0" collapsed="false">
      <c r="A134" s="13" t="s">
        <v>4588</v>
      </c>
      <c r="B134" s="15" t="s">
        <v>4585</v>
      </c>
      <c r="C134" s="14" t="s">
        <v>4589</v>
      </c>
      <c r="D134" s="15" t="s">
        <v>4590</v>
      </c>
      <c r="E134" s="23" t="s">
        <v>19</v>
      </c>
      <c r="F134" s="16"/>
      <c r="G134" s="16"/>
      <c r="H134" s="19" t="n">
        <f aca="false">LEN(IF(F134&lt;&gt;"",F134,D134))</f>
        <v>9</v>
      </c>
      <c r="I134" s="24" t="str">
        <f aca="false">IF(OR(H134&lt;1,H134&gt;400),"분량 확인","")</f>
        <v/>
      </c>
    </row>
    <row r="135" customFormat="false" ht="33.75" hidden="false" customHeight="true" outlineLevel="0" collapsed="false">
      <c r="A135" s="13" t="s">
        <v>4591</v>
      </c>
      <c r="B135" s="15" t="s">
        <v>4585</v>
      </c>
      <c r="C135" s="14" t="s">
        <v>4592</v>
      </c>
      <c r="D135" s="14" t="s">
        <v>4593</v>
      </c>
      <c r="E135" s="23" t="s">
        <v>19</v>
      </c>
      <c r="F135" s="16"/>
      <c r="G135" s="16"/>
      <c r="H135" s="19" t="n">
        <f aca="false">LEN(IF(F135&lt;&gt;"",F135,D135))</f>
        <v>17</v>
      </c>
      <c r="I135" s="24" t="str">
        <f aca="false">IF(OR(H135&lt;1,H135&gt;400),"분량 확인","")</f>
        <v/>
      </c>
    </row>
    <row r="136" customFormat="false" ht="33.75" hidden="false" customHeight="true" outlineLevel="0" collapsed="false">
      <c r="A136" s="13" t="s">
        <v>4594</v>
      </c>
      <c r="B136" s="15" t="s">
        <v>4585</v>
      </c>
      <c r="C136" s="14" t="s">
        <v>4595</v>
      </c>
      <c r="D136" s="14" t="s">
        <v>4596</v>
      </c>
      <c r="E136" s="23" t="s">
        <v>19</v>
      </c>
      <c r="F136" s="16"/>
      <c r="G136" s="16"/>
      <c r="H136" s="19" t="n">
        <f aca="false">LEN(IF(F136&lt;&gt;"",F136,D136))</f>
        <v>21</v>
      </c>
      <c r="I136" s="24" t="str">
        <f aca="false">IF(OR(H136&lt;1,H136&gt;400),"분량 확인","")</f>
        <v/>
      </c>
    </row>
    <row r="137" customFormat="false" ht="33.75" hidden="false" customHeight="true" outlineLevel="0" collapsed="false">
      <c r="A137" s="13" t="s">
        <v>4597</v>
      </c>
      <c r="B137" s="15" t="s">
        <v>4585</v>
      </c>
      <c r="C137" s="14" t="s">
        <v>4598</v>
      </c>
      <c r="D137" s="15" t="s">
        <v>4599</v>
      </c>
      <c r="E137" s="23" t="s">
        <v>19</v>
      </c>
      <c r="F137" s="16"/>
      <c r="G137" s="16"/>
      <c r="H137" s="19" t="n">
        <f aca="false">LEN(IF(F137&lt;&gt;"",F137,D137))</f>
        <v>22</v>
      </c>
      <c r="I137" s="24" t="str">
        <f aca="false">IF(OR(H137&lt;1,H137&gt;400),"분량 확인","")</f>
        <v/>
      </c>
    </row>
    <row r="138" customFormat="false" ht="33.75" hidden="false" customHeight="true" outlineLevel="0" collapsed="false">
      <c r="A138" s="13" t="s">
        <v>4600</v>
      </c>
      <c r="B138" s="15" t="s">
        <v>4585</v>
      </c>
      <c r="C138" s="14" t="s">
        <v>4601</v>
      </c>
      <c r="D138" s="15" t="s">
        <v>4602</v>
      </c>
      <c r="E138" s="23" t="s">
        <v>19</v>
      </c>
      <c r="F138" s="16"/>
      <c r="G138" s="16"/>
      <c r="H138" s="19" t="n">
        <f aca="false">LEN(IF(F138&lt;&gt;"",F138,D138))</f>
        <v>49</v>
      </c>
      <c r="I138" s="24" t="str">
        <f aca="false">IF(OR(H138&lt;1,H138&gt;400),"분량 확인","")</f>
        <v/>
      </c>
    </row>
    <row r="139" customFormat="false" ht="33.75" hidden="false" customHeight="true" outlineLevel="0" collapsed="false">
      <c r="A139" s="13" t="s">
        <v>4603</v>
      </c>
      <c r="B139" s="15" t="s">
        <v>4585</v>
      </c>
      <c r="C139" s="14" t="s">
        <v>4604</v>
      </c>
      <c r="D139" s="15" t="s">
        <v>4605</v>
      </c>
      <c r="E139" s="23" t="s">
        <v>19</v>
      </c>
      <c r="F139" s="16"/>
      <c r="G139" s="16"/>
      <c r="H139" s="19" t="n">
        <f aca="false">LEN(IF(F139&lt;&gt;"",F139,D139))</f>
        <v>47</v>
      </c>
      <c r="I139" s="24" t="str">
        <f aca="false">IF(OR(H139&lt;1,H139&gt;400),"분량 확인","")</f>
        <v/>
      </c>
    </row>
    <row r="140" customFormat="false" ht="33.75" hidden="false" customHeight="true" outlineLevel="0" collapsed="false">
      <c r="A140" s="13" t="s">
        <v>4606</v>
      </c>
      <c r="B140" s="15" t="s">
        <v>4585</v>
      </c>
      <c r="C140" s="14" t="s">
        <v>4607</v>
      </c>
      <c r="D140" s="15" t="s">
        <v>4608</v>
      </c>
      <c r="E140" s="23" t="s">
        <v>19</v>
      </c>
      <c r="F140" s="16"/>
      <c r="G140" s="16"/>
      <c r="H140" s="19" t="n">
        <f aca="false">LEN(IF(F140&lt;&gt;"",F140,D140))</f>
        <v>50</v>
      </c>
      <c r="I140" s="24" t="str">
        <f aca="false">IF(OR(H140&lt;1,H140&gt;400),"분량 확인","")</f>
        <v/>
      </c>
    </row>
    <row r="141" customFormat="false" ht="19.5" hidden="false" customHeight="true" outlineLevel="0" collapsed="false">
      <c r="A141" s="13" t="s">
        <v>4609</v>
      </c>
      <c r="B141" s="15" t="s">
        <v>4610</v>
      </c>
      <c r="C141" s="14" t="s">
        <v>4611</v>
      </c>
      <c r="D141" s="15" t="s">
        <v>4612</v>
      </c>
      <c r="E141" s="23" t="s">
        <v>19</v>
      </c>
      <c r="F141" s="16"/>
      <c r="G141" s="16"/>
      <c r="H141" s="19" t="n">
        <f aca="false">LEN(IF(F141&lt;&gt;"",F141,D141))</f>
        <v>18</v>
      </c>
      <c r="I141" s="24" t="str">
        <f aca="false">IF(OR(H141&lt;1,H141&gt;400),"분량 확인","")</f>
        <v/>
      </c>
    </row>
  </sheetData>
  <autoFilter ref="A1:I141"/>
  <conditionalFormatting sqref="E2:E141">
    <cfRule type="cellIs" priority="2" operator="equal" aboveAverage="0" equalAverage="0" bottom="0" percent="0" rank="0" text="" dxfId="5">
      <formula>"확정"</formula>
    </cfRule>
    <cfRule type="cellIs" priority="3" operator="equal" aboveAverage="0" equalAverage="0" bottom="0" percent="0" rank="0" text="" dxfId="6">
      <formula>"수정요청"</formula>
    </cfRule>
    <cfRule type="cellIs" priority="4" operator="equal" aboveAverage="0" equalAverage="0" bottom="0" percent="0" rank="0" text="" dxfId="7">
      <formula>"검수중"</formula>
    </cfRule>
    <cfRule type="cellIs" priority="5" operator="equal" aboveAverage="0" equalAverage="0" bottom="0" percent="0" rank="0" text="" dxfId="8">
      <formula>"삭제"</formula>
    </cfRule>
  </conditionalFormatting>
  <conditionalFormatting sqref="I2:I141">
    <cfRule type="expression" priority="6" aboveAverage="0" equalAverage="0" bottom="0" percent="0" rank="0" text="" dxfId="9">
      <formula>I2="분량 확인"</formula>
    </cfRule>
  </conditionalFormatting>
  <dataValidations count="1">
    <dataValidation allowBlank="false" error="초안 · 검수중 · 수정요청 · 확정 · 삭제 중에서 골라 주세요." errorStyle="stop" errorTitle="상태" operator="between" showDropDown="false" showErrorMessage="false" showInputMessage="false" sqref="E2:E141" type="list">
      <formula1>"초안,검수중,수정요청,확정,삭제"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2026-10-20T04:17:20Z</dcterms:created>
  <dc:creator>openpyxl</dc:creator>
  <dc:description/>
  <dc:language>en-US</dc:language>
  <cp:lastModifiedBy/>
  <dcterms:modified xsi:type="dcterms:W3CDTF">2026-10-20T04:17:20Z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