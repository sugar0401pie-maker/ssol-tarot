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어주세요" sheetId="1" state="visible" r:id="rId3"/>
    <sheet name="점검이력" sheetId="2" state="visible" r:id="rId4"/>
    <sheet name="위치해석" sheetId="3" state="visible" r:id="rId5"/>
    <sheet name="깊이읽기" sheetId="4" state="visible" r:id="rId6"/>
    <sheet name="핵심메시지" sheetId="5" state="visible" r:id="rId7"/>
    <sheet name="카드설명" sheetId="6" state="visible" r:id="rId8"/>
    <sheet name="상황질문" sheetId="7" state="visible" r:id="rId9"/>
    <sheet name="마무리" sheetId="8" state="visible" r:id="rId10"/>
    <sheet name="실천카드" sheetId="9" state="visible" r:id="rId11"/>
    <sheet name="웰니스처방" sheetId="10" state="visible" r:id="rId12"/>
    <sheet name="대체문장" sheetId="11" state="visible" r:id="rId13"/>
    <sheet name="안전키워드" sheetId="12" state="visible" r:id="rId14"/>
    <sheet name="감정문장" sheetId="13" state="visible" r:id="rId15"/>
    <sheet name="화면문구" sheetId="14" state="visible" r:id="rId16"/>
  </sheets>
  <definedNames>
    <definedName function="false" hidden="true" localSheetId="12" name="_xlnm._FilterDatabase" vbProcedure="false">감정문장!$A$1:$I$9</definedName>
    <definedName function="false" hidden="true" localSheetId="3" name="_xlnm._FilterDatabase" vbProcedure="false">깊이읽기!$A$1:$I$199</definedName>
    <definedName function="false" hidden="true" localSheetId="10" name="_xlnm._FilterDatabase" vbProcedure="false">대체문장!$A$1:$I$29</definedName>
    <definedName function="false" hidden="true" localSheetId="7" name="_xlnm._FilterDatabase" vbProcedure="false">마무리!$A$1:$I$45</definedName>
    <definedName function="false" hidden="true" localSheetId="6" name="_xlnm._FilterDatabase" vbProcedure="false">상황질문!$A$1:$I$89</definedName>
    <definedName function="false" hidden="true" localSheetId="8" name="_xlnm._FilterDatabase" vbProcedure="false">실천카드!$A$1:$I$265</definedName>
    <definedName function="false" hidden="true" localSheetId="11" name="_xlnm._FilterDatabase" vbProcedure="false">안전키워드!$A$1:$I$6</definedName>
    <definedName function="false" hidden="true" localSheetId="9" name="_xlnm._FilterDatabase" vbProcedure="false">웰니스처방!$A$1:$I$127</definedName>
    <definedName function="false" hidden="true" localSheetId="2" name="_xlnm._FilterDatabase" vbProcedure="false">위치해석!$A$1:$I$133</definedName>
    <definedName function="false" hidden="true" localSheetId="1" name="_xlnm._FilterDatabase" vbProcedure="false">점검이력!$A$1:$F$125</definedName>
    <definedName function="false" hidden="true" localSheetId="5" name="_xlnm._FilterDatabase" vbProcedure="false">카드설명!$A$1:$I$45</definedName>
    <definedName function="false" hidden="true" localSheetId="4" name="_xlnm._FilterDatabase" vbProcedure="false">핵심메시지!$A$1:$I$45</definedName>
    <definedName function="false" hidden="true" localSheetId="13" name="_xlnm._FilterDatabase" vbProcedure="false">화면문구!$A$1:$I$72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<sst xmlns="http://schemas.openxmlformats.org/spreadsheetml/2006/main" count="6351" uniqueCount="2854">
  <si>
    <r>
      <rPr>
        <b val="true"/>
        <sz val="16"/>
        <color rgb="FF012F53"/>
        <rFont val="Noto Sans CJK SC"/>
        <family val="2"/>
      </rPr>
      <t xml:space="preserve">쏠 타로 하우스 — 미리 써 두는 문장 </t>
    </r>
    <r>
      <rPr>
        <b val="true"/>
        <sz val="16"/>
        <color rgb="FF012F53"/>
        <rFont val="Malgun Gothic"/>
        <family val="0"/>
        <charset val="1"/>
      </rPr>
      <t xml:space="preserve">DB</t>
    </r>
  </si>
  <si>
    <r>
      <rPr>
        <sz val="10"/>
        <rFont val="Noto Sans CJK SC"/>
        <family val="2"/>
      </rPr>
      <t xml:space="preserve">기준 데이터</t>
    </r>
    <r>
      <rPr>
        <sz val="10"/>
        <rFont val="Malgun Gothic"/>
        <family val="0"/>
        <charset val="1"/>
      </rPr>
      <t xml:space="preserve">: tarot_data.json v2.5 (2026-10-07). </t>
    </r>
    <r>
      <rPr>
        <sz val="10"/>
        <rFont val="Noto Sans CJK SC"/>
        <family val="2"/>
      </rPr>
      <t xml:space="preserve">모든 문장은 </t>
    </r>
    <r>
      <rPr>
        <sz val="10"/>
        <rFont val="Malgun Gothic"/>
        <family val="0"/>
        <charset val="1"/>
      </rPr>
      <t xml:space="preserve">Claude </t>
    </r>
    <r>
      <rPr>
        <sz val="10"/>
        <rFont val="Noto Sans CJK SC"/>
        <family val="2"/>
      </rPr>
      <t xml:space="preserve">초안이며 상담사 검수 전입니다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결과 리포트는 이 문장들을 서버가 조립하고</t>
    </r>
    <r>
      <rPr>
        <sz val="10"/>
        <rFont val="Malgun Gothic"/>
        <family val="0"/>
        <charset val="1"/>
      </rPr>
      <t xml:space="preserve">, AI</t>
    </r>
    <r>
      <rPr>
        <sz val="10"/>
        <rFont val="Noto Sans CJK SC"/>
        <family val="2"/>
      </rPr>
      <t xml:space="preserve">는 고민 맞춤 한 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질문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이야기만 짧게 씁니다</t>
    </r>
    <r>
      <rPr>
        <sz val="10"/>
        <rFont val="Malgun Gothic"/>
        <family val="0"/>
        <charset val="1"/>
      </rPr>
      <t xml:space="preserve">.</t>
    </r>
  </si>
  <si>
    <t xml:space="preserve">쓰는 법</t>
  </si>
  <si>
    <r>
      <rPr>
        <sz val="10"/>
        <rFont val="Malgun Gothic"/>
        <family val="0"/>
        <charset val="1"/>
      </rPr>
      <t xml:space="preserve">1. </t>
    </r>
    <r>
      <rPr>
        <sz val="10"/>
        <rFont val="Noto Sans CJK SC"/>
        <family val="2"/>
      </rPr>
      <t xml:space="preserve">시트 하나를 열고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현재 문장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 읽습니다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노란 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상태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수정안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검수 메모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만 고쳐 주세요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</si>
  <si>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2. </t>
    </r>
    <r>
      <rPr>
        <sz val="10"/>
        <rFont val="Noto Sans CJK SC"/>
        <family val="2"/>
      </rPr>
      <t xml:space="preserve">그대로 써도 되면 상태를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확정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바꿉니다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고칠 문장은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수정안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에 새 문장을 쓰고 상태를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확정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둡니다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</si>
  <si>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3. </t>
    </r>
    <r>
      <rPr>
        <sz val="10"/>
        <rFont val="Noto Sans CJK SC"/>
        <family val="2"/>
      </rPr>
      <t xml:space="preserve">직접 고치기 어렵거나 의견만 남길 때는 상태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수정요청</t>
    </r>
    <r>
      <rPr>
        <sz val="10"/>
        <rFont val="Malgun Gothic"/>
        <family val="0"/>
        <charset val="1"/>
      </rPr>
      <t xml:space="preserve">' + '</t>
    </r>
    <r>
      <rPr>
        <sz val="10"/>
        <rFont val="Noto Sans CJK SC"/>
        <family val="2"/>
      </rPr>
      <t xml:space="preserve">검수 메모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에 이유를 적어 주세요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</si>
  <si>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4. '</t>
    </r>
    <r>
      <rPr>
        <sz val="10"/>
        <rFont val="Noto Sans CJK SC"/>
        <family val="2"/>
      </rPr>
      <t xml:space="preserve">현재 문장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ID </t>
    </r>
    <r>
      <rPr>
        <sz val="10"/>
        <rFont val="Noto Sans CJK SC"/>
        <family val="2"/>
      </rPr>
      <t xml:space="preserve">칸은 고치지 마세요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수정안이 있으면 수정안이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없으면 현재 문장이 최종 문장이 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</si>
  <si>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5. {name} · {nickname} </t>
    </r>
    <r>
      <rPr>
        <sz val="10"/>
        <rFont val="Noto Sans CJK SC"/>
        <family val="2"/>
      </rPr>
      <t xml:space="preserve">같은 중괄호는 닉네임 등이 들어갈 자리라 그대로 남겨 주세요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</si>
  <si>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6. '</t>
    </r>
    <r>
      <rPr>
        <sz val="10"/>
        <rFont val="Noto Sans CJK SC"/>
        <family val="2"/>
      </rPr>
      <t xml:space="preserve">분량 확인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뜨면 기준 글자 수를 벗어난 문장이에요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꼭 맞출 필요는 없지만 화면에서 너무 길거나 짧을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</si>
  <si>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7. </t>
    </r>
    <r>
      <rPr>
        <sz val="10"/>
        <rFont val="Noto Sans CJK SC"/>
        <family val="2"/>
      </rPr>
      <t xml:space="preserve">다 끝나면 파일을 돌려주세요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개발 쪽에서 </t>
    </r>
    <r>
      <rPr>
        <sz val="10"/>
        <rFont val="Malgun Gothic"/>
        <family val="0"/>
        <charset val="1"/>
      </rPr>
      <t xml:space="preserve">import_db.py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0"/>
        <charset val="1"/>
      </rPr>
      <t xml:space="preserve">tarot_data.json</t>
    </r>
    <r>
      <rPr>
        <sz val="10"/>
        <rFont val="Noto Sans CJK SC"/>
        <family val="2"/>
      </rPr>
      <t xml:space="preserve">에 한 번에 반영합니다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확정만 반영하는 옵션 있음</t>
    </r>
    <r>
      <rPr>
        <sz val="10"/>
        <rFont val="Malgun Gothic"/>
        <family val="0"/>
        <charset val="1"/>
      </rPr>
      <t xml:space="preserve">).</t>
    </r>
  </si>
  <si>
    <r>
      <rPr>
        <b val="true"/>
        <sz val="12"/>
        <color rgb="FF012F53"/>
        <rFont val="Noto Sans CJK SC"/>
        <family val="2"/>
      </rPr>
      <t xml:space="preserve">색 </t>
    </r>
    <r>
      <rPr>
        <b val="true"/>
        <sz val="12"/>
        <color rgb="FF012F53"/>
        <rFont val="Malgun Gothic"/>
        <family val="0"/>
        <charset val="1"/>
      </rPr>
      <t xml:space="preserve">· </t>
    </r>
    <r>
      <rPr>
        <b val="true"/>
        <sz val="12"/>
        <color rgb="FF012F53"/>
        <rFont val="Noto Sans CJK SC"/>
        <family val="2"/>
      </rPr>
      <t xml:space="preserve">상태</t>
    </r>
  </si>
  <si>
    <t xml:space="preserve">노란 칸</t>
  </si>
  <si>
    <r>
      <rPr>
        <sz val="10"/>
        <rFont val="Noto Sans CJK SC"/>
        <family val="2"/>
      </rPr>
      <t xml:space="preserve">검수자가 쓰는 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상태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수정안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검수 메모</t>
    </r>
    <r>
      <rPr>
        <sz val="10"/>
        <rFont val="Malgun Gothic"/>
        <family val="0"/>
        <charset val="1"/>
      </rPr>
      <t xml:space="preserve">)</t>
    </r>
  </si>
  <si>
    <t xml:space="preserve">확정</t>
  </si>
  <si>
    <r>
      <rPr>
        <sz val="10"/>
        <rFont val="Noto Sans CJK SC"/>
        <family val="2"/>
      </rPr>
      <t xml:space="preserve">이대로 결과에 쓴다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수정안이 있으면 수정안으로</t>
    </r>
    <r>
      <rPr>
        <sz val="10"/>
        <rFont val="Malgun Gothic"/>
        <family val="0"/>
        <charset val="1"/>
      </rPr>
      <t xml:space="preserve">)</t>
    </r>
  </si>
  <si>
    <t xml:space="preserve">수정요청</t>
  </si>
  <si>
    <t xml:space="preserve">고쳐야 하지만 수정안을 아직 못 씀 — 메모 확인</t>
  </si>
  <si>
    <t xml:space="preserve">검수중</t>
  </si>
  <si>
    <r>
      <rPr>
        <sz val="10"/>
        <rFont val="Noto Sans CJK SC"/>
        <family val="2"/>
      </rPr>
      <t xml:space="preserve">읽는 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나중에 다시 봄</t>
    </r>
  </si>
  <si>
    <t xml:space="preserve">초안</t>
  </si>
  <si>
    <r>
      <rPr>
        <sz val="10"/>
        <rFont val="Noto Sans CJK SC"/>
        <family val="2"/>
      </rPr>
      <t xml:space="preserve">아직 안 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처음 상태</t>
    </r>
    <r>
      <rPr>
        <sz val="10"/>
        <rFont val="Malgun Gothic"/>
        <family val="0"/>
        <charset val="1"/>
      </rPr>
      <t xml:space="preserve">)</t>
    </r>
  </si>
  <si>
    <t xml:space="preserve">삭제</t>
  </si>
  <si>
    <t xml:space="preserve">이 문장을 빼고 싶음 — 개발 쪽과 구조를 함께 바꿔야 해서 자동 반영되지 않음</t>
  </si>
  <si>
    <r>
      <rPr>
        <b val="true"/>
        <sz val="12"/>
        <color rgb="FF012F53"/>
        <rFont val="Noto Sans CJK SC"/>
        <family val="2"/>
      </rPr>
      <t xml:space="preserve">작성 예시 </t>
    </r>
    <r>
      <rPr>
        <b val="true"/>
        <sz val="12"/>
        <color rgb="FF012F53"/>
        <rFont val="Malgun Gothic"/>
        <family val="0"/>
        <charset val="1"/>
      </rPr>
      <t xml:space="preserve">(</t>
    </r>
    <r>
      <rPr>
        <b val="true"/>
        <sz val="12"/>
        <color rgb="FF012F53"/>
        <rFont val="Noto Sans CJK SC"/>
        <family val="2"/>
      </rPr>
      <t xml:space="preserve">실제 시트와 같은 칸 구성</t>
    </r>
    <r>
      <rPr>
        <b val="true"/>
        <sz val="12"/>
        <color rgb="FF012F53"/>
        <rFont val="Malgun Gothic"/>
        <family val="0"/>
        <charset val="1"/>
      </rPr>
      <t xml:space="preserve">)</t>
    </r>
  </si>
  <si>
    <t xml:space="preserve">ID</t>
  </si>
  <si>
    <r>
      <rPr>
        <b val="true"/>
        <sz val="10"/>
        <color rgb="FFFFFFFF"/>
        <rFont val="Noto Sans CJK SC"/>
        <family val="2"/>
      </rPr>
      <t xml:space="preserve">카드 </t>
    </r>
    <r>
      <rPr>
        <b val="true"/>
        <sz val="10"/>
        <color rgb="FFFFFFFF"/>
        <rFont val="Malgun Gothic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분류</t>
    </r>
  </si>
  <si>
    <t xml:space="preserve">항목</t>
  </si>
  <si>
    <r>
      <rPr>
        <b val="true"/>
        <sz val="10"/>
        <color rgb="FFFFFFFF"/>
        <rFont val="Noto Sans CJK SC"/>
        <family val="2"/>
      </rPr>
      <t xml:space="preserve">현재 문장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초안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</si>
  <si>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상태</t>
  </si>
  <si>
    <t xml:space="preserve">수정안</t>
  </si>
  <si>
    <t xml:space="preserve">검수 메모</t>
  </si>
  <si>
    <t xml:space="preserve">cards.12.positions.now</t>
  </si>
  <si>
    <r>
      <rPr>
        <sz val="10"/>
        <rFont val="Malgun Gothic"/>
        <family val="0"/>
        <charset val="1"/>
      </rPr>
      <t xml:space="preserve">12 </t>
    </r>
    <r>
      <rPr>
        <sz val="10"/>
        <rFont val="Noto Sans CJK SC"/>
        <family val="2"/>
      </rPr>
      <t xml:space="preserve">바위 위의 쉼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물범</t>
    </r>
  </si>
  <si>
    <r>
      <rPr>
        <sz val="10"/>
        <rFont val="Noto Sans CJK SC"/>
        <family val="2"/>
      </rPr>
      <t xml:space="preserve">지금의 마음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정방향</t>
    </r>
  </si>
  <si>
    <r>
      <rPr>
        <sz val="10"/>
        <rFont val="Noto Sans CJK SC"/>
        <family val="2"/>
      </rPr>
      <t xml:space="preserve">몸도 마음도 쉬고 싶다는 신호를 보내고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열심히 해 왔는데 생각만큼 앞으로 나아가지 않는 느낌이 들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</si>
  <si>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몸도 마음도 잠시 쉬어 가자는 신호를 보내고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열심히 달려왔는데 제자리인 것 같은 느낌이 들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</si>
  <si>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나아가지 않는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실패처럼 들려서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제자리인 것 같은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부드럽게</t>
    </r>
  </si>
  <si>
    <r>
      <rPr>
        <b val="true"/>
        <sz val="12"/>
        <color rgb="FF012F53"/>
        <rFont val="Noto Sans CJK SC"/>
        <family val="2"/>
      </rPr>
      <t xml:space="preserve">진행 현황 </t>
    </r>
    <r>
      <rPr>
        <b val="true"/>
        <sz val="12"/>
        <color rgb="FF012F53"/>
        <rFont val="Malgun Gothic"/>
        <family val="0"/>
        <charset val="1"/>
      </rPr>
      <t xml:space="preserve">(</t>
    </r>
    <r>
      <rPr>
        <b val="true"/>
        <sz val="12"/>
        <color rgb="FF012F53"/>
        <rFont val="Noto Sans CJK SC"/>
        <family val="2"/>
      </rPr>
      <t xml:space="preserve">자동 계산</t>
    </r>
    <r>
      <rPr>
        <b val="true"/>
        <sz val="12"/>
        <color rgb="FF012F53"/>
        <rFont val="Malgun Gothic"/>
        <family val="0"/>
        <charset val="1"/>
      </rPr>
      <t xml:space="preserve">)</t>
    </r>
  </si>
  <si>
    <t xml:space="preserve">시트</t>
  </si>
  <si>
    <t xml:space="preserve">무엇인가</t>
  </si>
  <si>
    <t xml:space="preserve">결과에서 쓰이는 곳</t>
  </si>
  <si>
    <t xml:space="preserve">단계</t>
  </si>
  <si>
    <t xml:space="preserve">문장 수</t>
  </si>
  <si>
    <t xml:space="preserve">확정 비율</t>
  </si>
  <si>
    <t xml:space="preserve">분량 확인</t>
  </si>
  <si>
    <t xml:space="preserve">위치해석</t>
  </si>
  <si>
    <r>
      <rPr>
        <sz val="10"/>
        <rFont val="Noto Sans CJK SC"/>
        <family val="2"/>
      </rPr>
      <t xml:space="preserve">카드 </t>
    </r>
    <r>
      <rPr>
        <sz val="10"/>
        <rFont val="Malgun Gothic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위치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곳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역방향 해석</t>
    </r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</si>
  <si>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2·3·4</t>
    </r>
    <r>
      <rPr>
        <sz val="10"/>
        <rFont val="Noto Sans CJK SC"/>
        <family val="2"/>
      </rPr>
      <t xml:space="preserve">번 카드 섹션 본문</t>
    </r>
  </si>
  <si>
    <r>
      <rPr>
        <sz val="10"/>
        <rFont val="Noto Sans CJK SC"/>
        <family val="2"/>
      </rPr>
      <t xml:space="preserve">출시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단계</t>
    </r>
  </si>
  <si>
    <t xml:space="preserve">깊이읽기</t>
  </si>
  <si>
    <r>
      <rPr>
        <sz val="10"/>
        <rFont val="Noto Sans CJK SC"/>
        <family val="2"/>
      </rPr>
      <t xml:space="preserve">카드 </t>
    </r>
    <r>
      <rPr>
        <sz val="10"/>
        <rFont val="Malgun Gothic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위치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곳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단락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역방향 공통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</si>
  <si>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2·3·4</t>
    </r>
    <r>
      <rPr>
        <sz val="10"/>
        <rFont val="Noto Sans CJK SC"/>
        <family val="2"/>
      </rPr>
      <t xml:space="preserve">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조금 더 들여다보기</t>
    </r>
    <r>
      <rPr>
        <sz val="10"/>
        <rFont val="Malgun Gothic"/>
        <family val="0"/>
        <charset val="1"/>
      </rPr>
      <t xml:space="preserve">'</t>
    </r>
  </si>
  <si>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단계 → 초안 완료</t>
    </r>
  </si>
  <si>
    <t xml:space="preserve">핵심메시지</t>
  </si>
  <si>
    <r>
      <rPr>
        <sz val="10"/>
        <rFont val="Noto Sans CJK SC"/>
        <family val="2"/>
      </rPr>
      <t xml:space="preserve">카드별 핵심 메시지 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역방향</t>
    </r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</si>
  <si>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2·3·4</t>
    </r>
    <r>
      <rPr>
        <sz val="10"/>
        <rFont val="Noto Sans CJK SC"/>
        <family val="2"/>
      </rPr>
      <t xml:space="preserve">번 카드명 아래 한 줄</t>
    </r>
  </si>
  <si>
    <t xml:space="preserve">카드설명</t>
  </si>
  <si>
    <r>
      <rPr>
        <sz val="10"/>
        <rFont val="Noto Sans CJK SC"/>
        <family val="2"/>
      </rPr>
      <t xml:space="preserve">카드별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어떤 카드인가요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두 문장</t>
    </r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</si>
  <si>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번 세 장 한눈에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카드 섹션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어떤 카드인가요</t>
    </r>
    <r>
      <rPr>
        <sz val="10"/>
        <rFont val="Malgun Gothic"/>
        <family val="0"/>
        <charset val="1"/>
      </rPr>
      <t xml:space="preserve">'</t>
    </r>
  </si>
  <si>
    <t xml:space="preserve">상황질문</t>
  </si>
  <si>
    <r>
      <rPr>
        <sz val="10"/>
        <rFont val="Noto Sans CJK SC"/>
        <family val="2"/>
      </rPr>
      <t xml:space="preserve">카드별 기본 질문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(AI </t>
    </r>
    <r>
      <rPr>
        <sz val="10"/>
        <rFont val="Noto Sans CJK SC"/>
        <family val="2"/>
      </rPr>
      <t xml:space="preserve">맞춤 질문이 없을 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</si>
  <si>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2·3·4</t>
    </r>
    <r>
      <rPr>
        <sz val="10"/>
        <rFont val="Noto Sans CJK SC"/>
        <family val="2"/>
      </rPr>
      <t xml:space="preserve">번 질문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</si>
  <si>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t xml:space="preserve">마무리</t>
  </si>
  <si>
    <t xml:space="preserve">세 번째 카드로 나왔을 때 마무리 문장</t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</si>
  <si>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번 이야기 뒤</t>
    </r>
  </si>
  <si>
    <t xml:space="preserve">실천카드</t>
  </si>
  <si>
    <r>
      <rPr>
        <sz val="10"/>
        <rFont val="Noto Sans CJK SC"/>
        <family val="2"/>
      </rPr>
      <t xml:space="preserve">카드별 실천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제목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방법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</t>
    </r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</si>
  <si>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7</t>
    </r>
    <r>
      <rPr>
        <sz val="10"/>
        <rFont val="Noto Sans CJK SC"/>
        <family val="2"/>
      </rPr>
      <t xml:space="preserve">번 이번 주 실천 카드</t>
    </r>
  </si>
  <si>
    <t xml:space="preserve">웰니스처방</t>
  </si>
  <si>
    <r>
      <rPr>
        <sz val="10"/>
        <rFont val="Noto Sans CJK SC"/>
        <family val="2"/>
      </rPr>
      <t xml:space="preserve">고민 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36 + </t>
    </r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6 × </t>
    </r>
    <r>
      <rPr>
        <sz val="10"/>
        <rFont val="Noto Sans CJK SC"/>
        <family val="2"/>
      </rPr>
      <t xml:space="preserve">제목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방법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</t>
    </r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</si>
  <si>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번 웰니스 처방</t>
    </r>
  </si>
  <si>
    <t xml:space="preserve">대체문장</t>
  </si>
  <si>
    <r>
      <rPr>
        <sz val="10"/>
        <rFont val="Malgun Gothic"/>
        <family val="0"/>
        <charset val="1"/>
      </rPr>
      <t xml:space="preserve">AI</t>
    </r>
    <r>
      <rPr>
        <sz val="10"/>
        <rFont val="Noto Sans CJK SC"/>
        <family val="2"/>
      </rPr>
      <t xml:space="preserve">가 실패하거나 고민을 적지 않았을 때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번에 들어가는 문장 — 고민 영역별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</si>
  <si>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번 이야기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내 고민에 대어 보면</t>
    </r>
  </si>
  <si>
    <r>
      <rPr>
        <sz val="10"/>
        <rFont val="Malgun Gothic"/>
        <family val="0"/>
        <charset val="1"/>
      </rPr>
      <t xml:space="preserve">v2.5 </t>
    </r>
    <r>
      <rPr>
        <sz val="10"/>
        <rFont val="Noto Sans CJK SC"/>
        <family val="2"/>
      </rPr>
      <t xml:space="preserve">신규</t>
    </r>
  </si>
  <si>
    <t xml:space="preserve">안전키워드</t>
  </si>
  <si>
    <r>
      <rPr>
        <sz val="10"/>
        <rFont val="Noto Sans CJK SC"/>
        <family val="2"/>
      </rPr>
      <t xml:space="preserve">고민 원문에서 찾는 위험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폭력 신호 단어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한 칸에 쉼표로</t>
    </r>
    <r>
      <rPr>
        <sz val="10"/>
        <rFont val="Malgun Gothic"/>
        <family val="0"/>
        <charset val="1"/>
      </rPr>
      <t xml:space="preserve">)</t>
    </r>
  </si>
  <si>
    <t xml:space="preserve">고민 제출 직후 안전 확인</t>
  </si>
  <si>
    <t xml:space="preserve">감정문장</t>
  </si>
  <si>
    <r>
      <rPr>
        <sz val="10"/>
        <rFont val="Noto Sans CJK SC"/>
        <family val="2"/>
      </rPr>
      <t xml:space="preserve">감정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한 문장</t>
    </r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</si>
  <si>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번 첫 번째 카드 섹션</t>
    </r>
  </si>
  <si>
    <t xml:space="preserve">화면문구</t>
  </si>
  <si>
    <t xml:space="preserve">인트로부터 결과까지 화면에 보이는 고정 문구</t>
  </si>
  <si>
    <t xml:space="preserve">각 화면</t>
  </si>
  <si>
    <t xml:space="preserve">합계</t>
  </si>
  <si>
    <r>
      <rPr>
        <sz val="9"/>
        <color rgb="FF5A6470"/>
        <rFont val="Noto Sans CJK SC"/>
        <family val="2"/>
      </rPr>
      <t xml:space="preserve">깊이읽기 시트</t>
    </r>
    <r>
      <rPr>
        <sz val="9"/>
        <color rgb="FF5A6470"/>
        <rFont val="Malgun Gothic"/>
        <family val="0"/>
        <charset val="1"/>
      </rPr>
      <t xml:space="preserve">(</t>
    </r>
    <r>
      <rPr>
        <sz val="9"/>
        <color rgb="FF5A6470"/>
        <rFont val="Noto Sans CJK SC"/>
        <family val="2"/>
      </rPr>
      <t xml:space="preserve">금색 탭</t>
    </r>
    <r>
      <rPr>
        <sz val="9"/>
        <color rgb="FF5A6470"/>
        <rFont val="Malgun Gothic"/>
        <family val="0"/>
        <charset val="1"/>
      </rPr>
      <t xml:space="preserve">)</t>
    </r>
    <r>
      <rPr>
        <sz val="9"/>
        <color rgb="FF5A6470"/>
        <rFont val="Noto Sans CJK SC"/>
        <family val="2"/>
      </rPr>
      <t xml:space="preserve">는 이번에 새로 쓴 </t>
    </r>
    <r>
      <rPr>
        <sz val="9"/>
        <color rgb="FF5A6470"/>
        <rFont val="Malgun Gothic"/>
        <family val="0"/>
        <charset val="1"/>
      </rPr>
      <t xml:space="preserve">2</t>
    </r>
    <r>
      <rPr>
        <sz val="9"/>
        <color rgb="FF5A6470"/>
        <rFont val="Noto Sans CJK SC"/>
        <family val="2"/>
      </rPr>
      <t xml:space="preserve">단계 초안입니다</t>
    </r>
    <r>
      <rPr>
        <sz val="9"/>
        <color rgb="FF5A6470"/>
        <rFont val="Malgun Gothic"/>
        <family val="0"/>
        <charset val="1"/>
      </rPr>
      <t xml:space="preserve">. </t>
    </r>
    <r>
      <rPr>
        <sz val="9"/>
        <color rgb="FF5A6470"/>
        <rFont val="Noto Sans CJK SC"/>
        <family val="2"/>
      </rPr>
      <t xml:space="preserve">역방향은 위치별 공통 단락 </t>
    </r>
    <r>
      <rPr>
        <sz val="9"/>
        <color rgb="FF5A6470"/>
        <rFont val="Malgun Gothic"/>
        <family val="0"/>
        <charset val="1"/>
      </rPr>
      <t xml:space="preserve">3</t>
    </r>
    <r>
      <rPr>
        <sz val="9"/>
        <color rgb="FF5A6470"/>
        <rFont val="Noto Sans CJK SC"/>
        <family val="2"/>
      </rPr>
      <t xml:space="preserve">개를 </t>
    </r>
    <r>
      <rPr>
        <sz val="9"/>
        <color rgb="FF5A6470"/>
        <rFont val="Malgun Gothic"/>
        <family val="0"/>
        <charset val="1"/>
      </rPr>
      <t xml:space="preserve">22</t>
    </r>
    <r>
      <rPr>
        <sz val="9"/>
        <color rgb="FF5A6470"/>
        <rFont val="Noto Sans CJK SC"/>
        <family val="2"/>
      </rPr>
      <t xml:space="preserve">장 모두에 씁니다</t>
    </r>
    <r>
      <rPr>
        <sz val="9"/>
        <color rgb="FF5A6470"/>
        <rFont val="Malgun Gothic"/>
        <family val="0"/>
        <charset val="1"/>
      </rPr>
      <t xml:space="preserve">.</t>
    </r>
  </si>
  <si>
    <t xml:space="preserve">구분</t>
  </si>
  <si>
    <t xml:space="preserve">처리</t>
  </si>
  <si>
    <t xml:space="preserve">무엇이 문제였나</t>
  </si>
  <si>
    <t xml:space="preserve">전</t>
  </si>
  <si>
    <r>
      <rPr>
        <b val="true"/>
        <sz val="10"/>
        <color rgb="FFFFFFFF"/>
        <rFont val="Noto Sans CJK SC"/>
        <family val="2"/>
      </rPr>
      <t xml:space="preserve">후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현재 문장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</si>
  <si>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cards.11.deep.step.0</t>
  </si>
  <si>
    <t xml:space="preserve">우려</t>
  </si>
  <si>
    <t xml:space="preserve">반영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</si>
  <si>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단정할 수 없는 부분이 많다는 걸 알게 돼요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단정이고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폭력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부당한 대우를 겪은 사람에게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네 해석일 수 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식으로 경험을 깎아내리는 말로 읽힐 수 있음</t>
    </r>
  </si>
  <si>
    <r>
      <rPr>
        <sz val="10"/>
        <rFont val="Noto Sans CJK SC"/>
        <family val="2"/>
      </rPr>
      <t xml:space="preserve">사실과 해석을 나누면 감정의 온도가 조금 내려가요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실제로 일어난 일과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일에 내가 붙인 의미를 따로 보면 생각보다 단정할 수 없는 부분이 많다는 걸 알게 돼요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</si>
  <si>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사실과 해석을 나누면 감정의 온도가 조금 내려가요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실제로 일어난 일과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일에 내가 붙인 의미를 따로 보면 어디까지가 사실이고 어디부터가 내 해석인지 조금 더 또렷해져요</t>
    </r>
    <r>
      <rPr>
        <sz val="10"/>
        <rFont val="Malgun Gothic"/>
        <family val="0"/>
        <charset val="1"/>
      </rPr>
      <t xml:space="preserve">.</t>
    </r>
  </si>
  <si>
    <t xml:space="preserve">cards.11.practices.0.why</t>
  </si>
  <si>
    <r>
      <rPr>
        <sz val="10"/>
        <rFont val="Noto Sans CJK SC"/>
        <family val="2"/>
      </rPr>
      <t xml:space="preserve">무겁게 하던 것이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일어난 일이 아니라 내 해석이었음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이라고 단정 — 실제로 힘든 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폭력 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겪는 사람에게 상처가 될 수 있음</t>
    </r>
  </si>
  <si>
    <r>
      <rPr>
        <sz val="10"/>
        <rFont val="Noto Sans CJK SC"/>
        <family val="2"/>
      </rPr>
      <t xml:space="preserve">사실과 해석을 떼어 놓으면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마음을 무겁게 하던 것이 일어난 일이 아니라 내 해석이었음을 알아차리기 쉬워져요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</si>
  <si>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사실과 해석을 떼어 놓으면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마음을 무겁게 하던 것 중 어디까지가 일어난 일이고 어디부터가 내 해석인지 알아차리기 쉬워져요</t>
    </r>
    <r>
      <rPr>
        <sz val="10"/>
        <rFont val="Malgun Gothic"/>
        <family val="0"/>
        <charset val="1"/>
      </rPr>
      <t xml:space="preserve">.</t>
    </r>
  </si>
  <si>
    <t xml:space="preserve">cards.13.core</t>
  </si>
  <si>
    <r>
      <rPr>
        <sz val="10"/>
        <rFont val="Malgun Gothic"/>
        <family val="0"/>
        <charset val="1"/>
      </rPr>
      <t xml:space="preserve">'-</t>
    </r>
    <r>
      <rPr>
        <sz val="10"/>
        <rFont val="Noto Sans CJK SC"/>
        <family val="2"/>
      </rPr>
      <t xml:space="preserve">아야 들어갈 수 있어요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지금 관계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직장을 떠나야 한다는 단정으로 읽힐 수 있음</t>
    </r>
  </si>
  <si>
    <r>
      <rPr>
        <sz val="10"/>
        <rFont val="Noto Sans CJK SC"/>
        <family val="2"/>
      </rPr>
      <t xml:space="preserve">맞지 않는 껍데기를 내려놓아야 새 집에 들어갈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</si>
  <si>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맞지 않는 껍데기를 내려놓을 때 새 집으로 옮겨 갈 수 있어요</t>
    </r>
    <r>
      <rPr>
        <sz val="10"/>
        <rFont val="Malgun Gothic"/>
        <family val="0"/>
        <charset val="1"/>
      </rPr>
      <t xml:space="preserve">.</t>
    </r>
  </si>
  <si>
    <t xml:space="preserve">cards.13.reversed.core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</si>
  <si>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끝내야 할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관계 종료 권유나 위기 상황에서 위험하게 읽힐 수 있음</t>
    </r>
  </si>
  <si>
    <r>
      <rPr>
        <sz val="10"/>
        <rFont val="Noto Sans CJK SC"/>
        <family val="2"/>
      </rPr>
      <t xml:space="preserve">끝내야 할 것을 아직 놓지 못하고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</si>
  <si>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내려놓을 것을 아직 놓지 못하고 있어요</t>
    </r>
    <r>
      <rPr>
        <sz val="10"/>
        <rFont val="Malgun Gothic"/>
        <family val="0"/>
        <charset val="1"/>
      </rPr>
      <t xml:space="preserve">.</t>
    </r>
  </si>
  <si>
    <t xml:space="preserve">cards.15.deep.hold.0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</si>
  <si>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 순간에는 분명 도움이 돼요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단정어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분명</t>
    </r>
    <r>
      <rPr>
        <sz val="10"/>
        <rFont val="Malgun Gothic"/>
        <family val="0"/>
        <charset val="1"/>
      </rPr>
      <t xml:space="preserve">'. </t>
    </r>
    <r>
      <rPr>
        <sz val="10"/>
        <rFont val="Noto Sans CJK SC"/>
        <family val="2"/>
      </rPr>
      <t xml:space="preserve">불안할 때 반복하는 습관에 자해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음주 등이 포함될 수 있어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분명 도움이 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말은 위험</t>
    </r>
  </si>
  <si>
    <r>
      <rPr>
        <sz val="10"/>
        <rFont val="Noto Sans CJK SC"/>
        <family val="2"/>
      </rPr>
      <t xml:space="preserve">불안할 때 반복하는 습관은 그 순간에는 분명 도움이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그래서 계속하게 되지만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습관이 길어지면 불안을 달래 주던 방법이 오히려 나를 붙잡는 끈이 되기도 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</si>
  <si>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불안할 때 반복하는 습관은 그 순간에는 잠깐 마음을 편하게 해 주기도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그래서 계속하게 되지만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습관이 길어지면 불안을 달래 주던 방법이 오히려 나를 붙잡는 끈이 되기도 해요</t>
    </r>
    <r>
      <rPr>
        <sz val="10"/>
        <rFont val="Malgun Gothic"/>
        <family val="0"/>
        <charset val="1"/>
      </rPr>
      <t xml:space="preserve">.</t>
    </r>
  </si>
  <si>
    <t xml:space="preserve">cards.16.deep.step.1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</si>
  <si>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연락 하나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다가가기형이 아닌 문장에서 연락을 권함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관계 붕괴 고민에서 상대에게 연락하라는 뜻으로 읽힐 수 있음</t>
    </r>
  </si>
  <si>
    <r>
      <rPr>
        <sz val="10"/>
        <rFont val="Noto Sans CJK SC"/>
        <family val="2"/>
      </rPr>
      <t xml:space="preserve">오늘 할 수 있는 가장 작은 한 조각을 정해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연락 하나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정리 하나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계획 한 줄이면 충분해요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매일 쌓은 조각을 기록해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무너진 자리 위에 무언가가 다시 자라고 있다는 걸 눈으로 확인할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</si>
  <si>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 할 수 있는 가장 작은 한 조각을 정해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확인 하나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정리 하나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계획 한 줄이면 충분해요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매일 쌓은 조각을 기록해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무너진 자리 위에 무언가가 다시 자라고 있다는 걸 눈으로 확인할 수 있어요</t>
    </r>
    <r>
      <rPr>
        <sz val="10"/>
        <rFont val="Malgun Gothic"/>
        <family val="0"/>
        <charset val="1"/>
      </rPr>
      <t xml:space="preserve">.</t>
    </r>
  </si>
  <si>
    <t xml:space="preserve">cards.17.core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</si>
  <si>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분명히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회복을 단정</t>
    </r>
  </si>
  <si>
    <r>
      <rPr>
        <sz val="10"/>
        <rFont val="Noto Sans CJK SC"/>
        <family val="2"/>
      </rPr>
      <t xml:space="preserve">천천히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그러나 분명히 회복은 일어나요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</si>
  <si>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그래도 조금씩 회복은 일어날 수 있어요</t>
    </r>
    <r>
      <rPr>
        <sz val="10"/>
        <rFont val="Malgun Gothic"/>
        <family val="0"/>
        <charset val="1"/>
      </rPr>
      <t xml:space="preserve">.</t>
    </r>
  </si>
  <si>
    <t xml:space="preserve">cards.18.practices.1.why</t>
  </si>
  <si>
    <r>
      <rPr>
        <sz val="10"/>
        <rFont val="Noto Sans CJK SC"/>
        <family val="2"/>
      </rPr>
      <t xml:space="preserve">걱정이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실제보다 커져 있었음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 전제로 단정 — 실제 위험이 있는 상황에서 위험을 축소하게 할 수 있음</t>
    </r>
  </si>
  <si>
    <r>
      <rPr>
        <sz val="10"/>
        <rFont val="Noto Sans CJK SC"/>
        <family val="2"/>
      </rPr>
      <t xml:space="preserve">막연한 걱정을 숫자로 적으면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머릿속 시나리오가 실제보다 커져 있었음을 알아차리기 쉬워져요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</si>
  <si>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막연한 걱정을 숫자로 적으면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머릿속 시나리오가 실제보다 커져 있지는 않은지 살펴보기 쉬워져요</t>
    </r>
    <r>
      <rPr>
        <sz val="10"/>
        <rFont val="Malgun Gothic"/>
        <family val="0"/>
        <charset val="1"/>
      </rPr>
      <t xml:space="preserve">.</t>
    </r>
  </si>
  <si>
    <t xml:space="preserve">cards.21.deep.step.1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</si>
  <si>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감사의 말을 전하고 싶은 사람</t>
    </r>
    <r>
      <rPr>
        <sz val="10"/>
        <rFont val="Malgun Gothic"/>
        <family val="0"/>
        <charset val="1"/>
      </rPr>
      <t xml:space="preserve">... </t>
    </r>
    <r>
      <rPr>
        <sz val="10"/>
        <rFont val="Noto Sans CJK SC"/>
        <family val="2"/>
      </rPr>
      <t xml:space="preserve">메시지를 보내 보는 것도 좋아요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다가가기형이 아닌 문장에서 상대에게 마음을 전하라는 제안</t>
    </r>
    <r>
      <rPr>
        <sz val="10"/>
        <rFont val="Malgun Gothic"/>
        <family val="0"/>
        <charset val="1"/>
      </rPr>
      <t xml:space="preserve">. '</t>
    </r>
    <r>
      <rPr>
        <sz val="10"/>
        <rFont val="Noto Sans CJK SC"/>
        <family val="2"/>
      </rPr>
      <t xml:space="preserve">함께한 것들이 다음 바다를 비춰 줄 거예요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예언형</t>
    </r>
  </si>
  <si>
    <r>
      <rPr>
        <sz val="10"/>
        <rFont val="Noto Sans CJK SC"/>
        <family val="2"/>
      </rPr>
      <t xml:space="preserve">이번 여정에서 고마웠던 사람과 순간을 세 가지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감사의 말을 전하고 싶은 사람이 떠오른다면 짧은 메시지를 보내 보는 것도 좋아요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바다 친구들이 둥글게 모이듯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함께한 것들이 다음 바다를 비춰 줄 거예요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</si>
  <si>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여정에서 고마웠던 사람과 순간을 세 가지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고마운 얼굴이 떠오른다면 마음속으로 감사의 말을 건네 보는 것도 좋아요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바다 친구들이 둥글게 모이듯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함께한 것들이 다음 바다를 비춰 줄 수 있어요</t>
    </r>
    <r>
      <rPr>
        <sz val="10"/>
        <rFont val="Malgun Gothic"/>
        <family val="0"/>
        <charset val="1"/>
      </rPr>
      <t xml:space="preserve">.</t>
    </r>
  </si>
  <si>
    <t xml:space="preserve">cards.3.practices.0.title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</si>
  <si>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자기자비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이론 용어</t>
    </r>
  </si>
  <si>
    <t xml:space="preserve">자기자비 쉼표</t>
  </si>
  <si>
    <t xml:space="preserve">나에게 다정한 쉼표</t>
  </si>
  <si>
    <t xml:space="preserve">cards.5.practices.0.how</t>
  </si>
  <si>
    <r>
      <rPr>
        <sz val="10"/>
        <rFont val="Noto Sans CJK SC"/>
        <family val="2"/>
      </rPr>
      <t xml:space="preserve">다가가기형으로 분류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문장 유지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</si>
  <si>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다가가기형이 아닌데 다른 사람에게 메시지를 보내라고 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폭력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통제 신호가 있어도 빠지지 않음</t>
    </r>
    <r>
      <rPr>
        <sz val="10"/>
        <rFont val="Malgun Gothic"/>
        <family val="0"/>
        <charset val="1"/>
      </rPr>
      <t xml:space="preserve">)</t>
    </r>
  </si>
  <si>
    <t xml:space="preserve">cards.5.practices.0.why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</si>
  <si>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묻는 것 자체가 외로움을 덜어 줘요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연락을 전제로 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다가가기형 아님</t>
    </r>
    <r>
      <rPr>
        <sz val="10"/>
        <rFont val="Malgun Gothic"/>
        <family val="0"/>
        <charset val="1"/>
      </rPr>
      <t xml:space="preserve">)</t>
    </r>
  </si>
  <si>
    <t xml:space="preserve">cards.5.reversed.core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</si>
  <si>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도움을 구하는 길이 닫혀 있어요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위기 상황에서 절망적으로 읽힘</t>
    </r>
  </si>
  <si>
    <r>
      <rPr>
        <sz val="10"/>
        <rFont val="Noto Sans CJK SC"/>
        <family val="2"/>
      </rPr>
      <t xml:space="preserve">도움을 구하는 길이 아직 닫혀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</si>
  <si>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도움을 구하는 문을 아직 두드리지 못하고 있어요</t>
    </r>
    <r>
      <rPr>
        <sz val="10"/>
        <rFont val="Malgun Gothic"/>
        <family val="0"/>
        <charset val="1"/>
      </rPr>
      <t xml:space="preserve">.</t>
    </r>
  </si>
  <si>
    <t xml:space="preserve">cards.6.deep.step.1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</si>
  <si>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관계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를 가치와 비교해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가까운 쪽을 고르면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관계 하나를 두고 읽으면 관계를 유지할지 끝낼지 고르라는 권유로 읽힐 수 있음</t>
    </r>
  </si>
  <si>
    <r>
      <rPr>
        <sz val="10"/>
        <rFont val="Noto Sans CJK SC"/>
        <family val="2"/>
      </rPr>
      <t xml:space="preserve">내가 소중히 여기는 가치 세 가지를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고민 중인 관계나 선택이 그 가치와 얼마나 가까운지 살펴보세요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가까운 쪽을 고르면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결과와 상관없이 그 선택을 내 것으로 받아들이기가 쉬워져요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</si>
  <si>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소중히 여기는 가치 세 가지를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고민 중인 관계나 선택이 그 가치와 얼마나 가까운지 살펴보세요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가치를 기준으로 삼으면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결과와 상관없이 내 선택을 내 것으로 받아들이기가 쉬워져요</t>
    </r>
    <r>
      <rPr>
        <sz val="10"/>
        <rFont val="Malgun Gothic"/>
        <family val="0"/>
        <charset val="1"/>
      </rPr>
      <t xml:space="preserve">.</t>
    </r>
  </si>
  <si>
    <t xml:space="preserve">cards.6.practices.1.how</t>
  </si>
  <si>
    <r>
      <rPr>
        <sz val="10"/>
        <rFont val="Noto Sans CJK SC"/>
        <family val="2"/>
      </rPr>
      <t xml:space="preserve">반영 </t>
    </r>
    <r>
      <rPr>
        <sz val="10"/>
        <rFont val="Malgun Gothic"/>
        <family val="0"/>
        <charset val="1"/>
      </rPr>
      <t xml:space="preserve">(Claude </t>
    </r>
    <r>
      <rPr>
        <sz val="10"/>
        <rFont val="Noto Sans CJK SC"/>
        <family val="2"/>
      </rPr>
      <t xml:space="preserve">조정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</si>
  <si>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누구에게 전하는지 빠져 있음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서운함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갈등을 상대에게 직접 말하게 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폭력 신호를 밝히지 않은 사용자에게는 위험할 수 있음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</si>
  <si>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나는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할 때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하게 느껴져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형식으로 내 마음 하나를 전해요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</si>
  <si>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편하게 말할 수 있는 사람에게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나는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할 때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하게 느껴져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형식으로 내 마음 하나를 전해요</t>
    </r>
    <r>
      <rPr>
        <sz val="10"/>
        <rFont val="Malgun Gothic"/>
        <family val="0"/>
        <charset val="1"/>
      </rPr>
      <t xml:space="preserve">.</t>
    </r>
  </si>
  <si>
    <t xml:space="preserve">cards.6.practices.1.title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</si>
  <si>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이론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기법명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전문 용어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</si>
  <si>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전달법 한 문장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</si>
  <si>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시작하는 한 문장</t>
    </r>
  </si>
  <si>
    <t xml:space="preserve">cards.8.closing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</si>
  <si>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불편함을 품는 시간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상황을 견디라는 뜻으로 읽힐 수 있음</t>
    </r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</si>
  <si>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불편함을 품는 시간이 나를 단단하게 만드는 진주가 될 수 있다는 점이에요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</si>
  <si>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불편한 감정을 품어 주는 시간이 나를 단단하게 만드는 진주가 될 수 있다는 점이에요</t>
    </r>
    <r>
      <rPr>
        <sz val="10"/>
        <rFont val="Malgun Gothic"/>
        <family val="0"/>
        <charset val="1"/>
      </rPr>
      <t xml:space="preserve">.</t>
    </r>
  </si>
  <si>
    <t xml:space="preserve">cards.8.core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</si>
  <si>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불편함을 품는 시간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상황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폭력 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참으라는 뜻으로 읽힐 수 있음</t>
    </r>
  </si>
  <si>
    <r>
      <rPr>
        <sz val="10"/>
        <rFont val="Noto Sans CJK SC"/>
        <family val="2"/>
      </rPr>
      <t xml:space="preserve">불편함을 품는 시간이 단단함을 만들어요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</si>
  <si>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불편한 감정을 품어 주는 시간이 단단함을 만들어요</t>
    </r>
    <r>
      <rPr>
        <sz val="10"/>
        <rFont val="Malgun Gothic"/>
        <family val="0"/>
        <charset val="1"/>
      </rPr>
      <t xml:space="preserve">.</t>
    </r>
  </si>
  <si>
    <t xml:space="preserve">cards.8.deep.now.0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</si>
  <si>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견뎌 온 당신의 마음은 이미 꽤 단단해져 있어요</t>
    </r>
    <r>
      <rPr>
        <sz val="10"/>
        <rFont val="Malgun Gothic"/>
        <family val="0"/>
        <charset val="1"/>
      </rPr>
      <t xml:space="preserve">' -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호칭에 단정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참고 견디는 것을 칭찬해 폭력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학대 상황에서 계속 견디라는 뜻으로 읽힐 수 있음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역방향 위치해석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견디는 것만이 강한 거라는 생각이 도움을 청하는 길을 막고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과도 결이 부딪힘</t>
    </r>
  </si>
  <si>
    <r>
      <rPr>
        <sz val="10"/>
        <rFont val="Noto Sans CJK SC"/>
        <family val="2"/>
      </rPr>
      <t xml:space="preserve">드러내지 않은 불편함을 품고 하루를 지켜 낸다는 건 생각보다 많은 힘이 드는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아무도 몰라도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시간을 견뎌 온 당신의 마음은 이미 꽤 단단해져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</si>
  <si>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드러내지 않은 불편함을 품고 하루를 지켜 낸다는 건 생각보다 많은 힘이 드는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아무도 몰라도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시간을 지나온 내 마음의 수고는 충분히 알아줄 만해요</t>
    </r>
    <r>
      <rPr>
        <sz val="10"/>
        <rFont val="Malgun Gothic"/>
        <family val="0"/>
        <charset val="1"/>
      </rPr>
      <t xml:space="preserve">.</t>
    </r>
  </si>
  <si>
    <t xml:space="preserve">cards.8.deep.step.0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</si>
  <si>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해결하지 못하는 시간이 오히려 마음의 결을 단단하게 다듬어 줘요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단정이고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고통을 견디는 시간이 이롭다는 뜻으로 읽혀 위기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폭력 상황에서 부적절할 수 있음</t>
    </r>
  </si>
  <si>
    <r>
      <rPr>
        <sz val="10"/>
        <rFont val="Noto Sans CJK SC"/>
        <family val="2"/>
      </rPr>
      <t xml:space="preserve">조개는 모래알을 뱉어 내지 못할 때 그것을 감싸 진주로 만들어요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불편함과 함께 있는 연습도 비슷해서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감정을 바로 해결하지 못하는 시간이 오히려 마음의 결을 단단하게 다듬어 줘요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</si>
  <si>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조개는 모래알을 뱉어 내지 못할 때 그것을 감싸 진주로 만들어요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불편함과 함께 있는 연습도 비슷해서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감정을 바로 해결하지 못하는 시간이 마음의 결을 단단하게 다듬어 줄 수 있어요</t>
    </r>
    <r>
      <rPr>
        <sz val="10"/>
        <rFont val="Malgun Gothic"/>
        <family val="0"/>
        <charset val="1"/>
      </rPr>
      <t xml:space="preserve">.</t>
    </r>
  </si>
  <si>
    <t xml:space="preserve">cards.8.positions.now</t>
  </si>
  <si>
    <r>
      <rPr>
        <sz val="10"/>
        <rFont val="Noto Sans CJK SC"/>
        <family val="2"/>
      </rPr>
      <t xml:space="preserve">견디는 것 자체를 힘으로 칭찬해 폭력 상황에서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참아라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읽힐 수 있음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</t>
    </r>
  </si>
  <si>
    <r>
      <rPr>
        <sz val="10"/>
        <rFont val="Noto Sans CJK SC"/>
        <family val="2"/>
      </rPr>
      <t xml:space="preserve">쉽게 드러내지 않지만 마음속에 꽤 오래 품고 있는 불편함이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그걸 견디며 하루를 지켜 내고 있는 것 자체가 당신의 힘이에요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</si>
  <si>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쉽게 드러내지 않지만 마음속에 꽤 오래 품고 있는 불편함이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마음을 안고 하루를 지내 온 것만으로도 이미 애쓰고 있는 거예요</t>
    </r>
    <r>
      <rPr>
        <sz val="10"/>
        <rFont val="Malgun Gothic"/>
        <family val="0"/>
        <charset val="1"/>
      </rPr>
      <t xml:space="preserve">.</t>
    </r>
  </si>
  <si>
    <t xml:space="preserve">copy.safety.urgent_contacts.0.note</t>
  </si>
  <si>
    <r>
      <rPr>
        <sz val="10"/>
        <rFont val="Noto Sans CJK SC"/>
        <family val="2"/>
      </rPr>
      <t xml:space="preserve">노출 문구에 </t>
    </r>
    <r>
      <rPr>
        <sz val="10"/>
        <rFont val="Malgun Gothic"/>
        <family val="0"/>
        <charset val="1"/>
      </rPr>
      <t xml:space="preserve">'[</t>
    </r>
    <r>
      <rPr>
        <sz val="10"/>
        <rFont val="Noto Sans CJK SC"/>
        <family val="2"/>
      </rPr>
      <t xml:space="preserve">확인필요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출시 전 최신 번호 확인</t>
    </r>
    <r>
      <rPr>
        <sz val="10"/>
        <rFont val="Malgun Gothic"/>
        <family val="0"/>
        <charset val="1"/>
      </rPr>
      <t xml:space="preserve">]' </t>
    </r>
    <r>
      <rPr>
        <sz val="10"/>
        <rFont val="Noto Sans CJK SC"/>
        <family val="2"/>
      </rPr>
      <t xml:space="preserve">내부 메모 포함</t>
    </r>
    <r>
      <rPr>
        <sz val="10"/>
        <rFont val="Malgun Gothic"/>
        <family val="0"/>
        <charset val="1"/>
      </rPr>
      <t xml:space="preserve">(contacts.1.note</t>
    </r>
    <r>
      <rPr>
        <sz val="10"/>
        <rFont val="Noto Sans CJK SC"/>
        <family val="2"/>
      </rPr>
      <t xml:space="preserve">도 동일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</si>
  <si>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확인필요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출시 전 최신 번호 확인</t>
    </r>
    <r>
      <rPr>
        <sz val="10"/>
        <rFont val="Malgun Gothic"/>
        <family val="0"/>
        <charset val="1"/>
      </rPr>
      <t xml:space="preserve">]</t>
    </r>
  </si>
  <si>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</t>
    </r>
  </si>
  <si>
    <t xml:space="preserve">copy.safety.urgent_contacts.0.number</t>
  </si>
  <si>
    <t xml:space="preserve">판단 필요</t>
  </si>
  <si>
    <r>
      <rPr>
        <sz val="10"/>
        <rFont val="Noto Sans CJK SC"/>
        <family val="2"/>
      </rPr>
      <t xml:space="preserve">화면에 보이던 내부 메모 </t>
    </r>
    <r>
      <rPr>
        <sz val="10"/>
        <rFont val="Malgun Gothic"/>
        <family val="0"/>
        <charset val="1"/>
      </rPr>
      <t xml:space="preserve">'[</t>
    </r>
    <r>
      <rPr>
        <sz val="10"/>
        <rFont val="Noto Sans CJK SC"/>
        <family val="2"/>
      </rPr>
      <t xml:space="preserve">확인필요</t>
    </r>
    <r>
      <rPr>
        <sz val="10"/>
        <rFont val="Malgun Gothic"/>
        <family val="0"/>
        <charset val="1"/>
      </rPr>
      <t xml:space="preserve">]'</t>
    </r>
    <r>
      <rPr>
        <sz val="10"/>
        <rFont val="Noto Sans CJK SC"/>
        <family val="2"/>
      </rPr>
      <t xml:space="preserve">는 뺐음</t>
    </r>
    <r>
      <rPr>
        <sz val="10"/>
        <rFont val="Malgun Gothic"/>
        <family val="0"/>
        <charset val="1"/>
      </rPr>
      <t xml:space="preserve">. 109·1577-0199 </t>
    </r>
    <r>
      <rPr>
        <sz val="10"/>
        <rFont val="Noto Sans CJK SC"/>
        <family val="2"/>
      </rPr>
      <t xml:space="preserve">번호는 출시 전 최신 확인 필요</t>
    </r>
  </si>
  <si>
    <t xml:space="preserve">copy.safety.violence_box</t>
  </si>
  <si>
    <r>
      <rPr>
        <sz val="10"/>
        <rFont val="Noto Sans CJK SC"/>
        <family val="2"/>
      </rPr>
      <t xml:space="preserve">사용자 노출 문구 안에 </t>
    </r>
    <r>
      <rPr>
        <sz val="10"/>
        <rFont val="Malgun Gothic"/>
        <family val="0"/>
        <charset val="1"/>
      </rPr>
      <t xml:space="preserve">'[</t>
    </r>
    <r>
      <rPr>
        <sz val="10"/>
        <rFont val="Noto Sans CJK SC"/>
        <family val="2"/>
      </rPr>
      <t xml:space="preserve">확인필요</t>
    </r>
    <r>
      <rPr>
        <sz val="10"/>
        <rFont val="Malgun Gothic"/>
        <family val="0"/>
        <charset val="1"/>
      </rPr>
      <t xml:space="preserve">]' </t>
    </r>
    <r>
      <rPr>
        <sz val="10"/>
        <rFont val="Noto Sans CJK SC"/>
        <family val="2"/>
      </rPr>
      <t xml:space="preserve">표기가 들어 있고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여성긴급전화만 안내해 성별을 가정함</t>
    </r>
  </si>
  <si>
    <r>
      <rPr>
        <sz val="10"/>
        <rFont val="Noto Sans CJK SC"/>
        <family val="2"/>
      </rPr>
      <t xml:space="preserve">혹시 상대가 무섭게 느껴지거나 통제받는다고 느낀다면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그건 혼자 해결해야 할 고민이 아니에요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여성긴급전화 </t>
    </r>
    <r>
      <rPr>
        <sz val="10"/>
        <rFont val="Malgun Gothic"/>
        <family val="0"/>
        <charset val="1"/>
      </rPr>
      <t xml:space="preserve">1366(24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긴급 시 </t>
    </r>
    <r>
      <rPr>
        <sz val="10"/>
        <rFont val="Malgun Gothic"/>
        <family val="0"/>
        <charset val="1"/>
      </rPr>
      <t xml:space="preserve">112</t>
    </r>
    <r>
      <rPr>
        <sz val="10"/>
        <rFont val="Noto Sans CJK SC"/>
        <family val="2"/>
      </rPr>
      <t xml:space="preserve">에서 도움받을 수 있어요</t>
    </r>
    <r>
      <rPr>
        <sz val="10"/>
        <rFont val="Malgun Gothic"/>
        <family val="0"/>
        <charset val="1"/>
      </rPr>
      <t xml:space="preserve">. [</t>
    </r>
    <r>
      <rPr>
        <sz val="10"/>
        <rFont val="Noto Sans CJK SC"/>
        <family val="2"/>
      </rPr>
      <t xml:space="preserve">확인필요</t>
    </r>
    <r>
      <rPr>
        <sz val="10"/>
        <rFont val="Malgun Gothic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</si>
  <si>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혹시 상대가 무섭게 느껴지거나 통제받는다고 느낀다면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그건 혼자 해결해야 할 고민이 아니에요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여성긴급전화 </t>
    </r>
    <r>
      <rPr>
        <sz val="10"/>
        <rFont val="Malgun Gothic"/>
        <family val="0"/>
        <charset val="1"/>
      </rPr>
      <t xml:space="preserve">1366(24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긴급 시 </t>
    </r>
    <r>
      <rPr>
        <sz val="10"/>
        <rFont val="Malgun Gothic"/>
        <family val="0"/>
        <charset val="1"/>
      </rPr>
      <t xml:space="preserve">112</t>
    </r>
    <r>
      <rPr>
        <sz val="10"/>
        <rFont val="Noto Sans CJK SC"/>
        <family val="2"/>
      </rPr>
      <t xml:space="preserve">에서 도움받을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</si>
  <si>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1366(</t>
    </r>
    <r>
      <rPr>
        <sz val="10"/>
        <rFont val="Noto Sans CJK SC"/>
        <family val="2"/>
      </rPr>
      <t xml:space="preserve">여성긴급전화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만 안내해 피해자를 여성으로 가정할 수 있음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성별과 상관없는 안내를 함께 둘지 결정 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번호는 출시 전 확인</t>
    </r>
  </si>
  <si>
    <t xml:space="preserve">prescriptions.by_domain_need.FAM_BOUNDARY.how</t>
  </si>
  <si>
    <t xml:space="preserve">다가가기형이 아닌데 간섭하는 가족에게 직접 선을 긋는 말을 하도록 제안</t>
  </si>
  <si>
    <t xml:space="preserve">cards.0.practices.1.how</t>
  </si>
  <si>
    <t xml:space="preserve">오류</t>
  </si>
  <si>
    <r>
      <rPr>
        <sz val="10"/>
        <rFont val="Noto Sans CJK SC"/>
        <family val="2"/>
      </rPr>
      <t xml:space="preserve">하나를 적고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그중 하나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를 고르라고 해서 앞뒤가 맞지 않음</t>
    </r>
  </si>
  <si>
    <r>
      <rPr>
        <sz val="10"/>
        <rFont val="Noto Sans CJK SC"/>
        <family val="2"/>
      </rPr>
      <t xml:space="preserve">오늘 궁금했던 것 하나를 메모장에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그중 하나를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분만 찾아봐요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</si>
  <si>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 궁금했던 것 몇 가지를 메모장에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그중 하나를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분만 찾아봐요</t>
    </r>
    <r>
      <rPr>
        <sz val="10"/>
        <rFont val="Malgun Gothic"/>
        <family val="0"/>
        <charset val="1"/>
      </rPr>
      <t xml:space="preserve">.</t>
    </r>
  </si>
  <si>
    <t xml:space="preserve">cards.19.deep.now.0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</si>
  <si>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웃을 수 있는 순간은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가볍게 여겨서가 아니라</t>
    </r>
    <r>
      <rPr>
        <sz val="10"/>
        <rFont val="Malgun Gothic"/>
        <family val="0"/>
        <charset val="1"/>
      </rPr>
      <t xml:space="preserve">, ~</t>
    </r>
    <r>
      <rPr>
        <sz val="10"/>
        <rFont val="Noto Sans CJK SC"/>
        <family val="2"/>
      </rPr>
      <t xml:space="preserve">힘이 되어 줘요</t>
    </r>
    <r>
      <rPr>
        <sz val="10"/>
        <rFont val="Malgun Gothic"/>
        <family val="0"/>
        <charset val="1"/>
      </rPr>
      <t xml:space="preserve">' - '-</t>
    </r>
    <r>
      <rPr>
        <sz val="10"/>
        <rFont val="Noto Sans CJK SC"/>
        <family val="2"/>
      </rPr>
      <t xml:space="preserve">서가 아니라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뒤에 짝이 맞지 않는 서술어가 와 비문</t>
    </r>
  </si>
  <si>
    <r>
      <rPr>
        <sz val="10"/>
        <rFont val="Noto Sans CJK SC"/>
        <family val="2"/>
      </rPr>
      <t xml:space="preserve">고민이 있는데도 기쁨과 기대가 살아 있다는 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마음에 회복할 힘이 충분히 남아 있다는 뜻이에요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웃을 수 있는 순간은 고민을 가볍게 여겨서가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고민을 견딜 힘이 되어 줘요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</si>
  <si>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고민이 있는데도 기쁨과 기대가 살아 있다는 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마음에 회복할 힘이 충분히 남아 있다는 뜻이에요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웃을 수 있는 건 고민을 가볍게 여겨서가 아니에요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그런 순간이 오히려 그 고민을 견딜 힘이 되어 줘요</t>
    </r>
    <r>
      <rPr>
        <sz val="10"/>
        <rFont val="Malgun Gothic"/>
        <family val="0"/>
        <charset val="1"/>
      </rPr>
      <t xml:space="preserve">.</t>
    </r>
  </si>
  <si>
    <t xml:space="preserve">cards.3.deep.now.0</t>
  </si>
  <si>
    <r>
      <rPr>
        <sz val="10"/>
        <rFont val="Noto Sans CJK SC"/>
        <family val="2"/>
      </rPr>
      <t xml:space="preserve">한 문장 안에서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당신이 가진 큰 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내 쪽 그릇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섞임</t>
    </r>
    <r>
      <rPr>
        <sz val="10"/>
        <rFont val="Malgun Gothic"/>
        <family val="0"/>
        <charset val="1"/>
      </rPr>
      <t xml:space="preserve">(BRIEF</t>
    </r>
    <r>
      <rPr>
        <sz val="10"/>
        <rFont val="Noto Sans CJK SC"/>
        <family val="2"/>
      </rPr>
      <t xml:space="preserve">의 예시와 같은 유형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위치해석 문장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그 따뜻함이 당신의 큰 힘이지만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도 거의 그대로 반복</t>
    </r>
  </si>
  <si>
    <r>
      <rPr>
        <sz val="10"/>
        <rFont val="Noto Sans CJK SC"/>
        <family val="2"/>
      </rPr>
      <t xml:space="preserve">누군가를 돌보는 일은 마음을 꽤 많이 쓰는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따뜻함은 당신이 가진 큰 힘이지만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쓴 만큼 채워지지 않으면 어느새 내 쪽 그릇이 비어 가기도 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</si>
  <si>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누군가를 돌보는 일은 마음을 꽤 많이 쓰는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따뜻함은 큰 힘이지만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쓴 만큼 채워지지 않으면 어느새 내 쪽 그릇이 비어 가기도 해요</t>
    </r>
    <r>
      <rPr>
        <sz val="10"/>
        <rFont val="Malgun Gothic"/>
        <family val="0"/>
        <charset val="1"/>
      </rPr>
      <t xml:space="preserve">.</t>
    </r>
  </si>
  <si>
    <t xml:space="preserve">cards.3.positions.now</t>
  </si>
  <si>
    <r>
      <rPr>
        <sz val="10"/>
        <rFont val="Noto Sans CJK SC"/>
        <family val="2"/>
      </rPr>
      <t xml:space="preserve">한 문장 안에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섞임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기준 예시와 동일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</si>
  <si>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누군가를 챙기고 돌보느라 마음을 많이 쓰고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따뜻함이 당신의 큰 힘이지만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정작 나를 돌볼 여유는 줄어 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</si>
  <si>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누군가를 챙기고 돌보느라 마음을 많이 쓰고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따뜻함은 큰 힘이지만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정작 나를 돌볼 여유는 줄어 있을 수 있어요</t>
    </r>
    <r>
      <rPr>
        <sz val="10"/>
        <rFont val="Malgun Gothic"/>
        <family val="0"/>
        <charset val="1"/>
      </rPr>
      <t xml:space="preserve">.</t>
    </r>
  </si>
  <si>
    <t xml:space="preserve">cards.4.practices.1.how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</si>
  <si>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잠자리를 해요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읽혀 뜻이 어색함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성관계로도 읽힘</t>
    </r>
    <r>
      <rPr>
        <sz val="10"/>
        <rFont val="Malgun Gothic"/>
        <family val="0"/>
        <charset val="1"/>
      </rPr>
      <t xml:space="preserve">), '</t>
    </r>
    <r>
      <rPr>
        <sz val="10"/>
        <rFont val="Noto Sans CJK SC"/>
        <family val="2"/>
      </rPr>
      <t xml:space="preserve">이번 주는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도 어색</t>
    </r>
  </si>
  <si>
    <r>
      <rPr>
        <sz val="10"/>
        <rFont val="Noto Sans CJK SC"/>
        <family val="2"/>
      </rPr>
      <t xml:space="preserve">기상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잠자리 중 하나를 골라 이번 주는 같은 시간에 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</si>
  <si>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잠자리에 드는 시간 중 하나를 골라 이번 주에는 매일 같은 시간에 해요</t>
    </r>
    <r>
      <rPr>
        <sz val="10"/>
        <rFont val="Malgun Gothic"/>
        <family val="0"/>
        <charset val="1"/>
      </rPr>
      <t xml:space="preserve">.</t>
    </r>
  </si>
  <si>
    <t xml:space="preserve">cards.7.positions.step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</si>
  <si>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잘 되고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띄어쓰기</t>
    </r>
  </si>
  <si>
    <r>
      <rPr>
        <sz val="10"/>
        <rFont val="Noto Sans CJK SC"/>
        <family val="2"/>
      </rPr>
      <t xml:space="preserve">방향을 하나로 정하고 흐름을 이용해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돌고래가 파도를 거스르지 않고 그 힘을 빌려 나아가듯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이미 잘 되고 있는 흐름에 힘을 실어 보는 거예요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</si>
  <si>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방향을 하나로 정하고 흐름을 이용해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돌고래가 파도를 거스르지 않고 그 힘을 빌려 나아가듯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이미 잘되고 있는 흐름에 힘을 실어 보는 거예요</t>
    </r>
    <r>
      <rPr>
        <sz val="10"/>
        <rFont val="Malgun Gothic"/>
        <family val="0"/>
        <charset val="1"/>
      </rPr>
      <t xml:space="preserve">.</t>
    </r>
  </si>
  <si>
    <t xml:space="preserve">cards.7.practices.2.title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</si>
  <si>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잘되다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</si>
  <si>
    <t xml:space="preserve">잘 된 흐름 찾기</t>
  </si>
  <si>
    <t xml:space="preserve">잘 풀린 흐름 찾기</t>
  </si>
  <si>
    <t xml:space="preserve">cards.7.practices.2.why</t>
  </si>
  <si>
    <r>
      <rPr>
        <sz val="10"/>
        <rFont val="Noto Sans CJK SC"/>
        <family val="2"/>
      </rPr>
      <t xml:space="preserve">이미 잘 된 경험에서 조건을 찾으면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새로 애쓰기보다 그 흐름을 다시 만들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</si>
  <si>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이미 잘 풀린 경험에서 조건을 찾으면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새로 애쓰기보다 그 흐름을 다시 만들 수 있어요</t>
    </r>
    <r>
      <rPr>
        <sz val="10"/>
        <rFont val="Malgun Gothic"/>
        <family val="0"/>
        <charset val="1"/>
      </rPr>
      <t xml:space="preserve">.</t>
    </r>
  </si>
  <si>
    <t xml:space="preserve">copy.first_time.body</t>
  </si>
  <si>
    <r>
      <rPr>
        <sz val="10"/>
        <rFont val="Noto Sans CJK SC"/>
        <family val="2"/>
      </rPr>
      <t xml:space="preserve">제안만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문구 유지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</si>
  <si>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한 번</t>
    </r>
    <r>
      <rPr>
        <sz val="10"/>
        <rFont val="Malgun Gothic"/>
        <family val="0"/>
        <charset val="1"/>
      </rPr>
      <t xml:space="preserve">'(</t>
    </r>
    <r>
      <rPr>
        <sz val="10"/>
        <rFont val="Noto Sans CJK SC"/>
        <family val="2"/>
      </rPr>
      <t xml:space="preserve">시도의 뜻은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한번</t>
    </r>
    <r>
      <rPr>
        <sz val="10"/>
        <rFont val="Malgun Gothic"/>
        <family val="0"/>
        <charset val="1"/>
      </rPr>
      <t xml:space="preserve">'), '</t>
    </r>
    <r>
      <rPr>
        <sz val="10"/>
        <rFont val="Noto Sans CJK SC"/>
        <family val="2"/>
      </rPr>
      <t xml:space="preserve">비춰 주는지 들어봅시다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감각 불일치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타로 카드가 설명하는 현재 상황에 적절한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쏠 하우스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명칭 불일치</t>
    </r>
  </si>
  <si>
    <r>
      <rPr>
        <sz val="10"/>
        <rFont val="Noto Sans CJK SC"/>
        <family val="2"/>
      </rPr>
      <t xml:space="preserve">오늘 </t>
    </r>
    <r>
      <rPr>
        <sz val="10"/>
        <rFont val="Malgun Gothic"/>
        <family val="0"/>
        <charset val="1"/>
      </rPr>
      <t xml:space="preserve">{nickname}</t>
    </r>
    <r>
      <rPr>
        <sz val="10"/>
        <rFont val="Noto Sans CJK SC"/>
        <family val="2"/>
      </rPr>
      <t xml:space="preserve">님의 고민을 타로카드가 어떻게 비춰 주는지 함께 살펴봐요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 하우스만의 특제 레시피로 </t>
    </r>
    <r>
      <rPr>
        <sz val="10"/>
        <rFont val="Malgun Gothic"/>
        <family val="0"/>
        <charset val="1"/>
      </rPr>
      <t xml:space="preserve">{nickname}</t>
    </r>
    <r>
      <rPr>
        <sz val="10"/>
        <rFont val="Noto Sans CJK SC"/>
        <family val="2"/>
      </rPr>
      <t xml:space="preserve">님의 카드가 비춰 준 지금 상황에 맞는 웰니스 제안을 해 드릴게요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이제 한번 해 볼까요</t>
    </r>
    <r>
      <rPr>
        <sz val="10"/>
        <rFont val="Malgun Gothic"/>
        <family val="0"/>
        <charset val="1"/>
      </rPr>
      <t xml:space="preserve">?</t>
    </r>
  </si>
  <si>
    <t xml:space="preserve">copy.intro.button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</si>
  <si>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테스트하다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붙여 씀</t>
    </r>
  </si>
  <si>
    <t xml:space="preserve">테스트하기</t>
  </si>
  <si>
    <t xml:space="preserve">copy.safety.urgent_contacts.1.note</t>
  </si>
  <si>
    <r>
      <rPr>
        <sz val="10"/>
        <rFont val="Noto Sans CJK SC"/>
        <family val="2"/>
      </rPr>
      <t xml:space="preserve">반영 </t>
    </r>
    <r>
      <rPr>
        <sz val="10"/>
        <rFont val="Malgun Gothic"/>
        <family val="0"/>
        <charset val="1"/>
      </rPr>
      <t xml:space="preserve">(Claude)</t>
    </r>
  </si>
  <si>
    <r>
      <rPr>
        <sz val="10"/>
        <rFont val="Malgun Gothic"/>
        <family val="0"/>
        <charset val="1"/>
      </rPr>
      <t xml:space="preserve">Claude </t>
    </r>
    <r>
      <rPr>
        <sz val="10"/>
        <rFont val="Noto Sans CJK SC"/>
        <family val="2"/>
      </rPr>
      <t xml:space="preserve">점검</t>
    </r>
  </si>
  <si>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확인필요</t>
    </r>
    <r>
      <rPr>
        <sz val="10"/>
        <rFont val="Malgun Gothic"/>
        <family val="0"/>
        <charset val="1"/>
      </rPr>
      <t xml:space="preserve">]</t>
    </r>
  </si>
  <si>
    <t xml:space="preserve">copy.worry.placeholder_examples.4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</si>
  <si>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부탁을 거절을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목적격 조사 중복</t>
    </r>
  </si>
  <si>
    <r>
      <rPr>
        <sz val="10"/>
        <rFont val="Noto Sans CJK SC"/>
        <family val="2"/>
      </rPr>
      <t xml:space="preserve">부탁을 거절을 못 해서 매번 손해 보는 느낌이에요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</si>
  <si>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부탁을 거절하지 못해서 매번 손해 보는 느낌이에요</t>
    </r>
    <r>
      <rPr>
        <sz val="10"/>
        <rFont val="Malgun Gothic"/>
        <family val="0"/>
        <charset val="1"/>
      </rPr>
      <t xml:space="preserve">.</t>
    </r>
  </si>
  <si>
    <t xml:space="preserve">emotion_lines.HUR</t>
  </si>
  <si>
    <r>
      <rPr>
        <sz val="10"/>
        <rFont val="Malgun Gothic"/>
        <family val="0"/>
        <charset val="1"/>
      </rPr>
      <t xml:space="preserve">'{name}</t>
    </r>
    <r>
      <rPr>
        <sz val="10"/>
        <rFont val="Noto Sans CJK SC"/>
        <family val="2"/>
      </rPr>
      <t xml:space="preserve">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나에게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한 문장에 섞여 시점이 맞지 않음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가장 분명한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단정</t>
    </r>
  </si>
  <si>
    <r>
      <rPr>
        <sz val="10"/>
        <rFont val="Noto Sans CJK SC"/>
        <family val="2"/>
      </rPr>
      <t xml:space="preserve">지금 </t>
    </r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느끼는 서운함은 그 관계가 나에게 소중하다는 가장 분명한 표시예요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</si>
  <si>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</t>
    </r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느끼는 서운함은 그 관계가 그만큼 소중하다는 표시예요</t>
    </r>
    <r>
      <rPr>
        <sz val="10"/>
        <rFont val="Malgun Gothic"/>
        <family val="0"/>
        <charset val="1"/>
      </rPr>
      <t xml:space="preserve">.</t>
    </r>
  </si>
  <si>
    <t xml:space="preserve">cards.0.about_origin</t>
  </si>
  <si>
    <t xml:space="preserve">다듬기</t>
  </si>
  <si>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</si>
  <si>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바보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전통적으로 순수한 출발과 모험을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완벽하게 준비되지 않아도 내딛는 첫걸음의 용기로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</si>
  <si>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바보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전통적으로 순수한 출발과 모험을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완벽하게 준비되지 않아도 내딛는 첫걸음의 용기로 읽어요</t>
    </r>
    <r>
      <rPr>
        <sz val="10"/>
        <rFont val="Malgun Gothic"/>
        <family val="0"/>
        <charset val="1"/>
      </rPr>
      <t xml:space="preserve">.</t>
    </r>
  </si>
  <si>
    <t xml:space="preserve">cards.0.deep.now.0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</si>
  <si>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 자체로 살아 있다는 신호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에서 무엇이 살아 있는지 주어가 빠져 뜻이 모호함</t>
    </r>
  </si>
  <si>
    <r>
      <rPr>
        <sz val="10"/>
        <rFont val="Noto Sans CJK SC"/>
        <family val="2"/>
      </rPr>
      <t xml:space="preserve">새로운 걸 해 보고 싶은 마음은 대개 지금의 자리가 조금 좁게 느껴질 때 찾아와요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아직 흐릿하더라도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바꾸고 싶다는 감각은 그 자체로 살아 있다는 신호예요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</si>
  <si>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걸 해 보고 싶은 마음은 대개 지금의 자리가 조금 좁게 느껴질 때 찾아와요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아직 흐릿하더라도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바꾸고 싶다는 감각은 그 자체로 내 안의 에너지가 살아 있다는 신호예요</t>
    </r>
    <r>
      <rPr>
        <sz val="10"/>
        <rFont val="Malgun Gothic"/>
        <family val="0"/>
        <charset val="1"/>
      </rPr>
      <t xml:space="preserve">.</t>
    </r>
  </si>
  <si>
    <t xml:space="preserve">cards.0.positions.now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</si>
  <si>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</t>
    </r>
  </si>
  <si>
    <r>
      <rPr>
        <sz val="10"/>
        <rFont val="Noto Sans CJK SC"/>
        <family val="2"/>
      </rPr>
      <t xml:space="preserve">마음 한쪽에 새로 시작하고 싶은 무언가가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아직 이름을 붙이지 못했을 수 있지만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당신 안에 움직이고 싶은 에너지가 살아 있다는 뜻으로 읽을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</si>
  <si>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한쪽에 새로 시작하고 싶은 무언가가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아직 이름을 붙이지 못했을 수 있지만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내 안에 움직이고 싶은 에너지가 살아 있다는 뜻으로 읽을 수 있어요</t>
    </r>
    <r>
      <rPr>
        <sz val="10"/>
        <rFont val="Malgun Gothic"/>
        <family val="0"/>
        <charset val="1"/>
      </rPr>
      <t xml:space="preserve">.</t>
    </r>
  </si>
  <si>
    <t xml:space="preserve">cards.0.positions.step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</si>
  <si>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발끝으로 대 보듯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대다는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를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목적어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</si>
  <si>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결과보다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해 보는 것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자체를 목표로 삼아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수달이 물이 차가운지 발끝으로 먼저 대 보듯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아주 작게 한 번 시도해 보는 거예요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</si>
  <si>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결과보다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해 보는 것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자체를 목표로 삼아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수달이 물이 차가운지 발끝을 먼저 대 보듯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아주 작게 한 번 시도해 보는 거예요</t>
    </r>
    <r>
      <rPr>
        <sz val="10"/>
        <rFont val="Malgun Gothic"/>
        <family val="0"/>
        <charset val="1"/>
      </rPr>
      <t xml:space="preserve">.</t>
    </r>
  </si>
  <si>
    <t xml:space="preserve">cards.1.about_origin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</si>
  <si>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마법사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가진 재능과 도구로 무언가를 이뤄 내는 힘을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이미 내 손에 있는 자원을 알아보는 힘으로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</si>
  <si>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마법사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가진 재능과 도구로 무언가를 이뤄 내는 힘을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이미 내 손에 있는 자원을 알아보는 힘으로 읽어요</t>
    </r>
    <r>
      <rPr>
        <sz val="10"/>
        <rFont val="Malgun Gothic"/>
        <family val="0"/>
        <charset val="1"/>
      </rPr>
      <t xml:space="preserve">.</t>
    </r>
  </si>
  <si>
    <t xml:space="preserve">cards.1.core</t>
  </si>
  <si>
    <r>
      <rPr>
        <sz val="10"/>
        <rFont val="Noto Sans CJK SC"/>
        <family val="2"/>
      </rPr>
      <t xml:space="preserve">필요한 것은 이미 당신 손 안에 꽤 많이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</si>
  <si>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필요한 것은 이미 내 손 안에 꽤 많이 있어요</t>
    </r>
    <r>
      <rPr>
        <sz val="10"/>
        <rFont val="Malgun Gothic"/>
        <family val="0"/>
        <charset val="1"/>
      </rPr>
      <t xml:space="preserve">.</t>
    </r>
  </si>
  <si>
    <t xml:space="preserve">cards.1.deep.now.0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</si>
  <si>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당신의 성실함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보고서는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대신 주어 생략 권장</t>
    </r>
  </si>
  <si>
    <r>
      <rPr>
        <sz val="10"/>
        <rFont val="Noto Sans CJK SC"/>
        <family val="2"/>
      </rPr>
      <t xml:space="preserve">해내고 싶은 마음이 크면 손이 저절로 여러 곳으로 뻗어요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지금의 분주함은 그만큼 많은 걸 책임지고 싶은 당신의 성실함에서 나온 것일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</si>
  <si>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해내고 싶은 마음이 크면 손이 저절로 여러 곳으로 뻗어요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지금의 분주함은 그만큼 많은 걸 책임지고 싶은 성실함에서 나온 것일 수 있어요</t>
    </r>
    <r>
      <rPr>
        <sz val="10"/>
        <rFont val="Malgun Gothic"/>
        <family val="0"/>
        <charset val="1"/>
      </rPr>
      <t xml:space="preserve">.</t>
    </r>
  </si>
  <si>
    <t xml:space="preserve">cards.1.deep.now.1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</si>
  <si>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뻗어 있는 손들 가운데 내가 쥐고 싶은 것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손이 쥘 대상인 것처럼 읽혀 논리가 어긋남</t>
    </r>
  </si>
  <si>
    <r>
      <rPr>
        <sz val="10"/>
        <rFont val="Noto Sans CJK SC"/>
        <family val="2"/>
      </rPr>
      <t xml:space="preserve">지금 뻗어 있는 손들 가운데 정말 내가 쥐고 싶은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모든 손에 같은 힘을 줄 필요는 없어요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가장 마음이 가는 한두 곳을 먼저 골라 보면 분주함 속에서도 중심이 생겨요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</si>
  <si>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손을 뻗고 있는 곳들 가운데 정말 내가 쥐고 싶은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모든 손에 같은 힘을 줄 필요는 없어요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가장 마음이 가는 한두 곳을 먼저 골라 보면 분주함 속에서도 중심이 생겨요</t>
    </r>
    <r>
      <rPr>
        <sz val="10"/>
        <rFont val="Malgun Gothic"/>
        <family val="0"/>
        <charset val="1"/>
      </rPr>
      <t xml:space="preserve">.</t>
    </r>
  </si>
  <si>
    <t xml:space="preserve">cards.1.reversed.positions.step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</si>
  <si>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여덟 갈래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한 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단위가 맞지 않음</t>
    </r>
  </si>
  <si>
    <r>
      <rPr>
        <sz val="10"/>
        <rFont val="Noto Sans CJK SC"/>
        <family val="2"/>
      </rPr>
      <t xml:space="preserve">여덟 갈래 중 지금 꼭 필요한 한 손만 남기고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잠시 내려놓아 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</si>
  <si>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여덟 갈래의 손 중 지금 꼭 필요한 한 손만 남기고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잠시 내려놓아 보세요</t>
    </r>
    <r>
      <rPr>
        <sz val="10"/>
        <rFont val="Malgun Gothic"/>
        <family val="0"/>
        <charset val="1"/>
      </rPr>
      <t xml:space="preserve">.</t>
    </r>
  </si>
  <si>
    <t xml:space="preserve">cards.10.about_origin</t>
  </si>
  <si>
    <r>
      <rPr>
        <sz val="10"/>
        <rFont val="Noto Sans CJK SC"/>
        <family val="2"/>
      </rPr>
      <t xml:space="preserve">원래 타로의 열 번째 카드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수레바퀴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돌고 도는 삶의 흐름과 변화의 시기를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바뀌는 흐름 속에서 내가 고를 수 있는 움직임으로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</si>
  <si>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수레바퀴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돌고 도는 삶의 흐름과 변화의 시기를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바뀌는 흐름 속에서 내가 고를 수 있는 움직임으로 읽어요</t>
    </r>
    <r>
      <rPr>
        <sz val="10"/>
        <rFont val="Malgun Gothic"/>
        <family val="0"/>
        <charset val="1"/>
      </rPr>
      <t xml:space="preserve">.</t>
    </r>
  </si>
  <si>
    <t xml:space="preserve">cards.10.deep.hold.0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</si>
  <si>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느껴져요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느껴지기 때문이에요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이어져 반복적이고 같은 말을 되풀이하는 느낌</t>
    </r>
  </si>
  <si>
    <r>
      <rPr>
        <sz val="10"/>
        <rFont val="Noto Sans CJK SC"/>
        <family val="2"/>
      </rPr>
      <t xml:space="preserve">힘든 시기에는 지금 상태가 영원히 계속될 것처럼 느껴져요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마음이 지친 만큼 시간도 멈춘 것처럼 느껴지기 때문이에요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</si>
  <si>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시기에는 지금 상태가 영원히 계속될 것만 같을 때가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마음이 지친 만큼 시간도 멈춘 것처럼 느껴지기 때문이에요</t>
    </r>
    <r>
      <rPr>
        <sz val="10"/>
        <rFont val="Malgun Gothic"/>
        <family val="0"/>
        <charset val="1"/>
      </rPr>
      <t xml:space="preserve">.</t>
    </r>
  </si>
  <si>
    <t xml:space="preserve">cards.10.deep.hold.1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</si>
  <si>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물살은 돌고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뜻이 모호함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돌고 돈다는 뜻인지 불분명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</si>
  <si>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지난 몇 년을 돌아보면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그때는 끝나지 않을 것 같았는데 지나갔던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시기가 있었나요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기억을 잠시 꺼내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물살은 돌고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지금의 물살도 같은 방식으로 지나갈 수 있다는 걸 떠올리게 해 줘요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</si>
  <si>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지난 몇 년을 돌아보면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그때는 끝나지 않을 것 같았는데 지나갔던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시기가 있었나요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기억을 잠시 꺼내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물살은 늘 바뀌고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지금의 물살도 그렇게 지나갈 수 있다는 걸 떠올리게 해 줘요</t>
    </r>
    <r>
      <rPr>
        <sz val="10"/>
        <rFont val="Malgun Gothic"/>
        <family val="0"/>
        <charset val="1"/>
      </rPr>
      <t xml:space="preserve">.</t>
    </r>
  </si>
  <si>
    <t xml:space="preserve">cards.11.about_origin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</si>
  <si>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정의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균형과 공정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원인과 결과를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나에게도 공정한 저울을 내미는 마음으로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</si>
  <si>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정의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균형과 공정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원인과 결과를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나에게도 공정한 저울을 내미는 마음으로 읽어요</t>
    </r>
    <r>
      <rPr>
        <sz val="10"/>
        <rFont val="Malgun Gothic"/>
        <family val="0"/>
        <charset val="1"/>
      </rPr>
      <t xml:space="preserve">.</t>
    </r>
  </si>
  <si>
    <t xml:space="preserve">cards.11.practices.2.how</t>
  </si>
  <si>
    <r>
      <rPr>
        <sz val="10"/>
        <rFont val="Malgun Gothic"/>
        <family val="0"/>
        <charset val="1"/>
      </rPr>
      <t xml:space="preserve">'~</t>
    </r>
    <r>
      <rPr>
        <sz val="10"/>
        <rFont val="Noto Sans CJK SC"/>
        <family val="2"/>
      </rPr>
      <t xml:space="preserve">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그리고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연결이 겹침</t>
    </r>
  </si>
  <si>
    <r>
      <rPr>
        <sz val="10"/>
        <rFont val="Malgun Gothic"/>
        <family val="0"/>
        <charset val="1"/>
      </rPr>
      <t xml:space="preserve">'~</t>
    </r>
    <r>
      <rPr>
        <sz val="10"/>
        <rFont val="Noto Sans CJK SC"/>
        <family val="2"/>
      </rPr>
      <t xml:space="preserve">이긴 하지만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Malgun Gothic"/>
        <family val="0"/>
        <charset val="1"/>
      </rPr>
      <t xml:space="preserve">'~</t>
    </r>
    <r>
      <rPr>
        <sz val="10"/>
        <rFont val="Noto Sans CJK SC"/>
        <family val="2"/>
      </rPr>
      <t xml:space="preserve">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그리고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이기도 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바꿔 한 문장을 써요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</si>
  <si>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'~</t>
    </r>
    <r>
      <rPr>
        <sz val="10"/>
        <rFont val="Noto Sans CJK SC"/>
        <family val="2"/>
      </rPr>
      <t xml:space="preserve">이긴 하지만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Malgun Gothic"/>
        <family val="0"/>
        <charset val="1"/>
      </rPr>
      <t xml:space="preserve">'~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그리고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이기도 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바꿔 한 문장을 써요</t>
    </r>
    <r>
      <rPr>
        <sz val="10"/>
        <rFont val="Malgun Gothic"/>
        <family val="0"/>
        <charset val="1"/>
      </rPr>
      <t xml:space="preserve">.</t>
    </r>
  </si>
  <si>
    <t xml:space="preserve">cards.12.about_origin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</si>
  <si>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매달린 사람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멈춤과 기다림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다르게 보기를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다르게 보기 위한 쉼으로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</si>
  <si>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매달린 사람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멈춤과 기다림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새로운 관점을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다르게 보기 위한 쉼으로 읽어요</t>
    </r>
    <r>
      <rPr>
        <sz val="10"/>
        <rFont val="Malgun Gothic"/>
        <family val="0"/>
        <charset val="1"/>
      </rPr>
      <t xml:space="preserve">.</t>
    </r>
  </si>
  <si>
    <t xml:space="preserve">cards.13.about_origin</t>
  </si>
  <si>
    <r>
      <rPr>
        <sz val="10"/>
        <rFont val="Noto Sans CJK SC"/>
        <family val="2"/>
      </rPr>
      <t xml:space="preserve">원래 타로의 열세 번째 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시기의 끝과 새로운 시작을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맞지 않는 껍데기를 내려놓고 새 집으로 옮겨 가는 전환으로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</si>
  <si>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열세 번째 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시기의 끝과 새로운 시작을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맞지 않는 껍데기를 내려놓고 새 집으로 옮겨 가는 전환으로 읽어요</t>
    </r>
    <r>
      <rPr>
        <sz val="10"/>
        <rFont val="Malgun Gothic"/>
        <family val="0"/>
        <charset val="1"/>
      </rPr>
      <t xml:space="preserve">.</t>
    </r>
  </si>
  <si>
    <t xml:space="preserve">cards.13.deep.now.0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</si>
  <si>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마음은 몸보다 늦게 따라와요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끝나는 상황에서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몸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과의 비교가 어색함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위치해석은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마음이 아직 따라가지 못하고</t>
    </r>
    <r>
      <rPr>
        <sz val="10"/>
        <rFont val="Malgun Gothic"/>
        <family val="0"/>
        <charset val="1"/>
      </rPr>
      <t xml:space="preserve">')</t>
    </r>
  </si>
  <si>
    <r>
      <rPr>
        <sz val="10"/>
        <rFont val="Noto Sans CJK SC"/>
        <family val="2"/>
      </rPr>
      <t xml:space="preserve">무언가가 끝날 때 마음은 대개 몸보다 늦게 따라와요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아쉬움과 홀가분함이 함께 드는 건 이상한 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시간이 나에게 의미 있었다는 증거예요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</si>
  <si>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무언가가 끝날 때 마음은 대개 상황보다 한발 늦게 따라와요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아쉬움과 홀가분함이 함께 드는 건 이상한 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시간이 나에게 의미 있었다는 증거예요</t>
    </r>
    <r>
      <rPr>
        <sz val="10"/>
        <rFont val="Malgun Gothic"/>
        <family val="0"/>
        <charset val="1"/>
      </rPr>
      <t xml:space="preserve">.</t>
    </r>
  </si>
  <si>
    <t xml:space="preserve">cards.13.practices.2.title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</si>
  <si>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새 집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방법</t>
    </r>
    <r>
      <rPr>
        <sz val="10"/>
        <rFont val="Malgun Gothic"/>
        <family val="0"/>
        <charset val="1"/>
      </rPr>
      <t xml:space="preserve">(6</t>
    </r>
    <r>
      <rPr>
        <sz val="10"/>
        <rFont val="Noto Sans CJK SC"/>
        <family val="2"/>
      </rPr>
      <t xml:space="preserve">개월 뒤의 평범한 하루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과 맞지 않아 이사로 읽힘</t>
    </r>
  </si>
  <si>
    <t xml:space="preserve">새 집의 하루</t>
  </si>
  <si>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개월 뒤의 하루</t>
    </r>
  </si>
  <si>
    <t xml:space="preserve">cards.13.reversed.positions.hold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</si>
  <si>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이사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비유가 설명 없이 나와 실제 이사로 읽힘</t>
    </r>
  </si>
  <si>
    <r>
      <rPr>
        <sz val="10"/>
        <rFont val="Noto Sans CJK SC"/>
        <family val="2"/>
      </rPr>
      <t xml:space="preserve">끝을 인정하면 모든 게 무너질 것 같은 마음이 이사를 미루게 하고 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</si>
  <si>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끝을 인정하면 모든 게 무너질 것 같은 마음이 새 껍데기로 옮겨 가는 걸 미루게 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</si>
  <si>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cards.14.about_origin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</si>
  <si>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절제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조화와 알맞음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서로 다른 것을 섞는 지혜를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둘 중 하나가 아니라 알맞은 비율을 찾는 힘으로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</si>
  <si>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절제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조화와 알맞음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서로 다른 것을 섞는 지혜를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둘 중 하나가 아니라 알맞은 비율을 찾는 힘으로 읽어요</t>
    </r>
    <r>
      <rPr>
        <sz val="10"/>
        <rFont val="Malgun Gothic"/>
        <family val="0"/>
        <charset val="1"/>
      </rPr>
      <t xml:space="preserve">.</t>
    </r>
  </si>
  <si>
    <t xml:space="preserve">cards.14.positions.now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</si>
  <si>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나와 너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역방향의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나와 남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다르고 반말 느낌</t>
    </r>
  </si>
  <si>
    <r>
      <rPr>
        <sz val="10"/>
        <rFont val="Noto Sans CJK SC"/>
        <family val="2"/>
      </rPr>
      <t xml:space="preserve">두 가지 사이에서 균형을 찾으려 애쓰고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일과 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나와 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해야 할 것과 하고 싶은 것 사이에서 저울질하고 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</si>
  <si>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두 가지 사이에서 균형을 찾으려 애쓰고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일과 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나와 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해야 할 것과 하고 싶은 것 사이에서 저울질하고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</si>
  <si>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cards.14.reversed.positions.hold</t>
  </si>
  <si>
    <r>
      <rPr>
        <sz val="10"/>
        <rFont val="Noto Sans CJK SC"/>
        <family val="2"/>
      </rPr>
      <t xml:space="preserve">정방향 </t>
    </r>
    <r>
      <rPr>
        <sz val="10"/>
        <rFont val="Malgun Gothic"/>
        <family val="0"/>
        <charset val="1"/>
      </rPr>
      <t xml:space="preserve">hold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전부 아니면 전무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표현이 그대로 겹침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</si>
  <si>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전부 아니면 전무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생각이 알맞은 중간을 찾지 못하게 하고 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</si>
  <si>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하나를 고르면 다른 하나를 다 잃을 것 같은 생각이 알맞은 중간을 찾지 못하게 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</si>
  <si>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cards.15.about_origin</t>
  </si>
  <si>
    <r>
      <rPr>
        <sz val="10"/>
        <rFont val="Noto Sans CJK SC"/>
        <family val="2"/>
      </rPr>
      <t xml:space="preserve">원래 타로의 열다섯 번째 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나를 얽매는 집착과 습관을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나를 지키려던 가시를 알아차리는 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</si>
  <si>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열다섯 번째 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나를 얽매는 집착과 습관을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나를 지키려던 가시를 알아차리는 일로 읽어요</t>
    </r>
    <r>
      <rPr>
        <sz val="10"/>
        <rFont val="Malgun Gothic"/>
        <family val="0"/>
        <charset val="1"/>
      </rPr>
      <t xml:space="preserve">.</t>
    </r>
  </si>
  <si>
    <t xml:space="preserve">cards.15.asks.0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</si>
  <si>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습관이 있는데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습관이 있다고 전제함</t>
    </r>
  </si>
  <si>
    <r>
      <rPr>
        <sz val="10"/>
        <rFont val="Noto Sans CJK SC"/>
        <family val="2"/>
      </rPr>
      <t xml:space="preserve">불안할 때마다 반복하게 되는 습관이 있는데 멈추기 어렵지 않나요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</si>
  <si>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불안할 때마다 나도 모르게 반복하게 되는 습관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멈추기 어렵진 않나요</t>
    </r>
    <r>
      <rPr>
        <sz val="10"/>
        <rFont val="Malgun Gothic"/>
        <family val="0"/>
        <charset val="1"/>
      </rPr>
      <t xml:space="preserve">?</t>
    </r>
  </si>
  <si>
    <t xml:space="preserve">cards.15.practices.0.how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</si>
  <si>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 습관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무엇인지 앞에 설명이 없음</t>
    </r>
  </si>
  <si>
    <r>
      <rPr>
        <sz val="10"/>
        <rFont val="Noto Sans CJK SC"/>
        <family val="2"/>
      </rPr>
      <t xml:space="preserve">그 습관이 나온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직전의 마음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하고 난 뒤의 기분을 세 칸에 기록해요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</si>
  <si>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바꾸고 싶은 습관이 나온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직전의 마음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하고 난 뒤의 기분을 세 칸에 기록해요</t>
    </r>
    <r>
      <rPr>
        <sz val="10"/>
        <rFont val="Malgun Gothic"/>
        <family val="0"/>
        <charset val="1"/>
      </rPr>
      <t xml:space="preserve">.</t>
    </r>
  </si>
  <si>
    <t xml:space="preserve">cards.15.practices.1.why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</si>
  <si>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습관과 행동 사이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뜻이 겹침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습관도 행동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</si>
  <si>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습관과 행동 사이에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초의 틈을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늘 하던 반응 대신 고를 수 있는 여지가 생겨요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</si>
  <si>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습관이 시작되려는 순간과 행동 사이에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초의 틈을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늘 하던 반응 대신 고를 수 있는 여지가 생겨요</t>
    </r>
    <r>
      <rPr>
        <sz val="10"/>
        <rFont val="Malgun Gothic"/>
        <family val="0"/>
        <charset val="1"/>
      </rPr>
      <t xml:space="preserve">.</t>
    </r>
  </si>
  <si>
    <t xml:space="preserve">cards.16.about_origin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</si>
  <si>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탑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예상치 못한 변화와 그 뒤에 오는 새로운 깨달음을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무너진 자리에서 다시 쌓는 회복의 힘으로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</si>
  <si>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탑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예상치 못한 변화와 그 뒤에 오는 새로운 깨달음을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무너진 자리에서 다시 쌓는 회복의 힘으로 읽어요</t>
    </r>
    <r>
      <rPr>
        <sz val="10"/>
        <rFont val="Malgun Gothic"/>
        <family val="0"/>
        <charset val="1"/>
      </rPr>
      <t xml:space="preserve">.</t>
    </r>
  </si>
  <si>
    <t xml:space="preserve">cards.16.deep.hold.0</t>
  </si>
  <si>
    <r>
      <rPr>
        <sz val="10"/>
        <rFont val="Noto Sans CJK SC"/>
        <family val="2"/>
      </rPr>
      <t xml:space="preserve">첫 문장이 위치해석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처음부터 다시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생각이 너무 커서 손을 대기 어려울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거의 그대로 반복하고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해야 할 일이 한꺼번에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이어지며 내용이 겹침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</si>
  <si>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처음부터 다시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말은 너무 커서 손을 대기 어렵게 만들어요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해야 할 일이 한꺼번에 보이면 마음은 시작하기보다 멈추는 쪽을 택하기 쉬워요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</si>
  <si>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처음부터 다시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라고 생각하면 해야 할 일이 한꺼번에 눈앞에 쌓여 보여요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그러면 마음은 시작하기보다 멈추는 쪽을 택하기 쉬워요</t>
    </r>
    <r>
      <rPr>
        <sz val="10"/>
        <rFont val="Malgun Gothic"/>
        <family val="0"/>
        <charset val="1"/>
      </rPr>
      <t xml:space="preserve">.</t>
    </r>
  </si>
  <si>
    <t xml:space="preserve">cards.16.deep.now.0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</si>
  <si>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 계획에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위치해석은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계획이나 기대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인데 계획으로만 좁혀 관계 고민 등에서 어색함</t>
    </r>
  </si>
  <si>
    <r>
      <rPr>
        <sz val="10"/>
        <rFont val="Noto Sans CJK SC"/>
        <family val="2"/>
      </rPr>
      <t xml:space="preserve">믿어 왔던 것이 흔들리면 마음은 한동안 멍해지기도 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허탈함과 당황스러움이 번갈아 찾아오기도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그건 약해서가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그만큼 그 계획에 마음을 쏟아 왔다는 뜻이에요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</si>
  <si>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믿어 왔던 것이 흔들리면 마음은 한동안 멍해지기도 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허탈함과 당황스러움이 번갈아 찾아오기도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그건 약해서가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그만큼 그 계획이나 기대에 마음을 쏟아 왔다는 뜻이에요</t>
    </r>
    <r>
      <rPr>
        <sz val="10"/>
        <rFont val="Malgun Gothic"/>
        <family val="0"/>
        <charset val="1"/>
      </rPr>
      <t xml:space="preserve">.</t>
    </r>
  </si>
  <si>
    <t xml:space="preserve">cards.16.positions.step</t>
  </si>
  <si>
    <r>
      <rPr>
        <sz val="10"/>
        <rFont val="Malgun Gothic"/>
        <family val="0"/>
        <charset val="1"/>
      </rPr>
      <t xml:space="preserve">'~</t>
    </r>
    <r>
      <rPr>
        <sz val="10"/>
        <rFont val="Noto Sans CJK SC"/>
        <family val="2"/>
      </rPr>
      <t xml:space="preserve">부터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한 문장에 두 번</t>
    </r>
  </si>
  <si>
    <r>
      <rPr>
        <sz val="10"/>
        <rFont val="Noto Sans CJK SC"/>
        <family val="2"/>
      </rPr>
      <t xml:space="preserve">남아 있는 것부터 확인하고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나뭇가지 하나부터 다시 쌓아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비버가 무너진 둑을 한 번에 다 짓지 않듯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오늘 할 수 있는 한 조각이면 충분해요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</si>
  <si>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남아 있는 것을 먼저 확인하고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나뭇가지 하나부터 다시 쌓아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비버가 무너진 둑을 한 번에 다 짓지 않듯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오늘 할 수 있는 한 조각이면 충분해요</t>
    </r>
    <r>
      <rPr>
        <sz val="10"/>
        <rFont val="Malgun Gothic"/>
        <family val="0"/>
        <charset val="1"/>
      </rPr>
      <t xml:space="preserve">.</t>
    </r>
  </si>
  <si>
    <t xml:space="preserve">cards.16.practices.0.why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</si>
  <si>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처음부터 다시가 아니라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어색함</t>
    </r>
  </si>
  <si>
    <r>
      <rPr>
        <sz val="10"/>
        <rFont val="Noto Sans CJK SC"/>
        <family val="2"/>
      </rPr>
      <t xml:space="preserve">무너지지 않은 것을 세어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처음부터 다시가 아니라 이어서 쌓으면 된다는 걸 알게 돼요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</si>
  <si>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무너지지 않은 것을 세어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처음부터 다시 시작하는 게 아니라 이어서 쌓으면 된다는 걸 알게 돼요</t>
    </r>
    <r>
      <rPr>
        <sz val="10"/>
        <rFont val="Malgun Gothic"/>
        <family val="0"/>
        <charset val="1"/>
      </rPr>
      <t xml:space="preserve">.</t>
    </r>
  </si>
  <si>
    <t xml:space="preserve">cards.17.about_origin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</si>
  <si>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별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희망과 치유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다시 찾아오는 빛을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천천히 자라는 회복으로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</si>
  <si>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별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희망과 치유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다시 찾아오는 빛을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천천히 자라는 회복으로 읽어요</t>
    </r>
    <r>
      <rPr>
        <sz val="10"/>
        <rFont val="Malgun Gothic"/>
        <family val="0"/>
        <charset val="1"/>
      </rPr>
      <t xml:space="preserve">.</t>
    </r>
  </si>
  <si>
    <t xml:space="preserve">cards.17.positions.hold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</si>
  <si>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예전처럼 돌아가야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</si>
  <si>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예전처럼 돌아가야 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기준이 지금의 회복을 작아 보이게 할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회복에도 저마다의 속도가 있다는 걸 잊고 스스로를 재촉하기 쉬워요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</si>
  <si>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예전으로 돌아가야 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기준이 지금의 회복을 작아 보이게 할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회복에도 저마다의 속도가 있다는 걸 잊고 스스로를 재촉하기 쉬워요</t>
    </r>
    <r>
      <rPr>
        <sz val="10"/>
        <rFont val="Malgun Gothic"/>
        <family val="0"/>
        <charset val="1"/>
      </rPr>
      <t xml:space="preserve">.</t>
    </r>
  </si>
  <si>
    <t xml:space="preserve">cards.17.positions.step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</si>
  <si>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희망이 눈에 보이게 돼요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결과 단정</t>
    </r>
  </si>
  <si>
    <r>
      <rPr>
        <sz val="10"/>
        <rFont val="Noto Sans CJK SC"/>
        <family val="2"/>
      </rPr>
      <t xml:space="preserve">작게 나아진 것을 알아봐 주세요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불가사리가 잃은 팔을 천천히 다시 키우듯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매일의 작은 회복을 기록하면 희망이 눈에 보이게 돼요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</si>
  <si>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작게 나아진 것을 알아봐 주세요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불가사리가 잃은 팔을 천천히 다시 키우듯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매일의 작은 회복을 기록하면 희망이 눈에 보일 수 있어요</t>
    </r>
    <r>
      <rPr>
        <sz val="10"/>
        <rFont val="Malgun Gothic"/>
        <family val="0"/>
        <charset val="1"/>
      </rPr>
      <t xml:space="preserve">.</t>
    </r>
  </si>
  <si>
    <t xml:space="preserve">cards.17.practices.2.how</t>
  </si>
  <si>
    <r>
      <rPr>
        <sz val="10"/>
        <rFont val="Noto Sans CJK SC"/>
        <family val="2"/>
      </rPr>
      <t xml:space="preserve">방법은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오늘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인데 걸리는 시간은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이번 주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맞지 않음</t>
    </r>
  </si>
  <si>
    <r>
      <rPr>
        <sz val="10"/>
        <rFont val="Noto Sans CJK SC"/>
        <family val="2"/>
      </rPr>
      <t xml:space="preserve">오늘의 컨디션을 </t>
    </r>
    <r>
      <rPr>
        <sz val="10"/>
        <rFont val="Malgun Gothic"/>
        <family val="0"/>
        <charset val="1"/>
      </rPr>
      <t xml:space="preserve">0~10</t>
    </r>
    <r>
      <rPr>
        <sz val="10"/>
        <rFont val="Noto Sans CJK SC"/>
        <family val="2"/>
      </rPr>
      <t xml:space="preserve">으로 적고</t>
    </r>
    <r>
      <rPr>
        <sz val="10"/>
        <rFont val="Malgun Gothic"/>
        <family val="0"/>
        <charset val="1"/>
      </rPr>
      <t xml:space="preserve">, 1</t>
    </r>
    <r>
      <rPr>
        <sz val="10"/>
        <rFont val="Noto Sans CJK SC"/>
        <family val="2"/>
      </rPr>
      <t xml:space="preserve">이라도 오른 날엔 무엇이 도왔는지 써요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</si>
  <si>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주 매일 컨디션을 </t>
    </r>
    <r>
      <rPr>
        <sz val="10"/>
        <rFont val="Malgun Gothic"/>
        <family val="0"/>
        <charset val="1"/>
      </rPr>
      <t xml:space="preserve">0~10</t>
    </r>
    <r>
      <rPr>
        <sz val="10"/>
        <rFont val="Noto Sans CJK SC"/>
        <family val="2"/>
      </rPr>
      <t xml:space="preserve">으로 적고</t>
    </r>
    <r>
      <rPr>
        <sz val="10"/>
        <rFont val="Malgun Gothic"/>
        <family val="0"/>
        <charset val="1"/>
      </rPr>
      <t xml:space="preserve">, 1</t>
    </r>
    <r>
      <rPr>
        <sz val="10"/>
        <rFont val="Noto Sans CJK SC"/>
        <family val="2"/>
      </rPr>
      <t xml:space="preserve">이라도 오른 날엔 무엇이 도왔는지 써요</t>
    </r>
    <r>
      <rPr>
        <sz val="10"/>
        <rFont val="Malgun Gothic"/>
        <family val="0"/>
        <charset val="1"/>
      </rPr>
      <t xml:space="preserve">.</t>
    </r>
  </si>
  <si>
    <t xml:space="preserve">cards.18.about_origin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</si>
  <si>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달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불확실함과 상상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드러나지 않은 마음을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다 보이지 않아도 한 걸음씩 가는 힘으로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</si>
  <si>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달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불확실함과 상상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드러나지 않은 마음을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다 보이지 않아도 한 걸음씩 가는 힘으로 읽어요</t>
    </r>
    <r>
      <rPr>
        <sz val="10"/>
        <rFont val="Malgun Gothic"/>
        <family val="0"/>
        <charset val="1"/>
      </rPr>
      <t xml:space="preserve">.</t>
    </r>
  </si>
  <si>
    <t xml:space="preserve">cards.18.positions.step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</si>
  <si>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함께 떠다녀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함께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누구와인지 모호</t>
    </r>
  </si>
  <si>
    <r>
      <rPr>
        <sz val="10"/>
        <rFont val="Noto Sans CJK SC"/>
        <family val="2"/>
      </rPr>
      <t xml:space="preserve">불확실함을 없애려 하기보다 그 안에서 함께 떠다녀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해파리가 물결에 몸을 맡기며 은은하게 빛나듯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 한 걸음만 비출 수 있으면 충분해요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</si>
  <si>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불확실함을 없애려 하기보다 그 안에서 잠시 떠다녀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해파리가 물결에 몸을 맡기며 은은하게 빛나듯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 한 걸음만 비출 수 있으면 충분해요</t>
    </r>
    <r>
      <rPr>
        <sz val="10"/>
        <rFont val="Malgun Gothic"/>
        <family val="0"/>
        <charset val="1"/>
      </rPr>
      <t xml:space="preserve">.</t>
    </r>
  </si>
  <si>
    <t xml:space="preserve">cards.19.about_origin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</si>
  <si>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태양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기쁨과 활력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밝게 드러나는 것을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지금 여기의 따뜻함을 누리는 힘으로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</si>
  <si>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태양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기쁨과 활력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밝게 드러나는 것을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지금 여기의 따뜻함을 누리는 힘으로 읽어요</t>
    </r>
    <r>
      <rPr>
        <sz val="10"/>
        <rFont val="Malgun Gothic"/>
        <family val="0"/>
        <charset val="1"/>
      </rPr>
      <t xml:space="preserve">.</t>
    </r>
  </si>
  <si>
    <t xml:space="preserve">cards.19.deep.step.1</t>
  </si>
  <si>
    <r>
      <rPr>
        <sz val="10"/>
        <rFont val="Malgun Gothic"/>
        <family val="0"/>
        <charset val="1"/>
      </rPr>
      <t xml:space="preserve">'30</t>
    </r>
    <r>
      <rPr>
        <sz val="10"/>
        <rFont val="Noto Sans CJK SC"/>
        <family val="2"/>
      </rPr>
      <t xml:space="preserve">초만 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같은 카드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위치의 역방향 위치해석은 </t>
    </r>
    <r>
      <rPr>
        <sz val="10"/>
        <rFont val="Malgun Gothic"/>
        <family val="0"/>
        <charset val="1"/>
      </rPr>
      <t xml:space="preserve">'1</t>
    </r>
    <r>
      <rPr>
        <sz val="10"/>
        <rFont val="Noto Sans CJK SC"/>
        <family val="2"/>
      </rPr>
      <t xml:space="preserve">분만 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 함께 보이면 숫자가 어긋남</t>
    </r>
  </si>
  <si>
    <r>
      <rPr>
        <sz val="10"/>
        <rFont val="Noto Sans CJK SC"/>
        <family val="2"/>
      </rPr>
      <t xml:space="preserve">오늘 좋았던 순간 하나를 골라 </t>
    </r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</rPr>
      <t xml:space="preserve">초만 더 머물러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그때의 소리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냄새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표정을 떠올리며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좋았다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 마음속으로 말해 보는 거예요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물개가 햇살에 몸을 데우듯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기쁨도 머무는 만큼 따뜻해져요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</si>
  <si>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 좋았던 순간 하나를 골라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분만 더 머물러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그때의 소리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냄새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표정을 떠올리며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좋았다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 마음속으로 말해 보는 거예요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물개가 햇살에 몸을 데우듯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기쁨도 머무는 만큼 따뜻해져요</t>
    </r>
    <r>
      <rPr>
        <sz val="10"/>
        <rFont val="Malgun Gothic"/>
        <family val="0"/>
        <charset val="1"/>
      </rPr>
      <t xml:space="preserve">.</t>
    </r>
  </si>
  <si>
    <t xml:space="preserve">cards.19.positions.now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</si>
  <si>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 순간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가리키는 대상이 불분명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</t>
    </r>
  </si>
  <si>
    <r>
      <rPr>
        <sz val="10"/>
        <rFont val="Noto Sans CJK SC"/>
        <family val="2"/>
      </rPr>
      <t xml:space="preserve">고민이 있어도 마음 한쪽에 기쁨과 기대가 살아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순간에도 웃을 수 있는 힘이 지금 당신의 큰 자원이에요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</si>
  <si>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고민이 있어도 마음 한쪽에 기쁨과 기대가 살아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힘든 순간에도 웃을 수 있는 힘이 지금의 큰 자원이에요</t>
    </r>
    <r>
      <rPr>
        <sz val="10"/>
        <rFont val="Malgun Gothic"/>
        <family val="0"/>
        <charset val="1"/>
      </rPr>
      <t xml:space="preserve">.</t>
    </r>
  </si>
  <si>
    <t xml:space="preserve">cards.19.positions.step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</si>
  <si>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햇살 바위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</si>
  <si>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좋은 순간을 조금 더 오래 머금어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물개가 햇살 바위 위에서 몸을 데우듯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기쁨을 음미하는 시간이 마음의 배터리를 채워 줘요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</si>
  <si>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순간을 조금 더 오래 머금어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물개가 햇살 드는 바위 위에서 몸을 데우듯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기쁨을 음미하는 시간이 마음의 배터리를 채워 줘요</t>
    </r>
    <r>
      <rPr>
        <sz val="10"/>
        <rFont val="Malgun Gothic"/>
        <family val="0"/>
        <charset val="1"/>
      </rPr>
      <t xml:space="preserve">.</t>
    </r>
  </si>
  <si>
    <t xml:space="preserve">cards.2.about_origin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</si>
  <si>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여사제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직관과 내면의 지혜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아직 드러나지 않은 앎을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조용히 바라볼 때 들리는 내 안의 목소리로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</si>
  <si>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여사제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직관과 내면의 지혜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아직 드러나지 않은 앎을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조용히 바라볼 때 들리는 내 안의 목소리로 읽어요</t>
    </r>
    <r>
      <rPr>
        <sz val="10"/>
        <rFont val="Malgun Gothic"/>
        <family val="0"/>
        <charset val="1"/>
      </rPr>
      <t xml:space="preserve">.</t>
    </r>
  </si>
  <si>
    <t xml:space="preserve">cards.2.asks.1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</si>
  <si>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마음은 이미 한쪽으로 기울어 있는데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사실을 단정하며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같은 카드 설명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마음이 어디로 기우는지 잘 모를 때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과 충돌</t>
    </r>
  </si>
  <si>
    <r>
      <rPr>
        <sz val="10"/>
        <rFont val="Noto Sans CJK SC"/>
        <family val="2"/>
      </rPr>
      <t xml:space="preserve">마음은 이미 한쪽으로 기울어 있는데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믿어도 될지 망설이고 있나요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</si>
  <si>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한쪽으로 기우는 것 같은데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믿어도 될지 망설이고 있나요</t>
    </r>
    <r>
      <rPr>
        <sz val="10"/>
        <rFont val="Malgun Gothic"/>
        <family val="0"/>
        <charset val="1"/>
      </rPr>
      <t xml:space="preserve">?</t>
    </r>
  </si>
  <si>
    <t xml:space="preserve">cards.2.deep.hold.0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</si>
  <si>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목소리는 작고 망설이는 모양이라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목소리에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모양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어울리지 않음</t>
    </r>
  </si>
  <si>
    <r>
      <rPr>
        <sz val="10"/>
        <rFont val="Noto Sans CJK SC"/>
        <family val="2"/>
      </rPr>
      <t xml:space="preserve">다른 사람의 의견이나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해야 하는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소리가 크고 분명해서 쉽게 들려요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반면 내 안의 목소리는 작고 망설이는 모양이라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바쁜 날에는 그 소리를 놓치기 쉬워요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</si>
  <si>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사람의 의견이나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해야 하는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소리가 크고 분명해서 쉽게 들려요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반면 내 안의 목소리는 작고 머뭇거릴 때가 많아서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바쁜 날에는 그 소리를 놓치기 쉬워요</t>
    </r>
    <r>
      <rPr>
        <sz val="10"/>
        <rFont val="Malgun Gothic"/>
        <family val="0"/>
        <charset val="1"/>
      </rPr>
      <t xml:space="preserve">.</t>
    </r>
  </si>
  <si>
    <t xml:space="preserve">cards.2.practices.0.title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</si>
  <si>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호흡 공간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기법명 직역투</t>
    </r>
  </si>
  <si>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분 호흡 공간</t>
    </r>
  </si>
  <si>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분 숨 고르기</t>
    </r>
  </si>
  <si>
    <t xml:space="preserve">cards.2.practices.1.how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</si>
  <si>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선택지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무엇인지 앞에 설명이 없어 갑작스러움</t>
    </r>
  </si>
  <si>
    <r>
      <rPr>
        <sz val="10"/>
        <rFont val="Noto Sans CJK SC"/>
        <family val="2"/>
      </rPr>
      <t xml:space="preserve">선택지를 하나씩 떠올리며 몸이 조여지는지 풀리는지 한 줄씩 적어요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</si>
  <si>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고민 중인 선택지를 하나씩 떠올리며 몸이 조여지는지 풀리는지 한 줄씩 적어요</t>
    </r>
    <r>
      <rPr>
        <sz val="10"/>
        <rFont val="Malgun Gothic"/>
        <family val="0"/>
        <charset val="1"/>
      </rPr>
      <t xml:space="preserve">.</t>
    </r>
  </si>
  <si>
    <t xml:space="preserve">cards.2.reversed.positions.step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</si>
  <si>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조언을 멈추고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조언을 하는 쪽으로 읽힘</t>
    </r>
  </si>
  <si>
    <r>
      <rPr>
        <sz val="10"/>
        <rFont val="Noto Sans CJK SC"/>
        <family val="2"/>
      </rPr>
      <t xml:space="preserve">검색과 조언을 잠시 멈추고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하루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분은 아무 정보 없이 내 마음만 들어 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</si>
  <si>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검색과 조언 구하기를 잠시 멈추고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하루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분은 아무 정보 없이 내 마음만 들어 보세요</t>
    </r>
    <r>
      <rPr>
        <sz val="10"/>
        <rFont val="Malgun Gothic"/>
        <family val="0"/>
        <charset val="1"/>
      </rPr>
      <t xml:space="preserve">.</t>
    </r>
  </si>
  <si>
    <t xml:space="preserve">cards.20.about_origin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</si>
  <si>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심판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깨어남과 부름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 시작을 위한 돌아봄을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마음 깊은 곳의 부름에 답하는 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</si>
  <si>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심판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깨어남과 부름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 시작을 위한 돌아봄을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마음 깊은 곳의 부름에 답하는 일로 읽어요</t>
    </r>
    <r>
      <rPr>
        <sz val="10"/>
        <rFont val="Malgun Gothic"/>
        <family val="0"/>
        <charset val="1"/>
      </rPr>
      <t xml:space="preserve">.</t>
    </r>
  </si>
  <si>
    <t xml:space="preserve">cards.20.practices.2.how</t>
  </si>
  <si>
    <r>
      <rPr>
        <sz val="10"/>
        <rFont val="Noto Sans CJK SC"/>
        <family val="2"/>
      </rPr>
      <t xml:space="preserve">제목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인데 방법은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공통점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이라 연결이 약하고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앞 실천을 안 봤으면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찾은 공통점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모호함</t>
    </r>
  </si>
  <si>
    <r>
      <rPr>
        <sz val="10"/>
        <rFont val="Noto Sans CJK SC"/>
        <family val="2"/>
      </rPr>
      <t xml:space="preserve">찾은 공통점에 맞는 행동 하나를 이번 주 일정에 넣어요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</si>
  <si>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의미 있었던 순간들의 공통점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곧 내가 소중히 여기는 것에 맞는 행동 하나를 이번 주 일정에 넣어요</t>
    </r>
    <r>
      <rPr>
        <sz val="10"/>
        <rFont val="Malgun Gothic"/>
        <family val="0"/>
        <charset val="1"/>
      </rPr>
      <t xml:space="preserve">.</t>
    </r>
  </si>
  <si>
    <t xml:space="preserve">cards.20.reversed.positions.hold</t>
  </si>
  <si>
    <r>
      <rPr>
        <sz val="10"/>
        <rFont val="Noto Sans CJK SC"/>
        <family val="2"/>
      </rPr>
      <t xml:space="preserve">정방향 </t>
    </r>
    <r>
      <rPr>
        <sz val="10"/>
        <rFont val="Malgun Gothic"/>
        <family val="0"/>
        <charset val="1"/>
      </rPr>
      <t xml:space="preserve">hold('</t>
    </r>
    <r>
      <rPr>
        <sz val="10"/>
        <rFont val="Noto Sans CJK SC"/>
        <family val="2"/>
      </rPr>
      <t xml:space="preserve">지난 선택에 대한 후회나 스스로에 대한 평가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와 거의 같은 문장</t>
    </r>
  </si>
  <si>
    <r>
      <rPr>
        <sz val="10"/>
        <rFont val="Noto Sans CJK SC"/>
        <family val="2"/>
      </rPr>
      <t xml:space="preserve">지난 선택에 대한 후회나 자기 비판이 새로운 시작을 붙잡고 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</si>
  <si>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스스로에게 너무 높은 기준을 대느라 새로운 시작이 자꾸 뒤로 밀리고 있을 수 있어요</t>
    </r>
    <r>
      <rPr>
        <sz val="10"/>
        <rFont val="Malgun Gothic"/>
        <family val="0"/>
        <charset val="1"/>
      </rPr>
      <t xml:space="preserve">.</t>
    </r>
  </si>
  <si>
    <t xml:space="preserve">cards.21.about_origin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</si>
  <si>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세계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완성과 통합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바퀴를 돈 여정을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지나온 여정 전체를 인정하는 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</si>
  <si>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세계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완성과 통합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바퀴를 돈 여정을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지나온 여정 전체를 인정하는 일로 읽어요</t>
    </r>
    <r>
      <rPr>
        <sz val="10"/>
        <rFont val="Malgun Gothic"/>
        <family val="0"/>
        <charset val="1"/>
      </rPr>
      <t xml:space="preserve">.</t>
    </r>
  </si>
  <si>
    <t xml:space="preserve">cards.21.asks.1</t>
  </si>
  <si>
    <r>
      <rPr>
        <sz val="10"/>
        <rFont val="Noto Sans CJK SC"/>
        <family val="2"/>
      </rPr>
      <t xml:space="preserve">같은 카드 </t>
    </r>
    <r>
      <rPr>
        <sz val="10"/>
        <rFont val="Malgun Gothic"/>
        <family val="0"/>
        <charset val="1"/>
      </rPr>
      <t xml:space="preserve">asks.0('</t>
    </r>
    <r>
      <rPr>
        <sz val="10"/>
        <rFont val="Noto Sans CJK SC"/>
        <family val="2"/>
      </rPr>
      <t xml:space="preserve">다음 목표에 쫓겨 스스로를 인정해 주지 못하고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과 내용이 거의 겹침</t>
    </r>
  </si>
  <si>
    <r>
      <rPr>
        <sz val="10"/>
        <rFont val="Noto Sans CJK SC"/>
        <family val="2"/>
      </rPr>
      <t xml:space="preserve">지나온 시간을 돌아볼 여유 없이 바로 다음으로 넘어가고 있진 않으세요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</si>
  <si>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애써 지나온 시간을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별거 아니었다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며 작게 여기고 있진 않으세요</t>
    </r>
    <r>
      <rPr>
        <sz val="10"/>
        <rFont val="Malgun Gothic"/>
        <family val="0"/>
        <charset val="1"/>
      </rPr>
      <t xml:space="preserve">?</t>
    </r>
  </si>
  <si>
    <t xml:space="preserve">cards.21.core</t>
  </si>
  <si>
    <r>
      <rPr>
        <sz val="10"/>
        <rFont val="Noto Sans CJK SC"/>
        <family val="2"/>
      </rPr>
      <t xml:space="preserve">여기까지 온 당신의 여정 전체가 하나의 바다예요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</si>
  <si>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여기까지 걸어온 여정 전체가 하나의 바다예요</t>
    </r>
    <r>
      <rPr>
        <sz val="10"/>
        <rFont val="Malgun Gothic"/>
        <family val="0"/>
        <charset val="1"/>
      </rPr>
      <t xml:space="preserve">.</t>
    </r>
  </si>
  <si>
    <t xml:space="preserve">cards.3.about_origin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</si>
  <si>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여황제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풍요와 돌봄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길러 내는 힘을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남을 품듯 나를 품어 주는 자기돌봄으로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</si>
  <si>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여황제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풍요와 돌봄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길러 내는 힘을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남을 품듯 나를 품어 주는 자기돌봄으로 읽어요</t>
    </r>
    <r>
      <rPr>
        <sz val="10"/>
        <rFont val="Malgun Gothic"/>
        <family val="0"/>
        <charset val="1"/>
      </rPr>
      <t xml:space="preserve">.</t>
    </r>
  </si>
  <si>
    <t xml:space="preserve">cards.3.deep.hold.1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</si>
  <si>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당연하다는 걸 허락해 보는 거예요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사실</t>
    </r>
    <r>
      <rPr>
        <sz val="10"/>
        <rFont val="Malgun Gothic"/>
        <family val="0"/>
        <charset val="1"/>
      </rPr>
      <t xml:space="preserve">(~</t>
    </r>
    <r>
      <rPr>
        <sz val="10"/>
        <rFont val="Noto Sans CJK SC"/>
        <family val="2"/>
      </rPr>
      <t xml:space="preserve">라는 것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허락한다는 어색한 연결</t>
    </r>
  </si>
  <si>
    <r>
      <rPr>
        <sz val="10"/>
        <rFont val="Noto Sans CJK SC"/>
        <family val="2"/>
      </rPr>
      <t xml:space="preserve">소중한 사람이 지금의 나처럼 지쳐 있다면 뭐라고 말해 줄까요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말을 그대로 나에게 돌려줘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남에게는 당연한 쉼이 나에게도 똑같이 당연하다는 걸 조금씩 허락해 보는 거예요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</si>
  <si>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소중한 사람이 지금의 나처럼 지쳐 있다면 뭐라고 말해 줄까요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말을 그대로 나에게 돌려줘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남에게는 당연한 쉼을 나에게도 똑같이 조금씩 허락해 보는 거예요</t>
    </r>
    <r>
      <rPr>
        <sz val="10"/>
        <rFont val="Malgun Gothic"/>
        <family val="0"/>
        <charset val="1"/>
      </rPr>
      <t xml:space="preserve">.</t>
    </r>
  </si>
  <si>
    <t xml:space="preserve">cards.4.about_origin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</si>
  <si>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황제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질서와 책임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든든한 구조를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흔들릴 때 나를 지켜 주는 작은 질서로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</si>
  <si>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황제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질서와 책임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든든한 구조를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흔들릴 때 나를 지켜 주는 작은 질서로 읽어요</t>
    </r>
    <r>
      <rPr>
        <sz val="10"/>
        <rFont val="Malgun Gothic"/>
        <family val="0"/>
        <charset val="1"/>
      </rPr>
      <t xml:space="preserve">.</t>
    </r>
  </si>
  <si>
    <t xml:space="preserve">cards.4.deep.now.0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</si>
  <si>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당신의 어깨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호칭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가능성이 커요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위치해석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든든한 존재일 가능성이 커요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과 겹침</t>
    </r>
  </si>
  <si>
    <r>
      <rPr>
        <sz val="10"/>
        <rFont val="Noto Sans CJK SC"/>
        <family val="2"/>
      </rPr>
      <t xml:space="preserve">책임감이 큰 사람은 흔들리는 상황에서도 자리를 지키는 쪽을 택해요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묵묵함 덕분에 주변이 안정을 얻고 있을 가능성이 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그만큼 당신의 어깨에도 무게가 실려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</si>
  <si>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책임감이 큰 사람은 흔들리는 상황에서도 자리를 지키는 쪽을 택해요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묵묵함 덕분에 주변이 안정을 얻기도 하지만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그만큼 내 어깨에도 무게가 실려 있어요</t>
    </r>
    <r>
      <rPr>
        <sz val="10"/>
        <rFont val="Malgun Gothic"/>
        <family val="0"/>
        <charset val="1"/>
      </rPr>
      <t xml:space="preserve">.</t>
    </r>
  </si>
  <si>
    <t xml:space="preserve">cards.4.positions.now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</si>
  <si>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커요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두 문장에서 반복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상대 반응 단정</t>
    </r>
  </si>
  <si>
    <r>
      <rPr>
        <sz val="10"/>
        <rFont val="Noto Sans CJK SC"/>
        <family val="2"/>
      </rPr>
      <t xml:space="preserve">지켜야 할 것이 많고 책임감이 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맡은 자리를 묵묵히 버티고 있는 당신은 주변 사람들에게 든든한 존재일 가능성이 커요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</si>
  <si>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지켜야 할 것이 많고 책임감이 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맡은 자리를 묵묵히 버티고 있는 모습이 주변 사람들에게 든든한 힘이 되고 있을지도 몰라요</t>
    </r>
    <r>
      <rPr>
        <sz val="10"/>
        <rFont val="Malgun Gothic"/>
        <family val="0"/>
        <charset val="1"/>
      </rPr>
      <t xml:space="preserve">.</t>
    </r>
  </si>
  <si>
    <t xml:space="preserve">cards.4.positions.step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</si>
  <si>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나눠 보세요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나눠 지는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다른 뜻으로 반복되고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바꾸</t>
    </r>
    <r>
      <rPr>
        <sz val="10"/>
        <rFont val="Malgun Gothic"/>
        <family val="0"/>
        <charset val="1"/>
      </rPr>
      <t xml:space="preserve">-'</t>
    </r>
    <r>
      <rPr>
        <sz val="10"/>
        <rFont val="Noto Sans CJK SC"/>
        <family val="2"/>
      </rPr>
      <t xml:space="preserve">가 네 번 나옴</t>
    </r>
  </si>
  <si>
    <r>
      <rPr>
        <sz val="10"/>
        <rFont val="Noto Sans CJK SC"/>
        <family val="2"/>
      </rPr>
      <t xml:space="preserve">내가 바꿀 수 있는 것과 바꿀 수 없는 것을 나눠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펭귄 무리가 자리를 바꿔 가며 추위를 함께 견디듯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바꿀 수 있는 쪽에 힘을 쓰고 나머지는 나눠 지는 거예요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</si>
  <si>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바꿀 수 있는 것과 바꿀 수 없는 것을 구분해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펭귄 무리가 자리를 바꿔 가며 추위를 함께 견디듯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바꿀 수 있는 쪽에 힘을 쓰고 나머지는 함께 나눠 지는 거예요</t>
    </r>
    <r>
      <rPr>
        <sz val="10"/>
        <rFont val="Malgun Gothic"/>
        <family val="0"/>
        <charset val="1"/>
      </rPr>
      <t xml:space="preserve">.</t>
    </r>
  </si>
  <si>
    <t xml:space="preserve">cards.4.practices.0.how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</si>
  <si>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원 두 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안쪽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바깥이 무엇인지 모호함</t>
    </r>
  </si>
  <si>
    <r>
      <rPr>
        <sz val="10"/>
        <rFont val="Noto Sans CJK SC"/>
        <family val="2"/>
      </rPr>
      <t xml:space="preserve">원 두 개를 그리고 안쪽에는 내가 바꿀 수 있는 것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바깥에는 바꿀 수 없는 것을 적어요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</si>
  <si>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원 안에 작은 원을 그리고 안쪽 원에는 내가 바꿀 수 있는 것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바깥 원에는 바꿀 수 없는 것을 적어요</t>
    </r>
    <r>
      <rPr>
        <sz val="10"/>
        <rFont val="Malgun Gothic"/>
        <family val="0"/>
        <charset val="1"/>
      </rPr>
      <t xml:space="preserve">.</t>
    </r>
  </si>
  <si>
    <t xml:space="preserve">cards.5.about_origin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</si>
  <si>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교황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전통과 가르침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믿을 만한 조언을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혼자 짊어지지 않고 지혜에 기대는 힘으로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</si>
  <si>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교황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전통과 가르침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믿을 만한 조언을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혼자 짊어지지 않고 지혜에 기대는 힘으로 읽어요</t>
    </r>
    <r>
      <rPr>
        <sz val="10"/>
        <rFont val="Malgun Gothic"/>
        <family val="0"/>
        <charset val="1"/>
      </rPr>
      <t xml:space="preserve">.</t>
    </r>
  </si>
  <si>
    <t xml:space="preserve">cards.5.asks.1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</si>
  <si>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같은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한 문장에 두 번 반복</t>
    </r>
  </si>
  <si>
    <r>
      <rPr>
        <sz val="10"/>
        <rFont val="Noto Sans CJK SC"/>
        <family val="2"/>
      </rPr>
      <t xml:space="preserve">같은 생각을 며칠째 되풀이하며 같은 자리를 맴도는 느낌이 드나요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</si>
  <si>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가지 생각을 며칠째 되풀이하며 같은 자리를 맴도는 느낌이 드나요</t>
    </r>
    <r>
      <rPr>
        <sz val="10"/>
        <rFont val="Malgun Gothic"/>
        <family val="0"/>
        <charset val="1"/>
      </rPr>
      <t xml:space="preserve">?</t>
    </r>
  </si>
  <si>
    <t xml:space="preserve">cards.5.deep.now.0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</si>
  <si>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당신이 가진 큰 장점</t>
    </r>
    <r>
      <rPr>
        <sz val="10"/>
        <rFont val="Malgun Gothic"/>
        <family val="0"/>
        <charset val="1"/>
      </rPr>
      <t xml:space="preserve">' -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호칭</t>
    </r>
  </si>
  <si>
    <r>
      <rPr>
        <sz val="10"/>
        <rFont val="Noto Sans CJK SC"/>
        <family val="2"/>
      </rPr>
      <t xml:space="preserve">스스로 답을 찾으려는 힘은 당신이 가진 큰 장점이에요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다만 같은 질문을 혼자 오래 붙잡고 있으면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생각이 새 길을 찾기보다 익숙한 길을 다시 걷게 되기 쉬워요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</si>
  <si>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 답을 찾으려는 힘은 큰 장점이에요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다만 같은 질문을 혼자 오래 붙잡고 있으면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생각이 새 길을 찾기보다 익숙한 길을 다시 걷게 되기 쉬워요</t>
    </r>
    <r>
      <rPr>
        <sz val="10"/>
        <rFont val="Malgun Gothic"/>
        <family val="0"/>
        <charset val="1"/>
      </rPr>
      <t xml:space="preserve">.</t>
    </r>
  </si>
  <si>
    <t xml:space="preserve">cards.5.deep.step.0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</si>
  <si>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같은 길을 먼저 지나간 사람의 이야기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위치해석 문장을 그대로 반복하고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지도가 담겨 있어요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단정</t>
    </r>
  </si>
  <si>
    <r>
      <rPr>
        <sz val="10"/>
        <rFont val="Noto Sans CJK SC"/>
        <family val="2"/>
      </rPr>
      <t xml:space="preserve">오래 검증된 지혜는 책 한 권일 수도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경험 많은 선배의 한마디일 수도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전문가의 도움일 수도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같은 길을 먼저 지나간 사람의 이야기에는 내가 아직 보지 못한 지도가 담겨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</si>
  <si>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검증된 지혜는 책 한 권일 수도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경험 많은 선배의 한마디일 수도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전문가의 도움일 수도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먼저 그 길을 걸어 본 사람의 이야기에는 내가 아직 보지 못한 지도가 담겨 있을 수 있어요</t>
    </r>
    <r>
      <rPr>
        <sz val="10"/>
        <rFont val="Malgun Gothic"/>
        <family val="0"/>
        <charset val="1"/>
      </rPr>
      <t xml:space="preserve">.</t>
    </r>
  </si>
  <si>
    <t xml:space="preserve">cards.6.about_origin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</si>
  <si>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연인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사랑과 조화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가치에 따른 선택을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나다운 가치에서 시작하는 연결로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</si>
  <si>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연인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사랑과 조화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가치에 따른 선택을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나다운 가치에서 시작하는 연결로 읽어요</t>
    </r>
    <r>
      <rPr>
        <sz val="10"/>
        <rFont val="Malgun Gothic"/>
        <family val="0"/>
        <charset val="1"/>
      </rPr>
      <t xml:space="preserve">.</t>
    </r>
  </si>
  <si>
    <t xml:space="preserve">cards.6.deep.hold.0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</si>
  <si>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탓을 덜 받을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관용 표현은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탓을 듣다</t>
    </r>
    <r>
      <rPr>
        <sz val="10"/>
        <rFont val="Malgun Gothic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</si>
  <si>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상대의 마음을 먼저 확인하고 싶은 건 상처받고 싶지 않은 마음에서 비롯될 때가 많아요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또 남이 보기에 좋은 선택을 따르면 적어도 탓을 덜 받을 것 같아 안전하게 느껴지기도 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</si>
  <si>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마음을 먼저 확인하고 싶은 건 상처받고 싶지 않은 마음에서 비롯될 때가 많아요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또 남이 보기에 좋은 선택을 따르면 적어도 탓을 덜 들을 것 같아 안전하게 느껴지기도 해요</t>
    </r>
    <r>
      <rPr>
        <sz val="10"/>
        <rFont val="Malgun Gothic"/>
        <family val="0"/>
        <charset val="1"/>
      </rPr>
      <t xml:space="preserve">.</t>
    </r>
  </si>
  <si>
    <t xml:space="preserve">cards.6.deep.now.1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</si>
  <si>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앞으로의 마음을 고르는 기준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마음을 고른다는 표현이 어색함</t>
    </r>
  </si>
  <si>
    <r>
      <rPr>
        <sz val="10"/>
        <rFont val="Noto Sans CJK SC"/>
        <family val="2"/>
      </rPr>
      <t xml:space="preserve">이 관계나 선택에서 내가 가장 지키고 싶은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편안함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존중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성장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시간처럼 한두 단어로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단어가 앞으로의 마음을 고르는 기준이 되어 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</si>
  <si>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관계나 선택에서 내가 가장 지키고 싶은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편안함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존중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성장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시간처럼 한두 단어로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단어가 앞으로 마음을 정할 때 기준이 되어 줄 수 있어요</t>
    </r>
    <r>
      <rPr>
        <sz val="10"/>
        <rFont val="Malgun Gothic"/>
        <family val="0"/>
        <charset val="1"/>
      </rPr>
      <t xml:space="preserve">.</t>
    </r>
  </si>
  <si>
    <t xml:space="preserve">cards.6.positions.now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</si>
  <si>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마음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마음이 오가고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병렬이 어긋남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</t>
    </r>
  </si>
  <si>
    <r>
      <rPr>
        <sz val="10"/>
        <rFont val="Noto Sans CJK SC"/>
        <family val="2"/>
      </rPr>
      <t xml:space="preserve">누군가와 더 가까워지고 싶은 마음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중요한 선택 앞에서 마음이 오가고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관계와 선택 모두 당신에게 그만큼 소중하다는 뜻으로 읽을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</si>
  <si>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누군가와 더 가까워지고 싶거나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중요한 선택 앞에서 마음이 오가고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관계와 선택 모두 나에게 그만큼 소중하다는 뜻으로 읽을 수 있어요</t>
    </r>
    <r>
      <rPr>
        <sz val="10"/>
        <rFont val="Malgun Gothic"/>
        <family val="0"/>
        <charset val="1"/>
      </rPr>
      <t xml:space="preserve">.</t>
    </r>
  </si>
  <si>
    <t xml:space="preserve">cards.7.about_origin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</si>
  <si>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전차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의지와 추진력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방향을 잡고 나아가는 힘을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거스르기보다 흐름을 타고 나아가는 힘으로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</si>
  <si>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전차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의지와 추진력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방향을 잡고 나아가는 힘을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거스르기보다 흐름을 타고 나아가는 힘으로 읽어요</t>
    </r>
    <r>
      <rPr>
        <sz val="10"/>
        <rFont val="Malgun Gothic"/>
        <family val="0"/>
        <charset val="1"/>
      </rPr>
      <t xml:space="preserve">.</t>
    </r>
  </si>
  <si>
    <t xml:space="preserve">cards.7.deep.hold.1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</si>
  <si>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다음 파도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연속 두 문장에 반복</t>
    </r>
  </si>
  <si>
    <r>
      <rPr>
        <sz val="10"/>
        <rFont val="Noto Sans CJK SC"/>
        <family val="2"/>
      </rPr>
      <t xml:space="preserve">지금 내가 맞추려 애쓰는 기대들 가운데 꼭 지금 맞춰야 하는 것은 몇 개인가요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몇 개는 다음 파도로 미뤄도 괜찮을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쉬는 것도 다음 파도를 타기 위한 준비라는 걸 잊지 마세요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</si>
  <si>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내가 맞추려 애쓰는 기대들 가운데 꼭 지금 맞춰야 하는 것은 몇 개인가요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몇 개는 다음으로 미뤄도 괜찮을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쉬는 것도 다음 파도를 타기 위한 준비라는 걸 잊지 마세요</t>
    </r>
    <r>
      <rPr>
        <sz val="10"/>
        <rFont val="Malgun Gothic"/>
        <family val="0"/>
        <charset val="1"/>
      </rPr>
      <t xml:space="preserve">.</t>
    </r>
  </si>
  <si>
    <t xml:space="preserve">cards.7.reversed.positions.hold</t>
  </si>
  <si>
    <r>
      <rPr>
        <sz val="10"/>
        <rFont val="Noto Sans CJK SC"/>
        <family val="2"/>
      </rPr>
      <t xml:space="preserve">정방향 </t>
    </r>
    <r>
      <rPr>
        <sz val="10"/>
        <rFont val="Malgun Gothic"/>
        <family val="0"/>
        <charset val="1"/>
      </rPr>
      <t xml:space="preserve">hold('</t>
    </r>
    <r>
      <rPr>
        <sz val="10"/>
        <rFont val="Noto Sans CJK SC"/>
        <family val="2"/>
      </rPr>
      <t xml:space="preserve">여러 방향의 기대를 모두 맞추려다 힘이 흩어지고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와 거의 같은 문장</t>
    </r>
  </si>
  <si>
    <r>
      <rPr>
        <sz val="10"/>
        <rFont val="Noto Sans CJK SC"/>
        <family val="2"/>
      </rPr>
      <t xml:space="preserve">여러 방향을 동시에 밀어붙이다 힘이 흩어지고 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</si>
  <si>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쉬지 않고 밀어붙이는 데만 익숙해져 힘이 바닥나고 있을 수 있어요</t>
    </r>
    <r>
      <rPr>
        <sz val="10"/>
        <rFont val="Malgun Gothic"/>
        <family val="0"/>
        <charset val="1"/>
      </rPr>
      <t xml:space="preserve">.</t>
    </r>
  </si>
  <si>
    <t xml:space="preserve">cards.8.about_origin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</si>
  <si>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부드러움으로 거친 것을 다스리는 내면의 힘을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불편함을 품어 단단해지는 힘으로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</si>
  <si>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부드러움으로 거친 것을 다스리는 내면의 힘을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불편함을 품어 단단해지는 힘으로 읽어요</t>
    </r>
    <r>
      <rPr>
        <sz val="10"/>
        <rFont val="Malgun Gothic"/>
        <family val="0"/>
        <charset val="1"/>
      </rPr>
      <t xml:space="preserve">.</t>
    </r>
  </si>
  <si>
    <t xml:space="preserve">cards.8.deep.hold.1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</si>
  <si>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불러 줘 보세요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보조용언이 겹쳐 어색함</t>
    </r>
  </si>
  <si>
    <r>
      <rPr>
        <sz val="10"/>
        <rFont val="Noto Sans CJK SC"/>
        <family val="2"/>
      </rPr>
      <t xml:space="preserve">감정이 올라올 때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없어져야 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지금 이런 마음이 있구나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하고 한 번만 불러 줘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감정은 이름이 붙으면 덜 낯설어지고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낯설지 않은 감정은 덜 무섭게 느껴져요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</si>
  <si>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올라올 때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없어져야 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지금 이런 마음이 있구나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하고 한 번 불러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감정은 이름이 붙으면 덜 낯설어지고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낯설지 않은 감정은 덜 무섭게 느껴져요</t>
    </r>
    <r>
      <rPr>
        <sz val="10"/>
        <rFont val="Malgun Gothic"/>
        <family val="0"/>
        <charset val="1"/>
      </rPr>
      <t xml:space="preserve">.</t>
    </r>
  </si>
  <si>
    <t xml:space="preserve">cards.8.deep.step.1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</si>
  <si>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하루 중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'(</t>
    </r>
    <r>
      <rPr>
        <sz val="10"/>
        <rFont val="Noto Sans CJK SC"/>
        <family val="2"/>
      </rPr>
      <t xml:space="preserve">정해 둔 시간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올라오면</t>
    </r>
    <r>
      <rPr>
        <sz val="10"/>
        <rFont val="Malgun Gothic"/>
        <family val="0"/>
        <charset val="1"/>
      </rPr>
      <t xml:space="preserve">'(</t>
    </r>
    <r>
      <rPr>
        <sz val="10"/>
        <rFont val="Noto Sans CJK SC"/>
        <family val="2"/>
      </rPr>
      <t xml:space="preserve">그때그때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 서로 어긋남</t>
    </r>
  </si>
  <si>
    <r>
      <rPr>
        <sz val="10"/>
        <rFont val="Noto Sans CJK SC"/>
        <family val="2"/>
      </rPr>
      <t xml:space="preserve">하루 중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마음이 올라오면 숨을 천천히 쉬면서 그 감정이 몸 어디에 있는지 느껴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바꾸려 하지 않고 곁에 두는 연습이 쌓이면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같은 감정이 와도 덜 휩쓸리게 될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</si>
  <si>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불편한 마음이 올라올 때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분 정도 숨을 천천히 쉬면서 그 감정이 몸 어디에 있는지 느껴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바꾸려 하지 않고 곁에 두는 연습이 쌓이면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같은 감정이 와도 덜 휩쓸리게 될 수 있어요</t>
    </r>
    <r>
      <rPr>
        <sz val="10"/>
        <rFont val="Malgun Gothic"/>
        <family val="0"/>
        <charset val="1"/>
      </rPr>
      <t xml:space="preserve">.</t>
    </r>
  </si>
  <si>
    <t xml:space="preserve">cards.8.practices.1.how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</si>
  <si>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 감정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가리키는 대상이 이 문장만으로는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따로 보이면 어색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</si>
  <si>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그 감정이 몸 어디에서 느껴지는지 찾아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분 동안 바꾸려 하지 않고 바라봐요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</si>
  <si>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느끼는 감정이 몸 어디에서 느껴지는지 찾아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분 동안 바꾸려 하지 않고 바라봐요</t>
    </r>
    <r>
      <rPr>
        <sz val="10"/>
        <rFont val="Malgun Gothic"/>
        <family val="0"/>
        <charset val="1"/>
      </rPr>
      <t xml:space="preserve">.</t>
    </r>
  </si>
  <si>
    <t xml:space="preserve">cards.9.about_origin</t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</si>
  <si>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은둔자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고독 속의 성찰과 내면을 비추는 등불을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혼자만의 시간을 나를 비추는 시간으로 바꾸는 힘으로 읽어요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</si>
  <si>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은둔자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고독 속의 성찰과 내면을 비추는 등불을 뜻해요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혼자만의 시간을 나를 비추는 시간으로 바꾸는 힘으로 읽어요</t>
    </r>
    <r>
      <rPr>
        <sz val="10"/>
        <rFont val="Malgun Gothic"/>
        <family val="0"/>
        <charset val="1"/>
      </rPr>
      <t xml:space="preserve">.</t>
    </r>
  </si>
  <si>
    <t xml:space="preserve">cards.9.practices.2.why</t>
  </si>
  <si>
    <r>
      <rPr>
        <sz val="10"/>
        <rFont val="Malgun Gothic"/>
        <family val="0"/>
        <charset val="1"/>
      </rPr>
      <t xml:space="preserve">'~</t>
    </r>
    <r>
      <rPr>
        <sz val="10"/>
        <rFont val="Noto Sans CJK SC"/>
        <family val="2"/>
      </rPr>
      <t xml:space="preserve">면 </t>
    </r>
    <r>
      <rPr>
        <sz val="10"/>
        <rFont val="Malgun Gothic"/>
        <family val="0"/>
        <charset val="1"/>
      </rPr>
      <t xml:space="preserve">... </t>
    </r>
    <r>
      <rPr>
        <sz val="10"/>
        <rFont val="Noto Sans CJK SC"/>
        <family val="2"/>
      </rPr>
      <t xml:space="preserve">지켜 줘요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주어가 없어 문장이 맞지 않음</t>
    </r>
  </si>
  <si>
    <r>
      <rPr>
        <sz val="10"/>
        <rFont val="Noto Sans CJK SC"/>
        <family val="2"/>
      </rPr>
      <t xml:space="preserve">혼자만의 시간에도 연결 하나를 이어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고독이 고립으로 바뀌지 않게 지켜 줘요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</si>
  <si>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혼자만의 시간에도 연결 하나를 이어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고독이 고립으로 바뀌지 않게 지킬 수 있어요</t>
    </r>
    <r>
      <rPr>
        <sz val="10"/>
        <rFont val="Malgun Gothic"/>
        <family val="0"/>
        <charset val="1"/>
      </rPr>
      <t xml:space="preserve">.</t>
    </r>
  </si>
  <si>
    <t xml:space="preserve">cards.9.reversed.positions.step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</si>
  <si>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사람과 짧게 이어져 보세요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</si>
  <si>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등불을 들고 한 걸음만 밖으로 나와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편한 사람 한 명과 짧게 이어져 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</si>
  <si>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등불을 들고 한 걸음만 밖으로 나와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편한 사람 한 명과 짧게라도 연결되어 보세요</t>
    </r>
    <r>
      <rPr>
        <sz val="10"/>
        <rFont val="Malgun Gothic"/>
        <family val="0"/>
        <charset val="1"/>
      </rPr>
      <t xml:space="preserve">.</t>
    </r>
  </si>
  <si>
    <t xml:space="preserve">copy.cta_chat.body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</si>
  <si>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지금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한 문장에 두 번</t>
    </r>
  </si>
  <si>
    <r>
      <rPr>
        <sz val="10"/>
        <rFont val="Noto Sans CJK SC"/>
        <family val="2"/>
      </rPr>
      <t xml:space="preserve">카드에서 마음에 걸린 문장이 있다면 쏘웰라에게 이어서 이야기해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쏘웰라는 전문 상담사가 설계한 웰니스 대화예요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타로를 보신 분들은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일 동안 무료로 이용할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 계정 그대로 쏘웰라에 접속할 수 있으니 바로 대화해 볼까요</t>
    </r>
    <r>
      <rPr>
        <sz val="10"/>
        <rFont val="Malgun Gothic"/>
        <family val="0"/>
        <charset val="1"/>
      </rPr>
      <t xml:space="preserve">?</t>
    </r>
  </si>
  <si>
    <t xml:space="preserve">copy.experience.sub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</si>
  <si>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처음이신지요</t>
    </r>
    <r>
      <rPr>
        <sz val="10"/>
        <rFont val="Malgun Gothic"/>
        <family val="0"/>
        <charset val="1"/>
      </rPr>
      <t xml:space="preserve">?'</t>
    </r>
    <r>
      <rPr>
        <sz val="10"/>
        <rFont val="Noto Sans CJK SC"/>
        <family val="2"/>
      </rPr>
      <t xml:space="preserve">가 예스럽고 딱딱함</t>
    </r>
  </si>
  <si>
    <r>
      <rPr>
        <sz val="10"/>
        <rFont val="Noto Sans CJK SC"/>
        <family val="2"/>
      </rPr>
      <t xml:space="preserve">타로카드는 처음이신가요</t>
    </r>
    <r>
      <rPr>
        <sz val="10"/>
        <rFont val="Malgun Gothic"/>
        <family val="0"/>
        <charset val="1"/>
      </rPr>
      <t xml:space="preserve">?</t>
    </r>
  </si>
  <si>
    <t xml:space="preserve">copy.pick.guide</t>
  </si>
  <si>
    <r>
      <rPr>
        <sz val="10"/>
        <rFont val="Noto Sans CJK SC"/>
        <family val="2"/>
      </rPr>
      <t xml:space="preserve">카드 단위 </t>
    </r>
    <r>
      <rPr>
        <sz val="10"/>
        <rFont val="Malgun Gothic"/>
        <family val="0"/>
        <charset val="1"/>
      </rPr>
      <t xml:space="preserve">'3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다른 화면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세 장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과 불일치</t>
    </r>
  </si>
  <si>
    <r>
      <rPr>
        <sz val="10"/>
        <rFont val="Noto Sans CJK SC"/>
        <family val="2"/>
      </rPr>
      <t xml:space="preserve">고민을 되새기면서 가장 마음이 가는 카드 세 장을 뽑아주세요</t>
    </r>
    <r>
      <rPr>
        <sz val="10"/>
        <rFont val="Malgun Gothic"/>
        <family val="0"/>
        <charset val="1"/>
      </rPr>
      <t xml:space="preserve">.</t>
    </r>
  </si>
  <si>
    <t xml:space="preserve">copy.safety.watch_box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</si>
  <si>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함께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한 문장에 두 번</t>
    </r>
  </si>
  <si>
    <r>
      <rPr>
        <sz val="10"/>
        <rFont val="Noto Sans CJK SC"/>
        <family val="2"/>
      </rPr>
      <t xml:space="preserve">요즘 마음이 많이 무거우셨던 것 같아요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카드 해석과 함께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언제든 기댈 수 있는 곳도 함께 적어 둘게요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</si>
  <si>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마음이 많이 무거우셨던 것 같아요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카드 해석과 함께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언제든 기댈 수 있는 곳도 적어 둘게요</t>
    </r>
    <r>
      <rPr>
        <sz val="10"/>
        <rFont val="Malgun Gothic"/>
        <family val="0"/>
        <charset val="1"/>
      </rPr>
      <t xml:space="preserve">.</t>
    </r>
  </si>
  <si>
    <t xml:space="preserve">copy.shuffle.guide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</si>
  <si>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구체적으로 생각하고 뽑을수록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많이 뽑을수록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읽혀 비문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합쇼체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해요체 섞임</t>
    </r>
  </si>
  <si>
    <r>
      <rPr>
        <sz val="10"/>
        <rFont val="Noto Sans CJK SC"/>
        <family val="2"/>
      </rPr>
      <t xml:space="preserve">이제 카드를 고를 시간이에요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가장 고민되는 부분을 생각하면서 골라 주세요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고민을 구체적으로 떠올릴수록 좋아요</t>
    </r>
    <r>
      <rPr>
        <sz val="10"/>
        <rFont val="Malgun Gothic"/>
        <family val="0"/>
        <charset val="1"/>
      </rPr>
      <t xml:space="preserve">.</t>
    </r>
  </si>
  <si>
    <t xml:space="preserve">copy.worry.sub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</si>
  <si>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도움이 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볼 수 있어요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</t>
    </r>
  </si>
  <si>
    <r>
      <rPr>
        <sz val="10"/>
        <rFont val="Noto Sans CJK SC"/>
        <family val="2"/>
      </rPr>
      <t xml:space="preserve">구체적으로 쓸수록 도움이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고민을 굳이 작성하지 않으셔도 타로카드는 볼 수 있어요</t>
    </r>
    <r>
      <rPr>
        <sz val="10"/>
        <rFont val="Malgun Gothic"/>
        <family val="0"/>
        <charset val="1"/>
      </rPr>
      <t xml:space="preserve">.</t>
    </r>
  </si>
  <si>
    <t xml:space="preserve">deep_reversed_common.now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</si>
  <si>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과하게 느껴진다면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그건 그만큼 이 고민을 오래 품어 왔다는 신호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막힘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과함과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오래 품어 왔다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연결이 비약이고 모두에게 해당하지 않는 넘겨짚기</t>
    </r>
  </si>
  <si>
    <r>
      <rPr>
        <sz val="10"/>
        <rFont val="Noto Sans CJK SC"/>
        <family val="2"/>
      </rPr>
      <t xml:space="preserve">역방향으로 나온 카드는 그 카드의 힘이 사라졌다는 뜻이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아직 안쪽에 머물러 있거나 평소와 다른 방향으로 흐르고 있다는 뜻이에요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지금의 마음이 조금 막히거나 과하게 느껴진다면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그건 그만큼 이 고민을 오래 품어 왔다는 신호일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무엇이 그 힘을 안쪽에 묶어 두고 있는지 천천히 살펴보는 것부터 시작해 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</si>
  <si>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역방향으로 나온 카드는 그 카드의 힘이 사라졌다는 뜻이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아직 안쪽에 머물러 있거나 평소와 다른 방향으로 흐르고 있다는 뜻이에요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지금의 마음이 조금 막히거나 과하게 느껴진다면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그건 그만큼 이 고민이 나에게 중요하다는 신호일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무엇이 그 힘을 안쪽에 묶어 두고 있는지 천천히 살펴보는 것부터 시작해 보세요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</si>
  <si>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color rgb="FFFFFFFF"/>
        <rFont val="Malgun Gothic"/>
        <family val="0"/>
        <charset val="1"/>
      </rPr>
      <t xml:space="preserve">ID (</t>
    </r>
    <r>
      <rPr>
        <b val="true"/>
        <sz val="10"/>
        <color rgb="FFFFFFFF"/>
        <rFont val="Noto Sans CJK SC"/>
        <family val="2"/>
      </rPr>
      <t xml:space="preserve">수정 금지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</si>
  <si>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최종 글자 수</t>
  </si>
  <si>
    <t xml:space="preserve">분량</t>
  </si>
  <si>
    <r>
      <rPr>
        <sz val="10"/>
        <rFont val="Malgun Gothic"/>
        <family val="0"/>
        <charset val="1"/>
      </rPr>
      <t xml:space="preserve">00 </t>
    </r>
    <r>
      <rPr>
        <sz val="10"/>
        <rFont val="Noto Sans CJK SC"/>
        <family val="2"/>
      </rPr>
      <t xml:space="preserve">첫 물장구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수달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</si>
  <si>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마음 한쪽에 새로 시작하고 싶은 무언가가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아직 이름을 붙이지 못했을 수 있지만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당신 안에 움직이고 싶은 에너지가 살아 있다는 뜻으로 읽을 수 있어요</t>
    </r>
    <r>
      <rPr>
        <sz val="10"/>
        <rFont val="Malgun Gothic"/>
        <family val="0"/>
        <charset val="1"/>
      </rPr>
      <t xml:space="preserve">.)</t>
    </r>
  </si>
  <si>
    <t xml:space="preserve">cards.0.positions.hold</t>
  </si>
  <si>
    <r>
      <rPr>
        <sz val="10"/>
        <rFont val="Noto Sans CJK SC"/>
        <family val="2"/>
      </rPr>
      <t xml:space="preserve">나를 붙잡는 것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정방향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</si>
  <si>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제대로 준비되면 시작해야지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생각이 발목을 잡고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준비가 끝나는 날은 잘 오지 않아서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기다리는 동안 시작하고 싶은 마음이 조금씩 식기도 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</si>
  <si>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다음 한 걸음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정방향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</si>
  <si>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발끝으로 대 보듯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대다는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를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목적어</t>
    </r>
    <r>
      <rPr>
        <sz val="10"/>
        <rFont val="Malgun Gothic"/>
        <family val="0"/>
        <charset val="1"/>
      </rPr>
      <t xml:space="preserve">) 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결과보다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해 보는 것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자체를 목표로 삼아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수달이 물이 차가운지 발끝으로 먼저 대 보듯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아주 작게 한 번 시도해 보는 거예요</t>
    </r>
    <r>
      <rPr>
        <sz val="10"/>
        <rFont val="Malgun Gothic"/>
        <family val="0"/>
        <charset val="1"/>
      </rPr>
      <t xml:space="preserve">.)</t>
    </r>
  </si>
  <si>
    <t xml:space="preserve">cards.0.reversed.positions.now</t>
  </si>
  <si>
    <r>
      <rPr>
        <sz val="10"/>
        <rFont val="Noto Sans CJK SC"/>
        <family val="2"/>
      </rPr>
      <t xml:space="preserve">지금의 마음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역방향</t>
    </r>
  </si>
  <si>
    <r>
      <rPr>
        <sz val="10"/>
        <rFont val="Noto Sans CJK SC"/>
        <family val="2"/>
      </rPr>
      <t xml:space="preserve">새로 시작하고 싶은 마음은 있지만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실패할까 봐 발끝만 물에 대고 있는 상태일 수 있어요</t>
    </r>
    <r>
      <rPr>
        <sz val="10"/>
        <rFont val="Malgun Gothic"/>
        <family val="0"/>
        <charset val="1"/>
      </rPr>
      <t xml:space="preserve">.</t>
    </r>
  </si>
  <si>
    <t xml:space="preserve">cards.0.reversed.positions.hold</t>
  </si>
  <si>
    <r>
      <rPr>
        <sz val="10"/>
        <rFont val="Noto Sans CJK SC"/>
        <family val="2"/>
      </rPr>
      <t xml:space="preserve">나를 붙잡는 것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역방향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</si>
  <si>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처음부터 잘해야 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기준이 첫걸음을 무겁게 만들고 있을 수 있어요</t>
    </r>
    <r>
      <rPr>
        <sz val="10"/>
        <rFont val="Malgun Gothic"/>
        <family val="0"/>
        <charset val="1"/>
      </rPr>
      <t xml:space="preserve">.</t>
    </r>
  </si>
  <si>
    <t xml:space="preserve">cards.0.reversed.positions.step</t>
  </si>
  <si>
    <r>
      <rPr>
        <sz val="10"/>
        <rFont val="Noto Sans CJK SC"/>
        <family val="2"/>
      </rPr>
      <t xml:space="preserve">다음 한 걸음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역방향</t>
    </r>
  </si>
  <si>
    <r>
      <rPr>
        <sz val="10"/>
        <rFont val="Noto Sans CJK SC"/>
        <family val="2"/>
      </rPr>
      <t xml:space="preserve">거창한 시작 대신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물 온도만 재 보듯 오늘 아주 작은 시도 하나면 충분해요</t>
    </r>
    <r>
      <rPr>
        <sz val="10"/>
        <rFont val="Malgun Gothic"/>
        <family val="0"/>
        <charset val="1"/>
      </rPr>
      <t xml:space="preserve">.</t>
    </r>
  </si>
  <si>
    <t xml:space="preserve">cards.1.positions.now</t>
  </si>
  <si>
    <r>
      <rPr>
        <sz val="10"/>
        <rFont val="Malgun Gothic"/>
        <family val="0"/>
        <charset val="1"/>
      </rPr>
      <t xml:space="preserve">01 </t>
    </r>
    <r>
      <rPr>
        <sz val="10"/>
        <rFont val="Noto Sans CJK SC"/>
        <family val="2"/>
      </rPr>
      <t xml:space="preserve">여덟 갈래의 손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문어</t>
    </r>
  </si>
  <si>
    <r>
      <rPr>
        <sz val="10"/>
        <rFont val="Noto Sans CJK SC"/>
        <family val="2"/>
      </rPr>
      <t xml:space="preserve">해결하고 싶은 마음이 분명하고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무엇이든 해 볼 준비가 되어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다만 할 일이 많아 손이 여러 군데로 뻗어 있는 상태일 수 있어요</t>
    </r>
    <r>
      <rPr>
        <sz val="10"/>
        <rFont val="Malgun Gothic"/>
        <family val="0"/>
        <charset val="1"/>
      </rPr>
      <t xml:space="preserve">.</t>
    </r>
  </si>
  <si>
    <t xml:space="preserve">cards.1.positions.hold</t>
  </si>
  <si>
    <r>
      <rPr>
        <sz val="10"/>
        <rFont val="Noto Sans CJK SC"/>
        <family val="2"/>
      </rPr>
      <t xml:space="preserve">없는 것에 시선이 먼저 가서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이미 가진 강점과 도움을 놓치고 있을 수 있어요</t>
    </r>
    <r>
      <rPr>
        <sz val="10"/>
        <rFont val="Malgun Gothic"/>
        <family val="0"/>
        <charset val="1"/>
      </rPr>
      <t xml:space="preserve">. '</t>
    </r>
    <r>
      <rPr>
        <sz val="10"/>
        <rFont val="Noto Sans CJK SC"/>
        <family val="2"/>
      </rPr>
      <t xml:space="preserve">아직 부족하다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느낌이 실제보다 크게 자리 잡기 쉬워요</t>
    </r>
    <r>
      <rPr>
        <sz val="10"/>
        <rFont val="Malgun Gothic"/>
        <family val="0"/>
        <charset val="1"/>
      </rPr>
      <t xml:space="preserve">.</t>
    </r>
  </si>
  <si>
    <t xml:space="preserve">cards.1.positions.step</t>
  </si>
  <si>
    <r>
      <rPr>
        <sz val="10"/>
        <rFont val="Noto Sans CJK SC"/>
        <family val="2"/>
      </rPr>
      <t xml:space="preserve">지금 가진 자원을 눈에 보이게 펼쳐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작은 기술까지 적어 보면 생각보다 쓸 수 있는 손이 많다는 걸 알게 될 수 있어요</t>
    </r>
    <r>
      <rPr>
        <sz val="10"/>
        <rFont val="Malgun Gothic"/>
        <family val="0"/>
        <charset val="1"/>
      </rPr>
      <t xml:space="preserve">.</t>
    </r>
  </si>
  <si>
    <t xml:space="preserve">cards.1.reversed.positions.now</t>
  </si>
  <si>
    <r>
      <rPr>
        <sz val="10"/>
        <rFont val="Noto Sans CJK SC"/>
        <family val="2"/>
      </rPr>
      <t xml:space="preserve">손이 여러 군데로 뻗어 있어 무엇 하나에도 힘이 잘 실리지 않는 느낌일 수 있어요</t>
    </r>
    <r>
      <rPr>
        <sz val="10"/>
        <rFont val="Malgun Gothic"/>
        <family val="0"/>
        <charset val="1"/>
      </rPr>
      <t xml:space="preserve">.</t>
    </r>
  </si>
  <si>
    <t xml:space="preserve">cards.1.reversed.positions.hold</t>
  </si>
  <si>
    <r>
      <rPr>
        <sz val="10"/>
        <rFont val="Noto Sans CJK SC"/>
        <family val="2"/>
      </rPr>
      <t xml:space="preserve">모든 걸 다 해내야 한다는 마음이 에너지를 조각조각 나누고 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</si>
  <si>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여덟 갈래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한 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단위가 맞지 않음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여덟 갈래 중 지금 꼭 필요한 한 손만 남기고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잠시 내려놓아 보세요</t>
    </r>
    <r>
      <rPr>
        <sz val="10"/>
        <rFont val="Malgun Gothic"/>
        <family val="0"/>
        <charset val="1"/>
      </rPr>
      <t xml:space="preserve">.)</t>
    </r>
  </si>
  <si>
    <t xml:space="preserve">cards.2.positions.now</t>
  </si>
  <si>
    <r>
      <rPr>
        <sz val="10"/>
        <rFont val="Malgun Gothic"/>
        <family val="0"/>
        <charset val="1"/>
      </rPr>
      <t xml:space="preserve">02 </t>
    </r>
    <r>
      <rPr>
        <sz val="10"/>
        <rFont val="Noto Sans CJK SC"/>
        <family val="2"/>
      </rPr>
      <t xml:space="preserve">고요히 바라보기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왜가리</t>
    </r>
  </si>
  <si>
    <r>
      <rPr>
        <sz val="10"/>
        <rFont val="Noto Sans CJK SC"/>
        <family val="2"/>
      </rPr>
      <t xml:space="preserve">겉으로는 담담해 보여도 속으로는 많은 것을 느끼고 헤아리고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아직 말로 정리되지 않은 감각이 마음 아래쪽에 머물러 있을 수 있어요</t>
    </r>
    <r>
      <rPr>
        <sz val="10"/>
        <rFont val="Malgun Gothic"/>
        <family val="0"/>
        <charset val="1"/>
      </rPr>
      <t xml:space="preserve">.</t>
    </r>
  </si>
  <si>
    <t xml:space="preserve">cards.2.positions.hold</t>
  </si>
  <si>
    <r>
      <rPr>
        <sz val="10"/>
        <rFont val="Noto Sans CJK SC"/>
        <family val="2"/>
      </rPr>
      <t xml:space="preserve">다른 사람의 의견과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해야 하는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커서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 안의 작은 목소리가 잘 들리지 않을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남의 기준으로 고르면 정답처럼 보여도 마음은 개운하지 않기 쉬워요</t>
    </r>
    <r>
      <rPr>
        <sz val="10"/>
        <rFont val="Malgun Gothic"/>
        <family val="0"/>
        <charset val="1"/>
      </rPr>
      <t xml:space="preserve">.</t>
    </r>
  </si>
  <si>
    <t xml:space="preserve">cards.2.positions.step</t>
  </si>
  <si>
    <r>
      <rPr>
        <sz val="10"/>
        <rFont val="Noto Sans CJK SC"/>
        <family val="2"/>
      </rPr>
      <t xml:space="preserve">바로 결정하지 말고 물가에 선 왜가리처럼 잠시 지켜보는 시간을 가져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판단하지 않고 바라보면 내가 정말 원하는 것이 천천히 떠오를 수 있어요</t>
    </r>
    <r>
      <rPr>
        <sz val="10"/>
        <rFont val="Malgun Gothic"/>
        <family val="0"/>
        <charset val="1"/>
      </rPr>
      <t xml:space="preserve">.</t>
    </r>
  </si>
  <si>
    <t xml:space="preserve">cards.2.reversed.positions.now</t>
  </si>
  <si>
    <r>
      <rPr>
        <sz val="10"/>
        <rFont val="Noto Sans CJK SC"/>
        <family val="2"/>
      </rPr>
      <t xml:space="preserve">생각이 너무 많아 직감이 흐려져 있거나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느낌을 애써 외면하고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</si>
  <si>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cards.2.reversed.positions.hold</t>
  </si>
  <si>
    <r>
      <rPr>
        <sz val="10"/>
        <rFont val="Noto Sans CJK SC"/>
        <family val="2"/>
      </rPr>
      <t xml:space="preserve">남의 의견을 계속 찾아보는 습관이 내 판단을 미루게 하고 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</si>
  <si>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조언을 멈추고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조언을 하는 쪽으로 읽힘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검색과 조언을 잠시 멈추고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하루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분은 아무 정보 없이 내 마음만 들어 보세요</t>
    </r>
    <r>
      <rPr>
        <sz val="10"/>
        <rFont val="Malgun Gothic"/>
        <family val="0"/>
        <charset val="1"/>
      </rPr>
      <t xml:space="preserve">.)</t>
    </r>
  </si>
  <si>
    <r>
      <rPr>
        <sz val="10"/>
        <rFont val="Malgun Gothic"/>
        <family val="0"/>
        <charset val="1"/>
      </rPr>
      <t xml:space="preserve">03 </t>
    </r>
    <r>
      <rPr>
        <sz val="10"/>
        <rFont val="Noto Sans CJK SC"/>
        <family val="2"/>
      </rPr>
      <t xml:space="preserve">품어 주는 품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해달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</si>
  <si>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섞임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기준 예시와 동일</t>
    </r>
    <r>
      <rPr>
        <sz val="10"/>
        <rFont val="Malgun Gothic"/>
        <family val="0"/>
        <charset val="1"/>
      </rPr>
      <t xml:space="preserve">) 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누군가를 챙기고 돌보느라 마음을 많이 쓰고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따뜻함이 당신의 큰 힘이지만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정작 나를 돌볼 여유는 줄어 있을 수 있어요</t>
    </r>
    <r>
      <rPr>
        <sz val="10"/>
        <rFont val="Malgun Gothic"/>
        <family val="0"/>
        <charset val="1"/>
      </rPr>
      <t xml:space="preserve">.)</t>
    </r>
  </si>
  <si>
    <t xml:space="preserve">cards.3.positions.hold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</si>
  <si>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나까지 챙기면 이기적인 것 같다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생각이 쉬어야 할 순간을 자꾸 미루게 할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바닥난 채로 계속 주다 보면 다정함도 지쳐 서운함으로 바뀌기 쉬워요</t>
    </r>
    <r>
      <rPr>
        <sz val="10"/>
        <rFont val="Malgun Gothic"/>
        <family val="0"/>
        <charset val="1"/>
      </rPr>
      <t xml:space="preserve">.</t>
    </r>
  </si>
  <si>
    <t xml:space="preserve">cards.3.positions.step</t>
  </si>
  <si>
    <r>
      <rPr>
        <sz val="10"/>
        <rFont val="Noto Sans CJK SC"/>
        <family val="2"/>
      </rPr>
      <t xml:space="preserve">남에게 건네는 다정한 말을 나에게도 건네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해달이 새끼를 배 위에 올려 품듯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오늘 하루는 내 몸과 마음을 먼저 품어 주는 거예요</t>
    </r>
    <r>
      <rPr>
        <sz val="10"/>
        <rFont val="Malgun Gothic"/>
        <family val="0"/>
        <charset val="1"/>
      </rPr>
      <t xml:space="preserve">.</t>
    </r>
  </si>
  <si>
    <t xml:space="preserve">cards.3.reversed.positions.now</t>
  </si>
  <si>
    <r>
      <rPr>
        <sz val="10"/>
        <rFont val="Noto Sans CJK SC"/>
        <family val="2"/>
      </rPr>
      <t xml:space="preserve">돌봄을 주는 데 익숙해서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받는 일이 어색하거나 미안하게 느껴질 수 있어요</t>
    </r>
    <r>
      <rPr>
        <sz val="10"/>
        <rFont val="Malgun Gothic"/>
        <family val="0"/>
        <charset val="1"/>
      </rPr>
      <t xml:space="preserve">.</t>
    </r>
  </si>
  <si>
    <t xml:space="preserve">cards.3.reversed.positions.hold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</si>
  <si>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내가 챙겨야 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마음이 지나쳐 스스로를 소진시키고 있을 수 있어요</t>
    </r>
    <r>
      <rPr>
        <sz val="10"/>
        <rFont val="Malgun Gothic"/>
        <family val="0"/>
        <charset val="1"/>
      </rPr>
      <t xml:space="preserve">.</t>
    </r>
  </si>
  <si>
    <t xml:space="preserve">cards.3.reversed.positions.step</t>
  </si>
  <si>
    <r>
      <rPr>
        <sz val="10"/>
        <rFont val="Noto Sans CJK SC"/>
        <family val="2"/>
      </rPr>
      <t xml:space="preserve">오늘은 누군가를 챙기기 전에 나에게 먼저 물 한 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쉼 한 번을 건네 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</si>
  <si>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04 </t>
    </r>
    <r>
      <rPr>
        <sz val="10"/>
        <rFont val="Noto Sans CJK SC"/>
        <family val="2"/>
      </rPr>
      <t xml:space="preserve">지키는 자리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펭귄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</si>
  <si>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커요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두 문장에서 반복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상대 반응 단정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지켜야 할 것이 많고 책임감이 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맡은 자리를 묵묵히 버티고 있는 당신은 주변 사람들에게 든든한 존재일 가능성이 커요</t>
    </r>
    <r>
      <rPr>
        <sz val="10"/>
        <rFont val="Malgun Gothic"/>
        <family val="0"/>
        <charset val="1"/>
      </rPr>
      <t xml:space="preserve">.)</t>
    </r>
  </si>
  <si>
    <t xml:space="preserve">cards.4.positions.hold</t>
  </si>
  <si>
    <r>
      <rPr>
        <sz val="10"/>
        <rFont val="Noto Sans CJK SC"/>
        <family val="2"/>
      </rPr>
      <t xml:space="preserve">모든 걸 혼자 책임져야 한다는 생각이 어깨를 무겁게 하고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통제할 수 없는 것까지 붙잡으려 하면 쉬어도 쉰 것 같지 않기 쉬워요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</si>
  <si>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나눠 보세요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나눠 지는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다른 뜻으로 반복되고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바꾸</t>
    </r>
    <r>
      <rPr>
        <sz val="10"/>
        <rFont val="Malgun Gothic"/>
        <family val="0"/>
        <charset val="1"/>
      </rPr>
      <t xml:space="preserve">-'</t>
    </r>
    <r>
      <rPr>
        <sz val="10"/>
        <rFont val="Noto Sans CJK SC"/>
        <family val="2"/>
      </rPr>
      <t xml:space="preserve">가 네 번 나옴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내가 바꿀 수 있는 것과 바꿀 수 없는 것을 나눠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펭귄 무리가 자리를 바꿔 가며 추위를 함께 견디듯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바꿀 수 있는 쪽에 힘을 쓰고 나머지는 나눠 지는 거예요</t>
    </r>
    <r>
      <rPr>
        <sz val="10"/>
        <rFont val="Malgun Gothic"/>
        <family val="0"/>
        <charset val="1"/>
      </rPr>
      <t xml:space="preserve">.)</t>
    </r>
  </si>
  <si>
    <t xml:space="preserve">cards.4.reversed.positions.now</t>
  </si>
  <si>
    <r>
      <rPr>
        <sz val="10"/>
        <rFont val="Noto Sans CJK SC"/>
        <family val="2"/>
      </rPr>
      <t xml:space="preserve">책임을 놓지 못해 긴장이 계속 이어지고 있거나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반대로 기댈 질서가 없어 흔들리고 있을 수 있어요</t>
    </r>
    <r>
      <rPr>
        <sz val="10"/>
        <rFont val="Malgun Gothic"/>
        <family val="0"/>
        <charset val="1"/>
      </rPr>
      <t xml:space="preserve">.</t>
    </r>
  </si>
  <si>
    <t xml:space="preserve">cards.4.reversed.positions.hold</t>
  </si>
  <si>
    <r>
      <rPr>
        <sz val="10"/>
        <rFont val="Noto Sans CJK SC"/>
        <family val="2"/>
      </rPr>
      <t xml:space="preserve">통제하려는 마음이 커질수록 작은 변화에도 쉽게 지칠 수 있어요</t>
    </r>
    <r>
      <rPr>
        <sz val="10"/>
        <rFont val="Malgun Gothic"/>
        <family val="0"/>
        <charset val="1"/>
      </rPr>
      <t xml:space="preserve">.</t>
    </r>
  </si>
  <si>
    <t xml:space="preserve">cards.4.reversed.positions.step</t>
  </si>
  <si>
    <r>
      <rPr>
        <sz val="10"/>
        <rFont val="Noto Sans CJK SC"/>
        <family val="2"/>
      </rPr>
      <t xml:space="preserve">완벽한 질서 대신 하루 한 가지 작은 규칙만 지키는 데서 다시 시작해 보세요</t>
    </r>
    <r>
      <rPr>
        <sz val="10"/>
        <rFont val="Malgun Gothic"/>
        <family val="0"/>
        <charset val="1"/>
      </rPr>
      <t xml:space="preserve">.</t>
    </r>
  </si>
  <si>
    <t xml:space="preserve">cards.5.positions.now</t>
  </si>
  <si>
    <r>
      <rPr>
        <sz val="10"/>
        <rFont val="Malgun Gothic"/>
        <family val="0"/>
        <charset val="1"/>
      </rPr>
      <t xml:space="preserve">05 </t>
    </r>
    <r>
      <rPr>
        <sz val="10"/>
        <rFont val="Noto Sans CJK SC"/>
        <family val="2"/>
      </rPr>
      <t xml:space="preserve">오래된 지혜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거북</t>
    </r>
  </si>
  <si>
    <r>
      <rPr>
        <sz val="10"/>
        <rFont val="Noto Sans CJK SC"/>
        <family val="2"/>
      </rPr>
      <t xml:space="preserve">혼자서 답을 찾으려고 오래 고민해 왔을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스스로 해내려는 힘이 크지만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그만큼 생각이 같은 자리를 맴돌기도 해요</t>
    </r>
    <r>
      <rPr>
        <sz val="10"/>
        <rFont val="Malgun Gothic"/>
        <family val="0"/>
        <charset val="1"/>
      </rPr>
      <t xml:space="preserve">.</t>
    </r>
  </si>
  <si>
    <t xml:space="preserve">cards.5.positions.hold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</si>
  <si>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이런 걸 물어봐도 되나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하는 망설임이 도움을 구하는 길을 막고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혼자 끌어안은 고민은 실제보다 무겁게 느껴지기 쉬워요</t>
    </r>
    <r>
      <rPr>
        <sz val="10"/>
        <rFont val="Malgun Gothic"/>
        <family val="0"/>
        <charset val="1"/>
      </rPr>
      <t xml:space="preserve">.</t>
    </r>
  </si>
  <si>
    <t xml:space="preserve">cards.5.positions.step</t>
  </si>
  <si>
    <r>
      <rPr>
        <sz val="10"/>
        <rFont val="Noto Sans CJK SC"/>
        <family val="2"/>
      </rPr>
      <t xml:space="preserve">믿을 만한 사람이나 오래 검증된 지혜에 기대어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거북이 천천히 오래된 바닷길을 따라가듯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같은 길을 먼저 지나간 사람의 이야기를 들어 보는 거예요</t>
    </r>
    <r>
      <rPr>
        <sz val="10"/>
        <rFont val="Malgun Gothic"/>
        <family val="0"/>
        <charset val="1"/>
      </rPr>
      <t xml:space="preserve">.</t>
    </r>
  </si>
  <si>
    <t xml:space="preserve">cards.5.reversed.positions.now</t>
  </si>
  <si>
    <r>
      <rPr>
        <sz val="10"/>
        <rFont val="Noto Sans CJK SC"/>
        <family val="2"/>
      </rPr>
      <t xml:space="preserve">혼자 해결해야 한다는 생각에 묻는 것 자체를 망설이고 있을 수 있어요</t>
    </r>
    <r>
      <rPr>
        <sz val="10"/>
        <rFont val="Malgun Gothic"/>
        <family val="0"/>
        <charset val="1"/>
      </rPr>
      <t xml:space="preserve">.</t>
    </r>
  </si>
  <si>
    <t xml:space="preserve">cards.5.reversed.positions.hold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</si>
  <si>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다들 하는 방식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에 나를 맞추려다 내게 맞는 답을 놓치고 있을 수 있어요</t>
    </r>
    <r>
      <rPr>
        <sz val="10"/>
        <rFont val="Malgun Gothic"/>
        <family val="0"/>
        <charset val="1"/>
      </rPr>
      <t xml:space="preserve">.</t>
    </r>
  </si>
  <si>
    <t xml:space="preserve">cards.5.reversed.positions.step</t>
  </si>
  <si>
    <r>
      <rPr>
        <sz val="10"/>
        <rFont val="Noto Sans CJK SC"/>
        <family val="2"/>
      </rPr>
      <t xml:space="preserve">정답을 찾기보다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믿을 만한 한 사람에게 지금 상황을 있는 그대로 말해 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</si>
  <si>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06 </t>
    </r>
    <r>
      <rPr>
        <sz val="10"/>
        <rFont val="Noto Sans CJK SC"/>
        <family val="2"/>
      </rPr>
      <t xml:space="preserve">나란히 헤엄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원앙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</si>
  <si>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마음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마음이 오가고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병렬이 어긋남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누군가와 더 가까워지고 싶은 마음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또는 중요한 선택 앞에서 마음이 오가고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관계와 선택 모두 당신에게 그만큼 소중하다는 뜻으로 읽을 수 있어요</t>
    </r>
    <r>
      <rPr>
        <sz val="10"/>
        <rFont val="Malgun Gothic"/>
        <family val="0"/>
        <charset val="1"/>
      </rPr>
      <t xml:space="preserve">.)</t>
    </r>
  </si>
  <si>
    <t xml:space="preserve">cards.6.positions.hold</t>
  </si>
  <si>
    <r>
      <rPr>
        <sz val="10"/>
        <rFont val="Noto Sans CJK SC"/>
        <family val="2"/>
      </rPr>
      <t xml:space="preserve">상대의 마음을 먼저 확인하고 싶어서 내 마음은 말하지 못하고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혹은 남이 보기에 좋은 선택과 내가 원하는 선택 사이에서 머뭇거리고 있을 수 있어요</t>
    </r>
    <r>
      <rPr>
        <sz val="10"/>
        <rFont val="Malgun Gothic"/>
        <family val="0"/>
        <charset val="1"/>
      </rPr>
      <t xml:space="preserve">.</t>
    </r>
  </si>
  <si>
    <t xml:space="preserve">cards.6.positions.step</t>
  </si>
  <si>
    <r>
      <rPr>
        <sz val="10"/>
        <rFont val="Noto Sans CJK SC"/>
        <family val="2"/>
      </rPr>
      <t xml:space="preserve">관계와 삶에서 내가 무엇을 소중히 여기는지 먼저 확인해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원앙이 나란히 헤엄치듯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가치가 같은 방향을 볼 때 연결도 선택도 한결 편안해질 수 있어요</t>
    </r>
    <r>
      <rPr>
        <sz val="10"/>
        <rFont val="Malgun Gothic"/>
        <family val="0"/>
        <charset val="1"/>
      </rPr>
      <t xml:space="preserve">.</t>
    </r>
  </si>
  <si>
    <t xml:space="preserve">cards.6.reversed.positions.now</t>
  </si>
  <si>
    <r>
      <rPr>
        <sz val="10"/>
        <rFont val="Noto Sans CJK SC"/>
        <family val="2"/>
      </rPr>
      <t xml:space="preserve">가까워지고 싶은 마음과 상처받기 싫은 마음이 함께 있어 머뭇거리고 있을 수 있어요</t>
    </r>
    <r>
      <rPr>
        <sz val="10"/>
        <rFont val="Malgun Gothic"/>
        <family val="0"/>
        <charset val="1"/>
      </rPr>
      <t xml:space="preserve">.</t>
    </r>
  </si>
  <si>
    <t xml:space="preserve">cards.6.reversed.positions.hold</t>
  </si>
  <si>
    <r>
      <rPr>
        <sz val="10"/>
        <rFont val="Noto Sans CJK SC"/>
        <family val="2"/>
      </rPr>
      <t xml:space="preserve">상대의 반응을 먼저 확인하려는 마음이 내 진심을 미루게 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</si>
  <si>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cards.6.reversed.positions.step</t>
  </si>
  <si>
    <r>
      <rPr>
        <sz val="10"/>
        <rFont val="Noto Sans CJK SC"/>
        <family val="2"/>
      </rPr>
      <t xml:space="preserve">상대에게 맞추기 전에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내가 이 관계에서 진짜 원하는 것 한 가지를 먼저 적어 보세요</t>
    </r>
    <r>
      <rPr>
        <sz val="10"/>
        <rFont val="Malgun Gothic"/>
        <family val="0"/>
        <charset val="1"/>
      </rPr>
      <t xml:space="preserve">.</t>
    </r>
  </si>
  <si>
    <t xml:space="preserve">cards.7.positions.now</t>
  </si>
  <si>
    <r>
      <rPr>
        <sz val="10"/>
        <rFont val="Malgun Gothic"/>
        <family val="0"/>
        <charset val="1"/>
      </rPr>
      <t xml:space="preserve">07 </t>
    </r>
    <r>
      <rPr>
        <sz val="10"/>
        <rFont val="Noto Sans CJK SC"/>
        <family val="2"/>
      </rPr>
      <t xml:space="preserve">파도를 타는 힘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돌고래</t>
    </r>
  </si>
  <si>
    <r>
      <rPr>
        <sz val="10"/>
        <rFont val="Noto Sans CJK SC"/>
        <family val="2"/>
      </rPr>
      <t xml:space="preserve">앞으로 나아가고 싶은 힘이 차오르고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가고 싶은 방향이 어렴풋이 보이고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움직일 준비가 된 상태일 수 있어요</t>
    </r>
    <r>
      <rPr>
        <sz val="10"/>
        <rFont val="Malgun Gothic"/>
        <family val="0"/>
        <charset val="1"/>
      </rPr>
      <t xml:space="preserve">.</t>
    </r>
  </si>
  <si>
    <t xml:space="preserve">cards.7.positions.hold</t>
  </si>
  <si>
    <r>
      <rPr>
        <sz val="10"/>
        <rFont val="Noto Sans CJK SC"/>
        <family val="2"/>
      </rPr>
      <t xml:space="preserve">여러 방향의 기대를 모두 맞추려다 힘이 흩어지고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혹은 너무 세게 밀어붙이느라 쉬는 법을 잊고 있을 수도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</si>
  <si>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잘 되고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띄어쓰기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방향을 하나로 정하고 흐름을 이용해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돌고래가 파도를 거스르지 않고 그 힘을 빌려 나아가듯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이미 잘 되고 있는 흐름에 힘을 실어 보는 거예요</t>
    </r>
    <r>
      <rPr>
        <sz val="10"/>
        <rFont val="Malgun Gothic"/>
        <family val="0"/>
        <charset val="1"/>
      </rPr>
      <t xml:space="preserve">.)</t>
    </r>
  </si>
  <si>
    <t xml:space="preserve">cards.7.reversed.positions.now</t>
  </si>
  <si>
    <r>
      <rPr>
        <sz val="10"/>
        <rFont val="Noto Sans CJK SC"/>
        <family val="2"/>
      </rPr>
      <t xml:space="preserve">애는 많이 쓰는데 앞으로 가는 느낌이 들지 않아 조급해질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</si>
  <si>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정방향 </t>
    </r>
    <r>
      <rPr>
        <sz val="10"/>
        <rFont val="Malgun Gothic"/>
        <family val="0"/>
        <charset val="1"/>
      </rPr>
      <t xml:space="preserve">hold('</t>
    </r>
    <r>
      <rPr>
        <sz val="10"/>
        <rFont val="Noto Sans CJK SC"/>
        <family val="2"/>
      </rPr>
      <t xml:space="preserve">여러 방향의 기대를 모두 맞추려다 힘이 흩어지고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와 거의 같은 문장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여러 방향을 동시에 밀어붙이다 힘이 흩어지고 있을 수 있어요</t>
    </r>
    <r>
      <rPr>
        <sz val="10"/>
        <rFont val="Malgun Gothic"/>
        <family val="0"/>
        <charset val="1"/>
      </rPr>
      <t xml:space="preserve">.)</t>
    </r>
  </si>
  <si>
    <t xml:space="preserve">cards.7.reversed.positions.step</t>
  </si>
  <si>
    <r>
      <rPr>
        <sz val="10"/>
        <rFont val="Noto Sans CJK SC"/>
        <family val="2"/>
      </rPr>
      <t xml:space="preserve">속도를 올리기보다 방향을 하나로 다시 정하는 것부터 해 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</si>
  <si>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08 </t>
    </r>
    <r>
      <rPr>
        <sz val="10"/>
        <rFont val="Noto Sans CJK SC"/>
        <family val="2"/>
      </rPr>
      <t xml:space="preserve">진주를 품는 힘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조개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</si>
  <si>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견디는 것 자체를 힘으로 칭찬해 폭력 상황에서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참아라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읽힐 수 있음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쉽게 드러내지 않지만 마음속에 꽤 오래 품고 있는 불편함이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그걸 견디며 하루를 지켜 내고 있는 것 자체가 당신의 힘이에요</t>
    </r>
    <r>
      <rPr>
        <sz val="10"/>
        <rFont val="Malgun Gothic"/>
        <family val="0"/>
        <charset val="1"/>
      </rPr>
      <t xml:space="preserve">.)</t>
    </r>
  </si>
  <si>
    <t xml:space="preserve">cards.8.positions.hold</t>
  </si>
  <si>
    <r>
      <rPr>
        <sz val="10"/>
        <rFont val="Noto Sans CJK SC"/>
        <family val="2"/>
      </rPr>
      <t xml:space="preserve">불편한 감정을 빨리 없애야 한다는 생각이 오히려 그 감정을 더 크게 만들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밀어낼수록 더 자주 떠오르는 마음들이 있어요</t>
    </r>
    <r>
      <rPr>
        <sz val="10"/>
        <rFont val="Malgun Gothic"/>
        <family val="0"/>
        <charset val="1"/>
      </rPr>
      <t xml:space="preserve">.</t>
    </r>
  </si>
  <si>
    <t xml:space="preserve">cards.8.positions.step</t>
  </si>
  <si>
    <r>
      <rPr>
        <sz val="10"/>
        <rFont val="Noto Sans CJK SC"/>
        <family val="2"/>
      </rPr>
      <t xml:space="preserve">감정을 없애려 하기보다 잠시 곁에 두고 바라봐 주세요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조개가 모래알을 품어 진주를 만들듯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불편함과 함께 있는 연습이 마음을 단단하게 해 줄 수 있어요</t>
    </r>
    <r>
      <rPr>
        <sz val="10"/>
        <rFont val="Malgun Gothic"/>
        <family val="0"/>
        <charset val="1"/>
      </rPr>
      <t xml:space="preserve">.</t>
    </r>
  </si>
  <si>
    <t xml:space="preserve">cards.8.reversed.positions.now</t>
  </si>
  <si>
    <r>
      <rPr>
        <sz val="10"/>
        <rFont val="Noto Sans CJK SC"/>
        <family val="2"/>
      </rPr>
      <t xml:space="preserve">참는 데 익숙해져 이미 버거운 것도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괜찮다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 넘기고 있을 수 있어요</t>
    </r>
    <r>
      <rPr>
        <sz val="10"/>
        <rFont val="Malgun Gothic"/>
        <family val="0"/>
        <charset val="1"/>
      </rPr>
      <t xml:space="preserve">.</t>
    </r>
  </si>
  <si>
    <t xml:space="preserve">cards.8.reversed.positions.hold</t>
  </si>
  <si>
    <r>
      <rPr>
        <sz val="10"/>
        <rFont val="Noto Sans CJK SC"/>
        <family val="2"/>
      </rPr>
      <t xml:space="preserve">견디는 것만이 강한 거라는 생각이 도움을 청하는 길을 막고 있을 수 있어요</t>
    </r>
    <r>
      <rPr>
        <sz val="10"/>
        <rFont val="Malgun Gothic"/>
        <family val="0"/>
        <charset val="1"/>
      </rPr>
      <t xml:space="preserve">.</t>
    </r>
  </si>
  <si>
    <t xml:space="preserve">cards.8.reversed.positions.step</t>
  </si>
  <si>
    <r>
      <rPr>
        <sz val="10"/>
        <rFont val="Noto Sans CJK SC"/>
        <family val="2"/>
      </rPr>
      <t xml:space="preserve">오늘은 견디는 대신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마음 하나를 말이나 글로 꺼내 보세요</t>
    </r>
    <r>
      <rPr>
        <sz val="10"/>
        <rFont val="Malgun Gothic"/>
        <family val="0"/>
        <charset val="1"/>
      </rPr>
      <t xml:space="preserve">.</t>
    </r>
  </si>
  <si>
    <t xml:space="preserve">cards.9.positions.now</t>
  </si>
  <si>
    <r>
      <rPr>
        <sz val="10"/>
        <rFont val="Malgun Gothic"/>
        <family val="0"/>
        <charset val="1"/>
      </rPr>
      <t xml:space="preserve">09 </t>
    </r>
    <r>
      <rPr>
        <sz val="10"/>
        <rFont val="Noto Sans CJK SC"/>
        <family val="2"/>
      </rPr>
      <t xml:space="preserve">나만의 등불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바다의 노인</t>
    </r>
  </si>
  <si>
    <r>
      <rPr>
        <sz val="10"/>
        <rFont val="Noto Sans CJK SC"/>
        <family val="2"/>
      </rPr>
      <t xml:space="preserve">사람들 사이에서 조금 떨어져 혼자 생각할 시간이 필요한 때일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말수가 줄었다면 마음이 안쪽을 정리하는 중일지도 몰라요</t>
    </r>
    <r>
      <rPr>
        <sz val="10"/>
        <rFont val="Malgun Gothic"/>
        <family val="0"/>
        <charset val="1"/>
      </rPr>
      <t xml:space="preserve">.</t>
    </r>
  </si>
  <si>
    <t xml:space="preserve">cards.9.positions.hold</t>
  </si>
  <si>
    <r>
      <rPr>
        <sz val="10"/>
        <rFont val="Noto Sans CJK SC"/>
        <family val="2"/>
      </rPr>
      <t xml:space="preserve">혼자 있고 싶은 마음과 외로운 마음이 섞여 지금 무엇이 필요한지 헷갈릴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혼자 오래 머물다 보면 생각이 한쪽으로만 깊어지기도 해요</t>
    </r>
    <r>
      <rPr>
        <sz val="10"/>
        <rFont val="Malgun Gothic"/>
        <family val="0"/>
        <charset val="1"/>
      </rPr>
      <t xml:space="preserve">.</t>
    </r>
  </si>
  <si>
    <t xml:space="preserve">cards.9.positions.step</t>
  </si>
  <si>
    <r>
      <rPr>
        <sz val="10"/>
        <rFont val="Noto Sans CJK SC"/>
        <family val="2"/>
      </rPr>
      <t xml:space="preserve">혼자만의 시간을 의도적으로 가지되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등불 하나는 켜 두세요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조용히 돌아보는 시간과 함께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믿는 사람 한 명과의 연결은 이어 두는 거예요</t>
    </r>
    <r>
      <rPr>
        <sz val="10"/>
        <rFont val="Malgun Gothic"/>
        <family val="0"/>
        <charset val="1"/>
      </rPr>
      <t xml:space="preserve">.</t>
    </r>
  </si>
  <si>
    <t xml:space="preserve">cards.9.reversed.positions.now</t>
  </si>
  <si>
    <r>
      <rPr>
        <sz val="10"/>
        <rFont val="Noto Sans CJK SC"/>
        <family val="2"/>
      </rPr>
      <t xml:space="preserve">혼자 있는 시간이 길어지면서 마음이 더 무거워지고 있을 수 있어요</t>
    </r>
    <r>
      <rPr>
        <sz val="10"/>
        <rFont val="Malgun Gothic"/>
        <family val="0"/>
        <charset val="1"/>
      </rPr>
      <t xml:space="preserve">.</t>
    </r>
  </si>
  <si>
    <t xml:space="preserve">cards.9.reversed.positions.hold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</si>
  <si>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아무도 이해 못 할 거야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생각이 사람들과의 거리를 넓히고 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</si>
  <si>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사람과 짧게 이어져 보세요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어색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등불을 들고 한 걸음만 밖으로 나와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편한 사람 한 명과 짧게 이어져 보세요</t>
    </r>
    <r>
      <rPr>
        <sz val="10"/>
        <rFont val="Malgun Gothic"/>
        <family val="0"/>
        <charset val="1"/>
      </rPr>
      <t xml:space="preserve">.)</t>
    </r>
  </si>
  <si>
    <t xml:space="preserve">cards.10.positions.now</t>
  </si>
  <si>
    <r>
      <rPr>
        <sz val="10"/>
        <rFont val="Malgun Gothic"/>
        <family val="0"/>
        <charset val="1"/>
      </rPr>
      <t xml:space="preserve">10 </t>
    </r>
    <r>
      <rPr>
        <sz val="10"/>
        <rFont val="Noto Sans CJK SC"/>
        <family val="2"/>
      </rPr>
      <t xml:space="preserve">물살의 순환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가오리</t>
    </r>
  </si>
  <si>
    <r>
      <rPr>
        <sz val="10"/>
        <rFont val="Noto Sans CJK SC"/>
        <family val="2"/>
      </rPr>
      <t xml:space="preserve">내 뜻과 상관없이 상황이 바뀌고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예상하지 못한 변화 앞에서 어디에 발을 디뎌야 할지 살피고 있을 수 있어요</t>
    </r>
    <r>
      <rPr>
        <sz val="10"/>
        <rFont val="Malgun Gothic"/>
        <family val="0"/>
        <charset val="1"/>
      </rPr>
      <t xml:space="preserve">.</t>
    </r>
  </si>
  <si>
    <t xml:space="preserve">cards.10.positions.hold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</si>
  <si>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지금 이 상태가 계속될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이라는 생각이 마음을 무겁게 할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좋은 때도 힘든 때도 영원하지 않다는 걸 잠시 잊기 쉬워요</t>
    </r>
    <r>
      <rPr>
        <sz val="10"/>
        <rFont val="Malgun Gothic"/>
        <family val="0"/>
        <charset val="1"/>
      </rPr>
      <t xml:space="preserve">.</t>
    </r>
  </si>
  <si>
    <t xml:space="preserve">cards.10.positions.step</t>
  </si>
  <si>
    <r>
      <rPr>
        <sz val="10"/>
        <rFont val="Noto Sans CJK SC"/>
        <family val="2"/>
      </rPr>
      <t xml:space="preserve">바꿀 수 없는 흐름은 받아들이고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안에서 내가 고를 수 있는 움직임을 찾아보세요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가오리가 물살에 몸을 맡기면서도 방향을 잃지 않듯이요</t>
    </r>
    <r>
      <rPr>
        <sz val="10"/>
        <rFont val="Malgun Gothic"/>
        <family val="0"/>
        <charset val="1"/>
      </rPr>
      <t xml:space="preserve">.</t>
    </r>
  </si>
  <si>
    <t xml:space="preserve">cards.10.reversed.positions.now</t>
  </si>
  <si>
    <r>
      <rPr>
        <sz val="10"/>
        <rFont val="Noto Sans CJK SC"/>
        <family val="2"/>
      </rPr>
      <t xml:space="preserve">바뀌는 상황을 받아들이기 어려워 같은 자리에서 버티고 있을 수 있어요</t>
    </r>
    <r>
      <rPr>
        <sz val="10"/>
        <rFont val="Malgun Gothic"/>
        <family val="0"/>
        <charset val="1"/>
      </rPr>
      <t xml:space="preserve">.</t>
    </r>
  </si>
  <si>
    <t xml:space="preserve">cards.10.reversed.positions.hold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</si>
  <si>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예전으로 돌아가야 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생각이 새 흐름을 타는 걸 막고 있을 수 있어요</t>
    </r>
    <r>
      <rPr>
        <sz val="10"/>
        <rFont val="Malgun Gothic"/>
        <family val="0"/>
        <charset val="1"/>
      </rPr>
      <t xml:space="preserve">.</t>
    </r>
  </si>
  <si>
    <t xml:space="preserve">cards.10.reversed.positions.step</t>
  </si>
  <si>
    <r>
      <rPr>
        <sz val="10"/>
        <rFont val="Noto Sans CJK SC"/>
        <family val="2"/>
      </rPr>
      <t xml:space="preserve">흐름을 거스르기보다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바뀐 상황에서 내가 고를 수 있는 것 하나를 찾아보세요</t>
    </r>
    <r>
      <rPr>
        <sz val="10"/>
        <rFont val="Malgun Gothic"/>
        <family val="0"/>
        <charset val="1"/>
      </rPr>
      <t xml:space="preserve">.</t>
    </r>
  </si>
  <si>
    <t xml:space="preserve">cards.11.positions.now</t>
  </si>
  <si>
    <r>
      <rPr>
        <sz val="10"/>
        <rFont val="Malgun Gothic"/>
        <family val="0"/>
        <charset val="1"/>
      </rPr>
      <t xml:space="preserve">11 </t>
    </r>
    <r>
      <rPr>
        <sz val="10"/>
        <rFont val="Noto Sans CJK SC"/>
        <family val="2"/>
      </rPr>
      <t xml:space="preserve">고요한 균형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백조</t>
    </r>
  </si>
  <si>
    <r>
      <rPr>
        <sz val="10"/>
        <rFont val="Noto Sans CJK SC"/>
        <family val="2"/>
      </rPr>
      <t xml:space="preserve">무엇이 옳은지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누가 더 잘못했는지 따져 보느라 마음이 분주할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그만큼 공정하고 싶은 마음이 크다는 뜻이에요</t>
    </r>
    <r>
      <rPr>
        <sz val="10"/>
        <rFont val="Malgun Gothic"/>
        <family val="0"/>
        <charset val="1"/>
      </rPr>
      <t xml:space="preserve">.</t>
    </r>
  </si>
  <si>
    <t xml:space="preserve">cards.11.positions.hold</t>
  </si>
  <si>
    <r>
      <rPr>
        <sz val="10"/>
        <rFont val="Noto Sans CJK SC"/>
        <family val="2"/>
      </rPr>
      <t xml:space="preserve">남에게는 너그럽고 나에게는 유독 엄격한 저울을 쓰고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혹은 한쪽 이야기만 계속 되뇌며 결론을 서두르고 있을 수 있어요</t>
    </r>
    <r>
      <rPr>
        <sz val="10"/>
        <rFont val="Malgun Gothic"/>
        <family val="0"/>
        <charset val="1"/>
      </rPr>
      <t xml:space="preserve">.</t>
    </r>
  </si>
  <si>
    <t xml:space="preserve">cards.11.positions.step</t>
  </si>
  <si>
    <r>
      <rPr>
        <sz val="10"/>
        <rFont val="Noto Sans CJK SC"/>
        <family val="2"/>
      </rPr>
      <t xml:space="preserve">상황을 사실과 해석으로 나눠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백조가 물 위에서 고요히 균형을 잡듯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감정이 가라앉은 자리에서 양쪽을 다시 저울에 올려 보는 거예요</t>
    </r>
    <r>
      <rPr>
        <sz val="10"/>
        <rFont val="Malgun Gothic"/>
        <family val="0"/>
        <charset val="1"/>
      </rPr>
      <t xml:space="preserve">.</t>
    </r>
  </si>
  <si>
    <t xml:space="preserve">cards.11.reversed.positions.now</t>
  </si>
  <si>
    <r>
      <rPr>
        <sz val="10"/>
        <rFont val="Noto Sans CJK SC"/>
        <family val="2"/>
      </rPr>
      <t xml:space="preserve">나에게만 지나치게 엄격하거나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상황을 한쪽 시선으로만 보고 있을 수 있어요</t>
    </r>
    <r>
      <rPr>
        <sz val="10"/>
        <rFont val="Malgun Gothic"/>
        <family val="0"/>
        <charset val="1"/>
      </rPr>
      <t xml:space="preserve">.</t>
    </r>
  </si>
  <si>
    <t xml:space="preserve">cards.11.reversed.positions.hold</t>
  </si>
  <si>
    <r>
      <rPr>
        <sz val="10"/>
        <rFont val="Noto Sans CJK SC"/>
        <family val="2"/>
      </rPr>
      <t xml:space="preserve">옳고 그름을 따지는 데 에너지를 쓰느라 마음이 쉬지 못하고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</si>
  <si>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cards.11.reversed.positions.step</t>
  </si>
  <si>
    <r>
      <rPr>
        <sz val="10"/>
        <rFont val="Noto Sans CJK SC"/>
        <family val="2"/>
      </rPr>
      <t xml:space="preserve">판단을 잠시 내려놓고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사실과 내 해석을 한 줄씩 나눠 적어 보세요</t>
    </r>
    <r>
      <rPr>
        <sz val="10"/>
        <rFont val="Malgun Gothic"/>
        <family val="0"/>
        <charset val="1"/>
      </rPr>
      <t xml:space="preserve">.</t>
    </r>
  </si>
  <si>
    <t xml:space="preserve">cards.12.positions.hold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</si>
  <si>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쉬면 뒤처진다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생각이 진짜 쉼을 방해하고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쉬는 동안에도 머릿속으로 일을 하고 있다면 몸만 멈춘 상태일지도 몰라요</t>
    </r>
    <r>
      <rPr>
        <sz val="10"/>
        <rFont val="Malgun Gothic"/>
        <family val="0"/>
        <charset val="1"/>
      </rPr>
      <t xml:space="preserve">.</t>
    </r>
  </si>
  <si>
    <t xml:space="preserve">cards.12.positions.step</t>
  </si>
  <si>
    <r>
      <rPr>
        <sz val="10"/>
        <rFont val="Noto Sans CJK SC"/>
        <family val="2"/>
      </rPr>
      <t xml:space="preserve">바위 위의 물범처럼 잠시 진짜로 멈춰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고개를 거꾸로 하면 하늘이 다르게 보이듯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멈춘 자리에서 전에 보이지 않던 길이 보일 수 있어요</t>
    </r>
    <r>
      <rPr>
        <sz val="10"/>
        <rFont val="Malgun Gothic"/>
        <family val="0"/>
        <charset val="1"/>
      </rPr>
      <t xml:space="preserve">.</t>
    </r>
  </si>
  <si>
    <t xml:space="preserve">cards.12.reversed.positions.now</t>
  </si>
  <si>
    <r>
      <rPr>
        <sz val="10"/>
        <rFont val="Noto Sans CJK SC"/>
        <family val="2"/>
      </rPr>
      <t xml:space="preserve">쉬고는 있는데 개운하지 않거나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멈춘 자신을 탓하고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</si>
  <si>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cards.12.reversed.positions.hold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</si>
  <si>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생각과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움직일 힘이 없다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느낌 사이에 끼어 있을 수 있어요</t>
    </r>
    <r>
      <rPr>
        <sz val="10"/>
        <rFont val="Malgun Gothic"/>
        <family val="0"/>
        <charset val="1"/>
      </rPr>
      <t xml:space="preserve">.</t>
    </r>
  </si>
  <si>
    <t xml:space="preserve">cards.12.reversed.positions.step</t>
  </si>
  <si>
    <r>
      <rPr>
        <sz val="10"/>
        <rFont val="Noto Sans CJK SC"/>
        <family val="2"/>
      </rPr>
      <t xml:space="preserve">죄책감 없이 쉬는 시간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분을 정해 두고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시간만큼은 온전히 멈춰 보세요</t>
    </r>
    <r>
      <rPr>
        <sz val="10"/>
        <rFont val="Malgun Gothic"/>
        <family val="0"/>
        <charset val="1"/>
      </rPr>
      <t xml:space="preserve">.</t>
    </r>
  </si>
  <si>
    <t xml:space="preserve">cards.13.positions.now</t>
  </si>
  <si>
    <r>
      <rPr>
        <sz val="10"/>
        <rFont val="Malgun Gothic"/>
        <family val="0"/>
        <charset val="1"/>
      </rPr>
      <t xml:space="preserve">13 </t>
    </r>
    <r>
      <rPr>
        <sz val="10"/>
        <rFont val="Noto Sans CJK SC"/>
        <family val="2"/>
      </rPr>
      <t xml:space="preserve">새 집으로 이사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소라게</t>
    </r>
  </si>
  <si>
    <r>
      <rPr>
        <sz val="10"/>
        <rFont val="Noto Sans CJK SC"/>
        <family val="2"/>
      </rPr>
      <t xml:space="preserve">무언가가 끝나 가고 있거나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이미 끝났는데 마음이 아직 따라가지 못하고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아쉬움과 홀가분함이 함께 섞여 있을지도 몰라요</t>
    </r>
    <r>
      <rPr>
        <sz val="10"/>
        <rFont val="Malgun Gothic"/>
        <family val="0"/>
        <charset val="1"/>
      </rPr>
      <t xml:space="preserve">.</t>
    </r>
  </si>
  <si>
    <t xml:space="preserve">cards.13.positions.hold</t>
  </si>
  <si>
    <r>
      <rPr>
        <sz val="10"/>
        <rFont val="Noto Sans CJK SC"/>
        <family val="2"/>
      </rPr>
      <t xml:space="preserve">익숙하다는 이유로 이미 작아진 껍데기를 붙잡고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끝을 인정하는 게 실패처럼 느껴져 마무리를 미루기 쉬워요</t>
    </r>
    <r>
      <rPr>
        <sz val="10"/>
        <rFont val="Malgun Gothic"/>
        <family val="0"/>
        <charset val="1"/>
      </rPr>
      <t xml:space="preserve">.</t>
    </r>
  </si>
  <si>
    <t xml:space="preserve">cards.13.positions.step</t>
  </si>
  <si>
    <r>
      <rPr>
        <sz val="10"/>
        <rFont val="Noto Sans CJK SC"/>
        <family val="2"/>
      </rPr>
      <t xml:space="preserve">끝을 잘 보내 주는 작은 의식을 가져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소라게가 작아진 껍데기를 두고 새 집으로 옮겨 가듯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고마웠던 것과 이제 내려놓을 것을 나눠 보는 거예요</t>
    </r>
    <r>
      <rPr>
        <sz val="10"/>
        <rFont val="Malgun Gothic"/>
        <family val="0"/>
        <charset val="1"/>
      </rPr>
      <t xml:space="preserve">.</t>
    </r>
  </si>
  <si>
    <t xml:space="preserve">cards.13.reversed.positions.now</t>
  </si>
  <si>
    <r>
      <rPr>
        <sz val="10"/>
        <rFont val="Noto Sans CJK SC"/>
        <family val="2"/>
      </rPr>
      <t xml:space="preserve">변화가 필요하다는 걸 알지만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익숙한 껍데기를 떠나는 게 두려울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</si>
  <si>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이사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비유가 설명 없이 나와 실제 이사로 읽힘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끝을 인정하면 모든 게 무너질 것 같은 마음이 이사를 미루게 하고 있을 수 있어요</t>
    </r>
    <r>
      <rPr>
        <sz val="10"/>
        <rFont val="Malgun Gothic"/>
        <family val="0"/>
        <charset val="1"/>
      </rPr>
      <t xml:space="preserve">.)</t>
    </r>
  </si>
  <si>
    <t xml:space="preserve">cards.13.reversed.positions.step</t>
  </si>
  <si>
    <r>
      <rPr>
        <sz val="10"/>
        <rFont val="Noto Sans CJK SC"/>
        <family val="2"/>
      </rPr>
      <t xml:space="preserve">한 번에 떠나지 않아도 괜찮아요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오늘은 내려놓을 것 하나에만 이름을 붙여 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</si>
  <si>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14 </t>
    </r>
    <r>
      <rPr>
        <sz val="10"/>
        <rFont val="Noto Sans CJK SC"/>
        <family val="2"/>
      </rPr>
      <t xml:space="preserve">물과 뭍 사이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개구리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</si>
  <si>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나와 너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역방향의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나와 남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다르고 반말 느낌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두 가지 사이에서 균형을 찾으려 애쓰고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일과 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나와 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해야 할 것과 하고 싶은 것 사이에서 저울질하고 있을 수 있어요</t>
    </r>
    <r>
      <rPr>
        <sz val="10"/>
        <rFont val="Malgun Gothic"/>
        <family val="0"/>
        <charset val="1"/>
      </rPr>
      <t xml:space="preserve">.)</t>
    </r>
  </si>
  <si>
    <t xml:space="preserve">cards.14.positions.hold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</si>
  <si>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전부 아니면 전무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생각하면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하나를 고르는 순간 다른 하나를 잃는 것 같아 아무것도 고르지 못할 수 있어요</t>
    </r>
    <r>
      <rPr>
        <sz val="10"/>
        <rFont val="Malgun Gothic"/>
        <family val="0"/>
        <charset val="1"/>
      </rPr>
      <t xml:space="preserve">.</t>
    </r>
  </si>
  <si>
    <t xml:space="preserve">cards.14.positions.step</t>
  </si>
  <si>
    <r>
      <rPr>
        <sz val="10"/>
        <rFont val="Noto Sans CJK SC"/>
        <family val="2"/>
      </rPr>
      <t xml:space="preserve">둘 중 하나가 아니라 알맞은 비율을 찾아보세요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개구리가 물과 뭍을 오가며 살듯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오늘은 </t>
    </r>
    <r>
      <rPr>
        <sz val="10"/>
        <rFont val="Malgun Gothic"/>
        <family val="0"/>
        <charset val="1"/>
      </rPr>
      <t xml:space="preserve">7 </t>
    </r>
    <r>
      <rPr>
        <sz val="10"/>
        <rFont val="Noto Sans CJK SC"/>
        <family val="2"/>
      </rPr>
      <t xml:space="preserve">대 </t>
    </r>
    <r>
      <rPr>
        <sz val="10"/>
        <rFont val="Malgun Gothic"/>
        <family val="0"/>
        <charset val="1"/>
      </rPr>
      <t xml:space="preserve">3, </t>
    </r>
    <r>
      <rPr>
        <sz val="10"/>
        <rFont val="Noto Sans CJK SC"/>
        <family val="2"/>
      </rPr>
      <t xml:space="preserve">내일은 </t>
    </r>
    <r>
      <rPr>
        <sz val="10"/>
        <rFont val="Malgun Gothic"/>
        <family val="0"/>
        <charset val="1"/>
      </rPr>
      <t xml:space="preserve">5 </t>
    </r>
    <r>
      <rPr>
        <sz val="10"/>
        <rFont val="Noto Sans CJK SC"/>
        <family val="2"/>
      </rPr>
      <t xml:space="preserve">대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로 조금씩 조절해도 괜찮아요</t>
    </r>
    <r>
      <rPr>
        <sz val="10"/>
        <rFont val="Malgun Gothic"/>
        <family val="0"/>
        <charset val="1"/>
      </rPr>
      <t xml:space="preserve">.</t>
    </r>
  </si>
  <si>
    <t xml:space="preserve">cards.14.reversed.positions.now</t>
  </si>
  <si>
    <r>
      <rPr>
        <sz val="10"/>
        <rFont val="Noto Sans CJK SC"/>
        <family val="2"/>
      </rPr>
      <t xml:space="preserve">일과 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나와 남 중 한쪽에 너무 많이 쏠려 있어 지쳐 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</si>
  <si>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정방향 </t>
    </r>
    <r>
      <rPr>
        <sz val="10"/>
        <rFont val="Malgun Gothic"/>
        <family val="0"/>
        <charset val="1"/>
      </rPr>
      <t xml:space="preserve">hold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전부 아니면 전무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표현이 그대로 겹침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'</t>
    </r>
    <r>
      <rPr>
        <sz val="10"/>
        <rFont val="Noto Sans CJK SC"/>
        <family val="2"/>
      </rPr>
      <t xml:space="preserve">전부 아니면 전무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생각이 알맞은 중간을 찾지 못하게 하고 있을 수 있어요</t>
    </r>
    <r>
      <rPr>
        <sz val="10"/>
        <rFont val="Malgun Gothic"/>
        <family val="0"/>
        <charset val="1"/>
      </rPr>
      <t xml:space="preserve">.)</t>
    </r>
  </si>
  <si>
    <t xml:space="preserve">cards.14.reversed.positions.step</t>
  </si>
  <si>
    <r>
      <rPr>
        <sz val="10"/>
        <rFont val="Noto Sans CJK SC"/>
        <family val="2"/>
      </rPr>
      <t xml:space="preserve">이번 주는 기울어진 쪽에서 딱 한 칸만 반대쪽으로 옮겨 보세요</t>
    </r>
    <r>
      <rPr>
        <sz val="10"/>
        <rFont val="Malgun Gothic"/>
        <family val="0"/>
        <charset val="1"/>
      </rPr>
      <t xml:space="preserve">.</t>
    </r>
  </si>
  <si>
    <t xml:space="preserve">cards.15.positions.now</t>
  </si>
  <si>
    <r>
      <rPr>
        <sz val="10"/>
        <rFont val="Malgun Gothic"/>
        <family val="0"/>
        <charset val="1"/>
      </rPr>
      <t xml:space="preserve">15 </t>
    </r>
    <r>
      <rPr>
        <sz val="10"/>
        <rFont val="Noto Sans CJK SC"/>
        <family val="2"/>
      </rPr>
      <t xml:space="preserve">부풀어 오른 마음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복어</t>
    </r>
  </si>
  <si>
    <r>
      <rPr>
        <sz val="10"/>
        <rFont val="Noto Sans CJK SC"/>
        <family val="2"/>
      </rPr>
      <t xml:space="preserve">상처받지 않으려고 마음이 잔뜩 부풀어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예민해지고 날이 서 있다면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그만큼 지키고 싶은 무언가가 있다는 뜻이에요</t>
    </r>
    <r>
      <rPr>
        <sz val="10"/>
        <rFont val="Malgun Gothic"/>
        <family val="0"/>
        <charset val="1"/>
      </rPr>
      <t xml:space="preserve">.</t>
    </r>
  </si>
  <si>
    <t xml:space="preserve">cards.15.positions.hold</t>
  </si>
  <si>
    <r>
      <rPr>
        <sz val="10"/>
        <rFont val="Noto Sans CJK SC"/>
        <family val="2"/>
      </rPr>
      <t xml:space="preserve">불안할 때마다 반복하는 습관이 잠깐은 마음을 편하게 해 주지만 오래 나를 붙잡고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확인하기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미루기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과하게 맞추기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늦게까지 화면 보기 같은 것들이요</t>
    </r>
    <r>
      <rPr>
        <sz val="10"/>
        <rFont val="Malgun Gothic"/>
        <family val="0"/>
        <charset val="1"/>
      </rPr>
      <t xml:space="preserve">.</t>
    </r>
  </si>
  <si>
    <t xml:space="preserve">cards.15.positions.step</t>
  </si>
  <si>
    <r>
      <rPr>
        <sz val="10"/>
        <rFont val="Noto Sans CJK SC"/>
        <family val="2"/>
      </rPr>
      <t xml:space="preserve">부풀어 오르는 순간을 알아차려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복어가 위험이 지나가면 다시 작아지듯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내가 부풀었구나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하고 이름 붙이는 것만으로 가시가 조금 누그러질 수 있어요</t>
    </r>
    <r>
      <rPr>
        <sz val="10"/>
        <rFont val="Malgun Gothic"/>
        <family val="0"/>
        <charset val="1"/>
      </rPr>
      <t xml:space="preserve">.</t>
    </r>
  </si>
  <si>
    <t xml:space="preserve">cards.15.reversed.positions.now</t>
  </si>
  <si>
    <r>
      <rPr>
        <sz val="10"/>
        <rFont val="Noto Sans CJK SC"/>
        <family val="2"/>
      </rPr>
      <t xml:space="preserve">부풀었던 마음을 스스로 알아차리고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조금씩 가라앉히고 있는 중일 수 있어요</t>
    </r>
    <r>
      <rPr>
        <sz val="10"/>
        <rFont val="Malgun Gothic"/>
        <family val="0"/>
        <charset val="1"/>
      </rPr>
      <t xml:space="preserve">.</t>
    </r>
  </si>
  <si>
    <t xml:space="preserve">cards.15.reversed.positions.hold</t>
  </si>
  <si>
    <r>
      <rPr>
        <sz val="10"/>
        <rFont val="Noto Sans CJK SC"/>
        <family val="2"/>
      </rPr>
      <t xml:space="preserve">방어를 내려놓는 게 아직 낯설어서 예전 습관으로 돌아갈까 걱정될 수 있어요</t>
    </r>
    <r>
      <rPr>
        <sz val="10"/>
        <rFont val="Malgun Gothic"/>
        <family val="0"/>
        <charset val="1"/>
      </rPr>
      <t xml:space="preserve">.</t>
    </r>
  </si>
  <si>
    <t xml:space="preserve">cards.15.reversed.positions.step</t>
  </si>
  <si>
    <r>
      <rPr>
        <sz val="10"/>
        <rFont val="Noto Sans CJK SC"/>
        <family val="2"/>
      </rPr>
      <t xml:space="preserve">풀려나기 시작한 지금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습관 대신 할 작은 행동 하나를 정해 두세요</t>
    </r>
    <r>
      <rPr>
        <sz val="10"/>
        <rFont val="Malgun Gothic"/>
        <family val="0"/>
        <charset val="1"/>
      </rPr>
      <t xml:space="preserve">.</t>
    </r>
  </si>
  <si>
    <t xml:space="preserve">cards.16.positions.now</t>
  </si>
  <si>
    <r>
      <rPr>
        <sz val="10"/>
        <rFont val="Malgun Gothic"/>
        <family val="0"/>
        <charset val="1"/>
      </rPr>
      <t xml:space="preserve">16 </t>
    </r>
    <r>
      <rPr>
        <sz val="10"/>
        <rFont val="Noto Sans CJK SC"/>
        <family val="2"/>
      </rPr>
      <t xml:space="preserve">다시 쌓는 둑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비버</t>
    </r>
  </si>
  <si>
    <r>
      <rPr>
        <sz val="10"/>
        <rFont val="Noto Sans CJK SC"/>
        <family val="2"/>
      </rPr>
      <t xml:space="preserve">믿어 왔던 계획이나 기대가 갑자기 흔들렸을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당황스럽고 허탈한 마음이 드는 게 자연스러운 때예요</t>
    </r>
    <r>
      <rPr>
        <sz val="10"/>
        <rFont val="Malgun Gothic"/>
        <family val="0"/>
        <charset val="1"/>
      </rPr>
      <t xml:space="preserve">.</t>
    </r>
  </si>
  <si>
    <t xml:space="preserve">cards.16.positions.hold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</si>
  <si>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처음부터 다시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생각이 너무 커서 손을 대기 어려울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무너진 것만 보느라 남아 있는 기둥을 보지 못하기 쉬워요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</si>
  <si>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'~</t>
    </r>
    <r>
      <rPr>
        <sz val="10"/>
        <rFont val="Noto Sans CJK SC"/>
        <family val="2"/>
      </rPr>
      <t xml:space="preserve">부터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한 문장에 두 번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남아 있는 것부터 확인하고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나뭇가지 하나부터 다시 쌓아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비버가 무너진 둑을 한 번에 다 짓지 않듯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오늘 할 수 있는 한 조각이면 충분해요</t>
    </r>
    <r>
      <rPr>
        <sz val="10"/>
        <rFont val="Malgun Gothic"/>
        <family val="0"/>
        <charset val="1"/>
      </rPr>
      <t xml:space="preserve">.)</t>
    </r>
  </si>
  <si>
    <t xml:space="preserve">cards.16.reversed.positions.now</t>
  </si>
  <si>
    <r>
      <rPr>
        <sz val="10"/>
        <rFont val="Noto Sans CJK SC"/>
        <family val="2"/>
      </rPr>
      <t xml:space="preserve">흔들리는 걸 인정하지 않으려고 버티고 있거나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무너진 뒤 다시 손댈 엄두가 안 날 수 있어요</t>
    </r>
    <r>
      <rPr>
        <sz val="10"/>
        <rFont val="Malgun Gothic"/>
        <family val="0"/>
        <charset val="1"/>
      </rPr>
      <t xml:space="preserve">.</t>
    </r>
  </si>
  <si>
    <t xml:space="preserve">cards.16.reversed.positions.hold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</si>
  <si>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다시 무너지면 어떡하지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걱정이 다시 쌓는 일을 미루게 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</si>
  <si>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cards.16.reversed.positions.step</t>
  </si>
  <si>
    <r>
      <rPr>
        <sz val="10"/>
        <rFont val="Noto Sans CJK SC"/>
        <family val="2"/>
      </rPr>
      <t xml:space="preserve">완벽한 둑이 아니라 오늘 쌓을 나뭇가지 하나에만 집중해 보세요</t>
    </r>
    <r>
      <rPr>
        <sz val="10"/>
        <rFont val="Malgun Gothic"/>
        <family val="0"/>
        <charset val="1"/>
      </rPr>
      <t xml:space="preserve">.</t>
    </r>
  </si>
  <si>
    <t xml:space="preserve">cards.17.positions.now</t>
  </si>
  <si>
    <r>
      <rPr>
        <sz val="10"/>
        <rFont val="Malgun Gothic"/>
        <family val="0"/>
        <charset val="1"/>
      </rPr>
      <t xml:space="preserve">17 </t>
    </r>
    <r>
      <rPr>
        <sz val="10"/>
        <rFont val="Noto Sans CJK SC"/>
        <family val="2"/>
      </rPr>
      <t xml:space="preserve">다시 빛나는 별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불가사리</t>
    </r>
  </si>
  <si>
    <r>
      <rPr>
        <sz val="10"/>
        <rFont val="Noto Sans CJK SC"/>
        <family val="2"/>
      </rPr>
      <t xml:space="preserve">힘든 시간을 지나 조금씩 숨이 돌아오고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아직 완전하지 않아도 마음 한쪽에 작은 빛이 켜져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</si>
  <si>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예전처럼 돌아가야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'</t>
    </r>
    <r>
      <rPr>
        <sz val="10"/>
        <rFont val="Noto Sans CJK SC"/>
        <family val="2"/>
      </rPr>
      <t xml:space="preserve">예전처럼 돌아가야 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기준이 지금의 회복을 작아 보이게 할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회복에도 저마다의 속도가 있다는 걸 잊고 스스로를 재촉하기 쉬워요</t>
    </r>
    <r>
      <rPr>
        <sz val="10"/>
        <rFont val="Malgun Gothic"/>
        <family val="0"/>
        <charset val="1"/>
      </rPr>
      <t xml:space="preserve">.)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</si>
  <si>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희망이 눈에 보이게 돼요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결과 단정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작게 나아진 것을 알아봐 주세요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불가사리가 잃은 팔을 천천히 다시 키우듯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매일의 작은 회복을 기록하면 희망이 눈에 보이게 돼요</t>
    </r>
    <r>
      <rPr>
        <sz val="10"/>
        <rFont val="Malgun Gothic"/>
        <family val="0"/>
        <charset val="1"/>
      </rPr>
      <t xml:space="preserve">.)</t>
    </r>
  </si>
  <si>
    <t xml:space="preserve">cards.17.reversed.positions.now</t>
  </si>
  <si>
    <r>
      <rPr>
        <sz val="10"/>
        <rFont val="Noto Sans CJK SC"/>
        <family val="2"/>
      </rPr>
      <t xml:space="preserve">나아지고 있는데도 그 변화가 잘 보이지 않아 실망하고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</si>
  <si>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cards.17.reversed.positions.hold</t>
  </si>
  <si>
    <r>
      <rPr>
        <sz val="10"/>
        <rFont val="Noto Sans CJK SC"/>
        <family val="2"/>
      </rPr>
      <t xml:space="preserve">회복이 빨라야 한다는 기대가 지금의 작은 빛을 가리고 있을 수 있어요</t>
    </r>
    <r>
      <rPr>
        <sz val="10"/>
        <rFont val="Malgun Gothic"/>
        <family val="0"/>
        <charset val="1"/>
      </rPr>
      <t xml:space="preserve">.</t>
    </r>
  </si>
  <si>
    <t xml:space="preserve">cards.17.reversed.positions.step</t>
  </si>
  <si>
    <r>
      <rPr>
        <sz val="10"/>
        <rFont val="Noto Sans CJK SC"/>
        <family val="2"/>
      </rPr>
      <t xml:space="preserve">오늘 하루 조금이라도 나아진 것 하나를 찾아 기록해 보세요</t>
    </r>
    <r>
      <rPr>
        <sz val="10"/>
        <rFont val="Malgun Gothic"/>
        <family val="0"/>
        <charset val="1"/>
      </rPr>
      <t xml:space="preserve">.</t>
    </r>
  </si>
  <si>
    <t xml:space="preserve">cards.18.positions.now</t>
  </si>
  <si>
    <r>
      <rPr>
        <sz val="10"/>
        <rFont val="Malgun Gothic"/>
        <family val="0"/>
        <charset val="1"/>
      </rPr>
      <t xml:space="preserve">18 </t>
    </r>
    <r>
      <rPr>
        <sz val="10"/>
        <rFont val="Noto Sans CJK SC"/>
        <family val="2"/>
      </rPr>
      <t xml:space="preserve">달빛 아래 떠다니기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해파리</t>
    </r>
  </si>
  <si>
    <r>
      <rPr>
        <sz val="10"/>
        <rFont val="Noto Sans CJK SC"/>
        <family val="2"/>
      </rPr>
      <t xml:space="preserve">앞이 잘 보이지 않아 막연한 불안이 커져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확실한 게 없을 때 마음은 가장 어두운 장면부터 그려 보기 쉬워요</t>
    </r>
    <r>
      <rPr>
        <sz val="10"/>
        <rFont val="Malgun Gothic"/>
        <family val="0"/>
        <charset val="1"/>
      </rPr>
      <t xml:space="preserve">.</t>
    </r>
  </si>
  <si>
    <t xml:space="preserve">cards.18.positions.hold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</si>
  <si>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확실해질 때까지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기다리려는 마음이 오히려 걱정을 키우고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머릿속 시나리오가 실제보다 훨씬 크게 느껴지기도 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</si>
  <si>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함께 떠다녀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함께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누구와인지 모호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불확실함을 없애려 하기보다 그 안에서 함께 떠다녀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해파리가 물결에 몸을 맡기며 은은하게 빛나듯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 한 걸음만 비출 수 있으면 충분해요</t>
    </r>
    <r>
      <rPr>
        <sz val="10"/>
        <rFont val="Malgun Gothic"/>
        <family val="0"/>
        <charset val="1"/>
      </rPr>
      <t xml:space="preserve">.)</t>
    </r>
  </si>
  <si>
    <t xml:space="preserve">cards.18.reversed.positions.now</t>
  </si>
  <si>
    <r>
      <rPr>
        <sz val="10"/>
        <rFont val="Noto Sans CJK SC"/>
        <family val="2"/>
      </rPr>
      <t xml:space="preserve">막연하던 불안이 정리되면서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무엇이 걱정이었는지 조금씩 보이기 시작할 수 있어요</t>
    </r>
    <r>
      <rPr>
        <sz val="10"/>
        <rFont val="Malgun Gothic"/>
        <family val="0"/>
        <charset val="1"/>
      </rPr>
      <t xml:space="preserve">.</t>
    </r>
  </si>
  <si>
    <t xml:space="preserve">cards.18.reversed.positions.hold</t>
  </si>
  <si>
    <r>
      <rPr>
        <sz val="10"/>
        <rFont val="Noto Sans CJK SC"/>
        <family val="2"/>
      </rPr>
      <t xml:space="preserve">확실함을 바라는 마음이 작은 불확실함에도 예민하게 반응하게 만들 수 있어요</t>
    </r>
    <r>
      <rPr>
        <sz val="10"/>
        <rFont val="Malgun Gothic"/>
        <family val="0"/>
        <charset val="1"/>
      </rPr>
      <t xml:space="preserve">.</t>
    </r>
  </si>
  <si>
    <t xml:space="preserve">cards.18.reversed.positions.step</t>
  </si>
  <si>
    <r>
      <rPr>
        <sz val="10"/>
        <rFont val="Noto Sans CJK SC"/>
        <family val="2"/>
      </rPr>
      <t xml:space="preserve">걷히기 시작한 안개 속에서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보이는 한 걸음만 먼저 디뎌 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</si>
  <si>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19 </t>
    </r>
    <r>
      <rPr>
        <sz val="10"/>
        <rFont val="Noto Sans CJK SC"/>
        <family val="2"/>
      </rPr>
      <t xml:space="preserve">햇살 바위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물개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</si>
  <si>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그 순간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가리키는 대상이 불분명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고민이 있어도 마음 한쪽에 기쁨과 기대가 살아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순간에도 웃을 수 있는 힘이 지금 당신의 큰 자원이에요</t>
    </r>
    <r>
      <rPr>
        <sz val="10"/>
        <rFont val="Malgun Gothic"/>
        <family val="0"/>
        <charset val="1"/>
      </rPr>
      <t xml:space="preserve">.)</t>
    </r>
  </si>
  <si>
    <t xml:space="preserve">cards.19.positions.hold</t>
  </si>
  <si>
    <r>
      <rPr>
        <sz val="10"/>
        <rFont val="Noto Sans CJK SC"/>
        <family val="2"/>
      </rPr>
      <t xml:space="preserve">좋은 일이 생겨도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이러다 또 안 좋아지겠지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하며 기쁨을 충분히 누리지 못하고 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</si>
  <si>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햇살 바위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어색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좋은 순간을 조금 더 오래 머금어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물개가 햇살 바위 위에서 몸을 데우듯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기쁨을 음미하는 시간이 마음의 배터리를 채워 줘요</t>
    </r>
    <r>
      <rPr>
        <sz val="10"/>
        <rFont val="Malgun Gothic"/>
        <family val="0"/>
        <charset val="1"/>
      </rPr>
      <t xml:space="preserve">.)</t>
    </r>
  </si>
  <si>
    <t xml:space="preserve">cards.19.reversed.positions.now</t>
  </si>
  <si>
    <r>
      <rPr>
        <sz val="10"/>
        <rFont val="Noto Sans CJK SC"/>
        <family val="2"/>
      </rPr>
      <t xml:space="preserve">좋은 순간이 있어도 마음껏 누리지 못하거나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웃음이 줄어 있을 수 있어요</t>
    </r>
    <r>
      <rPr>
        <sz val="10"/>
        <rFont val="Malgun Gothic"/>
        <family val="0"/>
        <charset val="1"/>
      </rPr>
      <t xml:space="preserve">.</t>
    </r>
  </si>
  <si>
    <t xml:space="preserve">cards.19.reversed.positions.hold</t>
  </si>
  <si>
    <r>
      <rPr>
        <sz val="10"/>
        <rFont val="Noto Sans CJK SC"/>
        <family val="2"/>
      </rPr>
      <t xml:space="preserve">기뻐하면 안 될 것 같은 마음이 작은 행복을 그냥 지나치게 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</si>
  <si>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cards.19.reversed.positions.step</t>
  </si>
  <si>
    <r>
      <rPr>
        <sz val="10"/>
        <rFont val="Noto Sans CJK SC"/>
        <family val="2"/>
      </rPr>
      <t xml:space="preserve">오늘 좋았던 순간 하나를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분만 더 머금어 보세요</t>
    </r>
    <r>
      <rPr>
        <sz val="10"/>
        <rFont val="Malgun Gothic"/>
        <family val="0"/>
        <charset val="1"/>
      </rPr>
      <t xml:space="preserve">.</t>
    </r>
  </si>
  <si>
    <t xml:space="preserve">cards.20.positions.now</t>
  </si>
  <si>
    <r>
      <rPr>
        <sz val="10"/>
        <rFont val="Malgun Gothic"/>
        <family val="0"/>
        <charset val="1"/>
      </rPr>
      <t xml:space="preserve">20 </t>
    </r>
    <r>
      <rPr>
        <sz val="10"/>
        <rFont val="Noto Sans CJK SC"/>
        <family val="2"/>
      </rPr>
      <t xml:space="preserve">부름에 답하다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혹등고래</t>
    </r>
  </si>
  <si>
    <r>
      <rPr>
        <sz val="10"/>
        <rFont val="Noto Sans CJK SC"/>
        <family val="2"/>
      </rPr>
      <t xml:space="preserve">오래 마음에 걸려 있던 질문이 다시 떠오르고 있어요</t>
    </r>
    <r>
      <rPr>
        <sz val="10"/>
        <rFont val="Malgun Gothic"/>
        <family val="0"/>
        <charset val="1"/>
      </rPr>
      <t xml:space="preserve">. '</t>
    </r>
    <r>
      <rPr>
        <sz val="10"/>
        <rFont val="Noto Sans CJK SC"/>
        <family val="2"/>
      </rPr>
      <t xml:space="preserve">나는 정말 무엇을 원하지</t>
    </r>
    <r>
      <rPr>
        <sz val="10"/>
        <rFont val="Malgun Gothic"/>
        <family val="0"/>
        <charset val="1"/>
      </rPr>
      <t xml:space="preserve">?'</t>
    </r>
    <r>
      <rPr>
        <sz val="10"/>
        <rFont val="Noto Sans CJK SC"/>
        <family val="2"/>
      </rPr>
      <t xml:space="preserve">라는 물음이 커지는 시기일 수 있어요</t>
    </r>
    <r>
      <rPr>
        <sz val="10"/>
        <rFont val="Malgun Gothic"/>
        <family val="0"/>
        <charset val="1"/>
      </rPr>
      <t xml:space="preserve">.</t>
    </r>
  </si>
  <si>
    <t xml:space="preserve">cards.20.positions.hold</t>
  </si>
  <si>
    <r>
      <rPr>
        <sz val="10"/>
        <rFont val="Noto Sans CJK SC"/>
        <family val="2"/>
      </rPr>
      <t xml:space="preserve">지난 선택에 대한 후회나 스스로에 대한 평가가 새로운 부름에 답하는 걸 망설이게 할 수 있어요</t>
    </r>
    <r>
      <rPr>
        <sz val="10"/>
        <rFont val="Malgun Gothic"/>
        <family val="0"/>
        <charset val="1"/>
      </rPr>
      <t xml:space="preserve">.</t>
    </r>
  </si>
  <si>
    <t xml:space="preserve">cards.20.positions.step</t>
  </si>
  <si>
    <r>
      <rPr>
        <sz val="10"/>
        <rFont val="Noto Sans CJK SC"/>
        <family val="2"/>
      </rPr>
      <t xml:space="preserve">내 삶이 나를 부르는 방향에 귀 기울여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혹등고래가 깊은 바다에서 수면 위로 솟구치듯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작더라도 그 부름에 응답하는 행동 하나를 해 보는 거예요</t>
    </r>
    <r>
      <rPr>
        <sz val="10"/>
        <rFont val="Malgun Gothic"/>
        <family val="0"/>
        <charset val="1"/>
      </rPr>
      <t xml:space="preserve">.</t>
    </r>
  </si>
  <si>
    <t xml:space="preserve">cards.20.reversed.positions.now</t>
  </si>
  <si>
    <r>
      <rPr>
        <sz val="10"/>
        <rFont val="Noto Sans CJK SC"/>
        <family val="2"/>
      </rPr>
      <t xml:space="preserve">무언가 바꿔야 한다는 느낌은 있지만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그게 무엇인지 아직 흐릿할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</si>
  <si>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정방향 </t>
    </r>
    <r>
      <rPr>
        <sz val="10"/>
        <rFont val="Malgun Gothic"/>
        <family val="0"/>
        <charset val="1"/>
      </rPr>
      <t xml:space="preserve">hold('</t>
    </r>
    <r>
      <rPr>
        <sz val="10"/>
        <rFont val="Noto Sans CJK SC"/>
        <family val="2"/>
      </rPr>
      <t xml:space="preserve">지난 선택에 대한 후회나 스스로에 대한 평가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와 거의 같은 문장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지난 선택에 대한 후회나 자기 비판이 새로운 시작을 붙잡고 있을 수 있어요</t>
    </r>
    <r>
      <rPr>
        <sz val="10"/>
        <rFont val="Malgun Gothic"/>
        <family val="0"/>
        <charset val="1"/>
      </rPr>
      <t xml:space="preserve">.)</t>
    </r>
  </si>
  <si>
    <t xml:space="preserve">cards.20.reversed.positions.step</t>
  </si>
  <si>
    <r>
      <rPr>
        <sz val="10"/>
        <rFont val="Noto Sans CJK SC"/>
        <family val="2"/>
      </rPr>
      <t xml:space="preserve">지난날을 평가하기보다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마음이 끌리는 방향을 한 줄로 적어 보세요</t>
    </r>
    <r>
      <rPr>
        <sz val="10"/>
        <rFont val="Malgun Gothic"/>
        <family val="0"/>
        <charset val="1"/>
      </rPr>
      <t xml:space="preserve">.</t>
    </r>
  </si>
  <si>
    <t xml:space="preserve">cards.21.positions.now</t>
  </si>
  <si>
    <r>
      <rPr>
        <sz val="10"/>
        <rFont val="Malgun Gothic"/>
        <family val="0"/>
        <charset val="1"/>
      </rPr>
      <t xml:space="preserve">21 </t>
    </r>
    <r>
      <rPr>
        <sz val="10"/>
        <rFont val="Noto Sans CJK SC"/>
        <family val="2"/>
      </rPr>
      <t xml:space="preserve">한 바퀴의 바다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쏠 바다 친구들 모두</t>
    </r>
  </si>
  <si>
    <r>
      <rPr>
        <sz val="10"/>
        <rFont val="Noto Sans CJK SC"/>
        <family val="2"/>
      </rPr>
      <t xml:space="preserve">한 시기를 지나 무언가가 매듭지어지고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돌아보면 꽤 먼 길을 왔다는 걸 느낄 수 있는 때예요</t>
    </r>
    <r>
      <rPr>
        <sz val="10"/>
        <rFont val="Malgun Gothic"/>
        <family val="0"/>
        <charset val="1"/>
      </rPr>
      <t xml:space="preserve">.</t>
    </r>
  </si>
  <si>
    <t xml:space="preserve">cards.21.positions.hold</t>
  </si>
  <si>
    <r>
      <rPr>
        <sz val="10"/>
        <rFont val="Noto Sans CJK SC"/>
        <family val="2"/>
      </rPr>
      <t xml:space="preserve">다음 목표로 바로 넘어가느라 지금까지의 여정을 인정해 주지 못하고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</si>
  <si>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cards.21.positions.step</t>
  </si>
  <si>
    <r>
      <rPr>
        <sz val="10"/>
        <rFont val="Noto Sans CJK SC"/>
        <family val="2"/>
      </rPr>
      <t xml:space="preserve">지나온 길을 축하하고 정리해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바다 친구들이 둥글게 모이듯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나를 도와준 사람과 경험을 떠올리며 한 바퀴를 마무리하는 거예요</t>
    </r>
    <r>
      <rPr>
        <sz val="10"/>
        <rFont val="Malgun Gothic"/>
        <family val="0"/>
        <charset val="1"/>
      </rPr>
      <t xml:space="preserve">.</t>
    </r>
  </si>
  <si>
    <t xml:space="preserve">cards.21.reversed.positions.now</t>
  </si>
  <si>
    <r>
      <rPr>
        <sz val="10"/>
        <rFont val="Noto Sans CJK SC"/>
        <family val="2"/>
      </rPr>
      <t xml:space="preserve">끝이 보이는데 마지막 한 걸음이 유난히 무겁게 느껴질 수 있어요</t>
    </r>
    <r>
      <rPr>
        <sz val="10"/>
        <rFont val="Malgun Gothic"/>
        <family val="0"/>
        <charset val="1"/>
      </rPr>
      <t xml:space="preserve">.</t>
    </r>
  </si>
  <si>
    <t xml:space="preserve">cards.21.reversed.positions.hold</t>
  </si>
  <si>
    <r>
      <rPr>
        <sz val="10"/>
        <rFont val="Noto Sans CJK SC"/>
        <family val="2"/>
      </rPr>
      <t xml:space="preserve">완벽하게 끝내야 한다는 마음이 마무리를 미루게 하고 있을 수 있어요</t>
    </r>
    <r>
      <rPr>
        <sz val="10"/>
        <rFont val="Malgun Gothic"/>
        <family val="0"/>
        <charset val="1"/>
      </rPr>
      <t xml:space="preserve">.</t>
    </r>
  </si>
  <si>
    <t xml:space="preserve">cards.21.reversed.positions.step</t>
  </si>
  <si>
    <r>
      <rPr>
        <sz val="10"/>
        <rFont val="Noto Sans CJK SC"/>
        <family val="2"/>
      </rPr>
      <t xml:space="preserve">완벽보다 완료를 목표로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남은 일 하나를 오늘 매듭지어 보세요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</si>
  <si>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지금의 마음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단락 </t>
    </r>
    <r>
      <rPr>
        <sz val="10"/>
        <rFont val="Malgun Gothic"/>
        <family val="0"/>
        <charset val="1"/>
      </rPr>
      <t xml:space="preserve">1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</si>
  <si>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그 자체로 살아 있다는 신호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에서 무엇이 살아 있는지 주어가 빠져 뜻이 모호함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새로운 걸 해 보고 싶은 마음은 대개 지금의 자리가 조금 좁게 느껴질 때 찾아와요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아직 흐릿하더라도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바꾸고 싶다는 감각은 그 자체로 살아 있다는 신호예요</t>
    </r>
    <r>
      <rPr>
        <sz val="10"/>
        <rFont val="Malgun Gothic"/>
        <family val="0"/>
        <charset val="1"/>
      </rPr>
      <t xml:space="preserve">.)</t>
    </r>
  </si>
  <si>
    <t xml:space="preserve">cards.0.deep.now.1</t>
  </si>
  <si>
    <r>
      <rPr>
        <sz val="10"/>
        <rFont val="Noto Sans CJK SC"/>
        <family val="2"/>
      </rPr>
      <t xml:space="preserve">지금의 마음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단락 </t>
    </r>
    <r>
      <rPr>
        <sz val="10"/>
        <rFont val="Malgun Gothic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</si>
  <si>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요즘 나도 모르게 자꾸 눈길이 가는 것이 있다면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거창한 목표가 아니어도 괜찮아요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작은 끌림에 이름을 하나 붙여 보는 것만으로도 시작은 이미 한 발 가까워져요</t>
    </r>
    <r>
      <rPr>
        <sz val="10"/>
        <rFont val="Malgun Gothic"/>
        <family val="0"/>
        <charset val="1"/>
      </rPr>
      <t xml:space="preserve">.</t>
    </r>
  </si>
  <si>
    <t xml:space="preserve">cards.0.deep.hold.0</t>
  </si>
  <si>
    <r>
      <rPr>
        <sz val="10"/>
        <rFont val="Noto Sans CJK SC"/>
        <family val="2"/>
      </rPr>
      <t xml:space="preserve">나를 붙잡는 것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단락 </t>
    </r>
    <r>
      <rPr>
        <sz val="10"/>
        <rFont val="Malgun Gothic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</si>
  <si>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준비를 더 하고 싶은 마음 밑에는 서툰 모습을 보이고 싶지 않은 마음이 있을 때가 많아요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잘하고 싶은 만큼 첫 시도의 어색함이 크게 느껴지는 건 자연스러운 일이에요</t>
    </r>
    <r>
      <rPr>
        <sz val="10"/>
        <rFont val="Malgun Gothic"/>
        <family val="0"/>
        <charset val="1"/>
      </rPr>
      <t xml:space="preserve">.</t>
    </r>
  </si>
  <si>
    <t xml:space="preserve">cards.0.deep.hold.1</t>
  </si>
  <si>
    <r>
      <rPr>
        <sz val="10"/>
        <rFont val="Noto Sans CJK SC"/>
        <family val="2"/>
      </rPr>
      <t xml:space="preserve">나를 붙잡는 것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단락 </t>
    </r>
    <r>
      <rPr>
        <sz val="10"/>
        <rFont val="Malgun Gothic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</si>
  <si>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지금 기다리고 있는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준비 완료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기준이 무엇인지 한번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적어 놓고 보면 그중 몇 가지는 시작한 뒤에야 채울 수 있는 것들이라는 걸 발견하게 될 수도 있어요</t>
    </r>
    <r>
      <rPr>
        <sz val="10"/>
        <rFont val="Malgun Gothic"/>
        <family val="0"/>
        <charset val="1"/>
      </rPr>
      <t xml:space="preserve">.</t>
    </r>
  </si>
  <si>
    <t xml:space="preserve">cards.0.deep.step.0</t>
  </si>
  <si>
    <r>
      <rPr>
        <sz val="10"/>
        <rFont val="Noto Sans CJK SC"/>
        <family val="2"/>
      </rPr>
      <t xml:space="preserve">다음 한 걸음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단락 </t>
    </r>
    <r>
      <rPr>
        <sz val="10"/>
        <rFont val="Malgun Gothic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</si>
  <si>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첫걸음이 작을수록 실패의 무게도 가벼워져요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결과를 정해 두지 않고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해 봤다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경험을 목표로 삼으면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다음에 무엇을 할지는 해 보는 과정에서 조금씩 보이기 시작해요</t>
    </r>
    <r>
      <rPr>
        <sz val="10"/>
        <rFont val="Malgun Gothic"/>
        <family val="0"/>
        <charset val="1"/>
      </rPr>
      <t xml:space="preserve">.</t>
    </r>
  </si>
  <si>
    <t xml:space="preserve">cards.0.deep.step.1</t>
  </si>
  <si>
    <r>
      <rPr>
        <sz val="10"/>
        <rFont val="Noto Sans CJK SC"/>
        <family val="2"/>
      </rPr>
      <t xml:space="preserve">다음 한 걸음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단락 </t>
    </r>
    <r>
      <rPr>
        <sz val="10"/>
        <rFont val="Malgun Gothic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</si>
  <si>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오늘 할 수 있는 가장 작은 버전은 무엇일까요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검색 한 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문의 한 통</t>
    </r>
    <r>
      <rPr>
        <sz val="10"/>
        <rFont val="Malgun Gothic"/>
        <family val="0"/>
        <charset val="1"/>
      </rPr>
      <t xml:space="preserve">, 10</t>
    </r>
    <r>
      <rPr>
        <sz val="10"/>
        <rFont val="Noto Sans CJK SC"/>
        <family val="2"/>
      </rPr>
      <t xml:space="preserve">분 연습처럼 물 온도를 재 보는 정도의 크기면 충분해요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해 본 뒤의 느낌을 짧게 남겨 두면 다음 물장구가 한결 쉬워져요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</si>
  <si>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당신의 성실함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보고서는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대신 주어 생략 권장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해내고 싶은 마음이 크면 손이 저절로 여러 곳으로 뻗어요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지금의 분주함은 그만큼 많은 걸 책임지고 싶은 당신의 성실함에서 나온 것일 수 있어요</t>
    </r>
    <r>
      <rPr>
        <sz val="10"/>
        <rFont val="Malgun Gothic"/>
        <family val="0"/>
        <charset val="1"/>
      </rPr>
      <t xml:space="preserve">.)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</si>
  <si>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뻗어 있는 손들 가운데 내가 쥐고 싶은 것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손이 쥘 대상인 것처럼 읽혀 논리가 어긋남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지금 뻗어 있는 손들 가운데 정말 내가 쥐고 싶은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모든 손에 같은 힘을 줄 필요는 없어요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가장 마음이 가는 한두 곳을 먼저 골라 보면 분주함 속에서도 중심이 생겨요</t>
    </r>
    <r>
      <rPr>
        <sz val="10"/>
        <rFont val="Malgun Gothic"/>
        <family val="0"/>
        <charset val="1"/>
      </rPr>
      <t xml:space="preserve">.)</t>
    </r>
  </si>
  <si>
    <t xml:space="preserve">cards.1.deep.hold.0</t>
  </si>
  <si>
    <r>
      <rPr>
        <sz val="10"/>
        <rFont val="Noto Sans CJK SC"/>
        <family val="2"/>
      </rPr>
      <t xml:space="preserve">부족한 점이 먼저 눈에 들어오는 건 더 잘하고 싶은 마음이 크기 때문이기도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다만 그 시선이 오래 머물면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이미 해 온 일과 곁에 있는 도움이 배경처럼 흐려지기 쉬워요</t>
    </r>
    <r>
      <rPr>
        <sz val="10"/>
        <rFont val="Malgun Gothic"/>
        <family val="0"/>
        <charset val="1"/>
      </rPr>
      <t xml:space="preserve">.</t>
    </r>
  </si>
  <si>
    <t xml:space="preserve">cards.1.deep.hold.1</t>
  </si>
  <si>
    <r>
      <rPr>
        <sz val="10"/>
        <rFont val="Noto Sans CJK SC"/>
        <family val="2"/>
      </rPr>
      <t xml:space="preserve">최근에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이건 내가 꽤 잘했다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싶었던 순간을 하나 떠올려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그때 쓴 힘은 지금의 고민에도 그대로 쓸 수 있는 힘이에요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없는 것의 목록 옆에 있는 것의 목록도 나란히 적어 보세요</t>
    </r>
    <r>
      <rPr>
        <sz val="10"/>
        <rFont val="Malgun Gothic"/>
        <family val="0"/>
        <charset val="1"/>
      </rPr>
      <t xml:space="preserve">.</t>
    </r>
  </si>
  <si>
    <t xml:space="preserve">cards.1.deep.step.0</t>
  </si>
  <si>
    <r>
      <rPr>
        <sz val="10"/>
        <rFont val="Noto Sans CJK SC"/>
        <family val="2"/>
      </rPr>
      <t xml:space="preserve">자원을 눈에 보이게 펼쳐 두면 막연하던 고민이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이걸로 무엇을 해 볼까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질문으로 바뀌어요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문어가 여덟 갈래의 손을 각각 다르게 쓰듯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가진 것마다 맡길 수 있는 역할이 달라요</t>
    </r>
    <r>
      <rPr>
        <sz val="10"/>
        <rFont val="Malgun Gothic"/>
        <family val="0"/>
        <charset val="1"/>
      </rPr>
      <t xml:space="preserve">.</t>
    </r>
  </si>
  <si>
    <t xml:space="preserve">cards.1.deep.step.1</t>
  </si>
  <si>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작은 기술을 네 칸으로 나눠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그중 이번 주에 바로 꺼내 쓸 수 있는 것 하나를 골라 고민에 연결해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해결이 생각보다 가까이 있다는 감각이 생길 수 있어요</t>
    </r>
    <r>
      <rPr>
        <sz val="10"/>
        <rFont val="Malgun Gothic"/>
        <family val="0"/>
        <charset val="1"/>
      </rPr>
      <t xml:space="preserve">.</t>
    </r>
  </si>
  <si>
    <t xml:space="preserve">cards.2.deep.now.0</t>
  </si>
  <si>
    <r>
      <rPr>
        <sz val="10"/>
        <rFont val="Noto Sans CJK SC"/>
        <family val="2"/>
      </rPr>
      <t xml:space="preserve">말로 꺼내기 전의 감각은 대개 조용하고 느리게 움직여요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겉으로는 담담해 보여도 속에서 많은 것을 헤아리고 있다는 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그만큼 이 고민을 섬세하게 다루고 있다는 뜻이에요</t>
    </r>
    <r>
      <rPr>
        <sz val="10"/>
        <rFont val="Malgun Gothic"/>
        <family val="0"/>
        <charset val="1"/>
      </rPr>
      <t xml:space="preserve">.</t>
    </r>
  </si>
  <si>
    <t xml:space="preserve">cards.2.deep.now.1</t>
  </si>
  <si>
    <r>
      <rPr>
        <sz val="10"/>
        <rFont val="Noto Sans CJK SC"/>
        <family val="2"/>
      </rPr>
      <t xml:space="preserve">지금 마음 아래에 머물러 있는 느낌을 한 단어로 불러 본다면 무엇일까요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정확하지 않아도 괜찮아요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대로 불러 보면 그 감각이 조금씩 모양을 갖추기 시작해요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</si>
  <si>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목소리는 작고 망설이는 모양이라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목소리에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모양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어울리지 않음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다른 사람의 의견이나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해야 하는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소리가 크고 분명해서 쉽게 들려요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반면 내 안의 목소리는 작고 망설이는 모양이라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바쁜 날에는 그 소리를 놓치기 쉬워요</t>
    </r>
    <r>
      <rPr>
        <sz val="10"/>
        <rFont val="Malgun Gothic"/>
        <family val="0"/>
        <charset val="1"/>
      </rPr>
      <t xml:space="preserve">.)</t>
    </r>
  </si>
  <si>
    <t xml:space="preserve">cards.2.deep.hold.1</t>
  </si>
  <si>
    <r>
      <rPr>
        <sz val="10"/>
        <rFont val="Noto Sans CJK SC"/>
        <family val="2"/>
      </rPr>
      <t xml:space="preserve">누군가의 기대를 잠시 내려놓고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아무도 평가하지 않는다면 나는 무엇을 고를까</t>
    </r>
    <r>
      <rPr>
        <sz val="10"/>
        <rFont val="Malgun Gothic"/>
        <family val="0"/>
        <charset val="1"/>
      </rPr>
      <t xml:space="preserve">?' </t>
    </r>
    <r>
      <rPr>
        <sz val="10"/>
        <rFont val="Noto Sans CJK SC"/>
        <family val="2"/>
      </rPr>
      <t xml:space="preserve">하고 물어보세요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바로 답하지 않아도 괜찮아요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질문을 품고 하루를 보내면 마음이 기우는 쪽이 은근히 드러나요</t>
    </r>
    <r>
      <rPr>
        <sz val="10"/>
        <rFont val="Malgun Gothic"/>
        <family val="0"/>
        <charset val="1"/>
      </rPr>
      <t xml:space="preserve">.</t>
    </r>
  </si>
  <si>
    <t xml:space="preserve">cards.2.deep.step.0</t>
  </si>
  <si>
    <r>
      <rPr>
        <sz val="10"/>
        <rFont val="Noto Sans CJK SC"/>
        <family val="2"/>
      </rPr>
      <t xml:space="preserve">판단을 잠시 미루는 건 결정을 피하는 것과 달라요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충분히 바라본 뒤의 선택은 덜 흔들리고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고른 뒤에도 나를 덜 탓하게 해 줘요</t>
    </r>
    <r>
      <rPr>
        <sz val="10"/>
        <rFont val="Malgun Gothic"/>
        <family val="0"/>
        <charset val="1"/>
      </rPr>
      <t xml:space="preserve">.</t>
    </r>
  </si>
  <si>
    <t xml:space="preserve">cards.2.deep.step.1</t>
  </si>
  <si>
    <r>
      <rPr>
        <sz val="10"/>
        <rFont val="Noto Sans CJK SC"/>
        <family val="2"/>
      </rPr>
      <t xml:space="preserve">오늘은 결론을 내리지 않기로 정하고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고민이 떠오를 때마다 드는 느낌만 짧게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며칠 모아 읽어 보면 반복해서 나오는 마음이 보이고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그게 내가 원하는 방향의 실마리가 될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</si>
  <si>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안에서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당신이 가진 큰 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내 쪽 그릇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섞임</t>
    </r>
    <r>
      <rPr>
        <sz val="10"/>
        <rFont val="Malgun Gothic"/>
        <family val="0"/>
        <charset val="1"/>
      </rPr>
      <t xml:space="preserve">(BRIEF</t>
    </r>
    <r>
      <rPr>
        <sz val="10"/>
        <rFont val="Noto Sans CJK SC"/>
        <family val="2"/>
      </rPr>
      <t xml:space="preserve">의 예시와 같은 유형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위치해석 문장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그 따뜻함이 당신의 큰 힘이지만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도 거의 그대로 반복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누군가를 돌보는 일은 마음을 꽤 많이 쓰는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따뜻함은 당신이 가진 큰 힘이지만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쓴 만큼 채워지지 않으면 어느새 내 쪽 그릇이 비어 가기도 해요</t>
    </r>
    <r>
      <rPr>
        <sz val="10"/>
        <rFont val="Malgun Gothic"/>
        <family val="0"/>
        <charset val="1"/>
      </rPr>
      <t xml:space="preserve">.)</t>
    </r>
  </si>
  <si>
    <t xml:space="preserve">cards.3.deep.now.1</t>
  </si>
  <si>
    <r>
      <rPr>
        <sz val="10"/>
        <rFont val="Noto Sans CJK SC"/>
        <family val="2"/>
      </rPr>
      <t xml:space="preserve">요즘 나를 위해 쓴 시간은 하루에 얼마나 되나요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숫자로 떠올려 보면 생각보다 적을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시간을 조금 늘리는 건 돌봄을 줄이는 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오래 돌볼 수 있게 나를 채우는 일이에요</t>
    </r>
    <r>
      <rPr>
        <sz val="10"/>
        <rFont val="Malgun Gothic"/>
        <family val="0"/>
        <charset val="1"/>
      </rPr>
      <t xml:space="preserve">.</t>
    </r>
  </si>
  <si>
    <t xml:space="preserve">cards.3.deep.hold.0</t>
  </si>
  <si>
    <r>
      <rPr>
        <sz val="10"/>
        <rFont val="Noto Sans CJK SC"/>
        <family val="2"/>
      </rPr>
      <t xml:space="preserve">나를 챙기는 게 이기적으로 느껴진다면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오랫동안 남을 먼저 생각하는 쪽이 익숙했기 때문일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습관은 다정함에서 시작됐지만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지친 상태에선 그 다정함마저 무겁게 느껴질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</si>
  <si>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당연하다는 걸 허락해 보는 거예요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사실</t>
    </r>
    <r>
      <rPr>
        <sz val="10"/>
        <rFont val="Malgun Gothic"/>
        <family val="0"/>
        <charset val="1"/>
      </rPr>
      <t xml:space="preserve">(~</t>
    </r>
    <r>
      <rPr>
        <sz val="10"/>
        <rFont val="Noto Sans CJK SC"/>
        <family val="2"/>
      </rPr>
      <t xml:space="preserve">라는 것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허락한다는 어색한 연결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소중한 사람이 지금의 나처럼 지쳐 있다면 뭐라고 말해 줄까요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말을 그대로 나에게 돌려줘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남에게는 당연한 쉼이 나에게도 똑같이 당연하다는 걸 조금씩 허락해 보는 거예요</t>
    </r>
    <r>
      <rPr>
        <sz val="10"/>
        <rFont val="Malgun Gothic"/>
        <family val="0"/>
        <charset val="1"/>
      </rPr>
      <t xml:space="preserve">.)</t>
    </r>
  </si>
  <si>
    <t xml:space="preserve">cards.3.deep.step.0</t>
  </si>
  <si>
    <r>
      <rPr>
        <sz val="10"/>
        <rFont val="Noto Sans CJK SC"/>
        <family val="2"/>
      </rPr>
      <t xml:space="preserve">나를 품어 주는 일은 거창하지 않아도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따뜻한 음료 한 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일찍 눕는 저녁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나에게 건네는 다정한 말 한마디처럼 몸과 마음이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돌봄을 받았다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 느끼는 순간이면 충분해요</t>
    </r>
    <r>
      <rPr>
        <sz val="10"/>
        <rFont val="Malgun Gothic"/>
        <family val="0"/>
        <charset val="1"/>
      </rPr>
      <t xml:space="preserve">.</t>
    </r>
  </si>
  <si>
    <t xml:space="preserve">cards.3.deep.step.1</t>
  </si>
  <si>
    <r>
      <rPr>
        <sz val="10"/>
        <rFont val="Noto Sans CJK SC"/>
        <family val="2"/>
      </rPr>
      <t xml:space="preserve">오늘 나를 위해 해 줄 수 있는 돌봄 하나를 미리 정해 두세요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그리고 그 시간만큼은 다른 사람을 챙기는 생각을 잠시 내려놓아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채워진 품이어야 다시 누군가를 넉넉히 안을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</si>
  <si>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당신의 어깨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호칭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가능성이 커요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위치해석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든든한 존재일 가능성이 커요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과 겹침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책임감이 큰 사람은 흔들리는 상황에서도 자리를 지키는 쪽을 택해요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묵묵함 덕분에 주변이 안정을 얻고 있을 가능성이 커요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그만큼 당신의 어깨에도 무게가 실려 있어요</t>
    </r>
    <r>
      <rPr>
        <sz val="10"/>
        <rFont val="Malgun Gothic"/>
        <family val="0"/>
        <charset val="1"/>
      </rPr>
      <t xml:space="preserve">.)</t>
    </r>
  </si>
  <si>
    <t xml:space="preserve">cards.4.deep.now.1</t>
  </si>
  <si>
    <r>
      <rPr>
        <sz val="10"/>
        <rFont val="Noto Sans CJK SC"/>
        <family val="2"/>
      </rPr>
      <t xml:space="preserve">지금 지키고 있는 것들을 하나씩 떠올려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목록 안에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 자신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도 들어 있나요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지키는 사람도 지켜질 필요가 있다는 걸 오늘은 잠깐 기억해 주세요</t>
    </r>
    <r>
      <rPr>
        <sz val="10"/>
        <rFont val="Malgun Gothic"/>
        <family val="0"/>
        <charset val="1"/>
      </rPr>
      <t xml:space="preserve">.</t>
    </r>
  </si>
  <si>
    <t xml:space="preserve">cards.4.deep.hold.0</t>
  </si>
  <si>
    <r>
      <rPr>
        <sz val="10"/>
        <rFont val="Noto Sans CJK SC"/>
        <family val="2"/>
      </rPr>
      <t xml:space="preserve">모든 걸 붙잡으려는 마음은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내가 놓으면 무너질 것 같다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걱정에서 시작될 때가 많아요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하지만 통제할 수 없는 것까지 쥐고 있으면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정작 바꿀 수 있는 일에 쓸 힘이 남지 않아요</t>
    </r>
    <r>
      <rPr>
        <sz val="10"/>
        <rFont val="Malgun Gothic"/>
        <family val="0"/>
        <charset val="1"/>
      </rPr>
      <t xml:space="preserve">.</t>
    </r>
  </si>
  <si>
    <t xml:space="preserve">cards.4.deep.hold.1</t>
  </si>
  <si>
    <r>
      <rPr>
        <sz val="10"/>
        <rFont val="Noto Sans CJK SC"/>
        <family val="2"/>
      </rPr>
      <t xml:space="preserve">요즘 마음을 쓰고 있는 일들을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내가 바꿀 수 있는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내 손 밖의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나눠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손 밖의 것을 내려놓는다고 책임을 버리는 건 아니에요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오히려 힘을 써야 할 곳이 선명해져요</t>
    </r>
    <r>
      <rPr>
        <sz val="10"/>
        <rFont val="Malgun Gothic"/>
        <family val="0"/>
        <charset val="1"/>
      </rPr>
      <t xml:space="preserve">.</t>
    </r>
  </si>
  <si>
    <t xml:space="preserve">cards.4.deep.step.0</t>
  </si>
  <si>
    <r>
      <rPr>
        <sz val="10"/>
        <rFont val="Noto Sans CJK SC"/>
        <family val="2"/>
      </rPr>
      <t xml:space="preserve">작은 질서는 흔들리는 날의 발판이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정해진 시간에 하는 정리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하루의 끝을 표시하는 습관처럼 예측할 수 있는 무언가가 있으면 마음이 기댈 곳이 생겨요</t>
    </r>
    <r>
      <rPr>
        <sz val="10"/>
        <rFont val="Malgun Gothic"/>
        <family val="0"/>
        <charset val="1"/>
      </rPr>
      <t xml:space="preserve">.</t>
    </r>
  </si>
  <si>
    <t xml:space="preserve">cards.4.deep.step.1</t>
  </si>
  <si>
    <r>
      <rPr>
        <sz val="10"/>
        <rFont val="Noto Sans CJK SC"/>
        <family val="2"/>
      </rPr>
      <t xml:space="preserve">혼자 지던 무게 중 나눌 수 있는 것이 있다면 무엇일까요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부탁 하나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위임 하나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미뤄도 되는 일 하나를 골라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펭귄 무리처럼 자리를 바꿔 가며 견디면 추위도 덜 매섭게 느껴져요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</si>
  <si>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당신이 가진 큰 장점</t>
    </r>
    <r>
      <rPr>
        <sz val="10"/>
        <rFont val="Malgun Gothic"/>
        <family val="0"/>
        <charset val="1"/>
      </rPr>
      <t xml:space="preserve">' -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호칭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스스로 답을 찾으려는 힘은 당신이 가진 큰 장점이에요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다만 같은 질문을 혼자 오래 붙잡고 있으면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생각이 새 길을 찾기보다 익숙한 길을 다시 걷게 되기 쉬워요</t>
    </r>
    <r>
      <rPr>
        <sz val="10"/>
        <rFont val="Malgun Gothic"/>
        <family val="0"/>
        <charset val="1"/>
      </rPr>
      <t xml:space="preserve">.)</t>
    </r>
  </si>
  <si>
    <t xml:space="preserve">cards.5.deep.now.1</t>
  </si>
  <si>
    <r>
      <rPr>
        <sz val="10"/>
        <rFont val="Noto Sans CJK SC"/>
        <family val="2"/>
      </rPr>
      <t xml:space="preserve">이 고민을 처음 품었을 때와 지금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생각이 얼마나 달라졌나요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크게 달라지지 않았다면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이제는 바깥의 시선을 조금 빌릴 때일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혼자 쌓아 온 고민은 누군가와 나눌 때 새로운 결이 생겨요</t>
    </r>
    <r>
      <rPr>
        <sz val="10"/>
        <rFont val="Malgun Gothic"/>
        <family val="0"/>
        <charset val="1"/>
      </rPr>
      <t xml:space="preserve">.</t>
    </r>
  </si>
  <si>
    <t xml:space="preserve">cards.5.deep.hold.0</t>
  </si>
  <si>
    <r>
      <rPr>
        <sz val="10"/>
        <rFont val="Noto Sans CJK SC"/>
        <family val="2"/>
      </rPr>
      <t xml:space="preserve">도움을 청하기 어려운 건 상대에게 부담이 될까 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혹은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정도는 혼자 해야지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하는 마음 때문일 때가 많아요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배려와 책임감이 오히려 나를 고립시키고 있을 수도 있어요</t>
    </r>
    <r>
      <rPr>
        <sz val="10"/>
        <rFont val="Malgun Gothic"/>
        <family val="0"/>
        <charset val="1"/>
      </rPr>
      <t xml:space="preserve">.</t>
    </r>
  </si>
  <si>
    <t xml:space="preserve">cards.5.deep.hold.1</t>
  </si>
  <si>
    <r>
      <rPr>
        <sz val="10"/>
        <rFont val="Noto Sans CJK SC"/>
        <family val="2"/>
      </rPr>
      <t xml:space="preserve">내가 누군가의 고민을 들었을 때 부담스러웠던 적이 많았나요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오히려 믿고 말해 줘서 고마웠던 기억이 더 많을지도 몰라요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묻는 일은 약함이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관계를 믿는 방식이기도 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</si>
  <si>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같은 길을 먼저 지나간 사람의 이야기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위치해석 문장을 그대로 반복하고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지도가 담겨 있어요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단정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오래 검증된 지혜는 책 한 권일 수도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경험 많은 선배의 한마디일 수도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전문가의 도움일 수도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같은 길을 먼저 지나간 사람의 이야기에는 내가 아직 보지 못한 지도가 담겨 있어요</t>
    </r>
    <r>
      <rPr>
        <sz val="10"/>
        <rFont val="Malgun Gothic"/>
        <family val="0"/>
        <charset val="1"/>
      </rPr>
      <t xml:space="preserve">.)</t>
    </r>
  </si>
  <si>
    <t xml:space="preserve">cards.5.deep.step.1</t>
  </si>
  <si>
    <r>
      <rPr>
        <sz val="10"/>
        <rFont val="Noto Sans CJK SC"/>
        <family val="2"/>
      </rPr>
      <t xml:space="preserve">이 고민에 대해 이야기를 들어 보고 싶은 사람이나 자료를 하나 떠올려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거북이 천천히 가듯 서두를 필요는 없어요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묻고 싶은 질문 하나를 미리 적어 두는 것부터 시작해도 충분해요</t>
    </r>
    <r>
      <rPr>
        <sz val="10"/>
        <rFont val="Malgun Gothic"/>
        <family val="0"/>
        <charset val="1"/>
      </rPr>
      <t xml:space="preserve">.</t>
    </r>
  </si>
  <si>
    <t xml:space="preserve">cards.6.deep.now.0</t>
  </si>
  <si>
    <r>
      <rPr>
        <sz val="10"/>
        <rFont val="Noto Sans CJK SC"/>
        <family val="2"/>
      </rPr>
      <t xml:space="preserve">가까워지고 싶은 마음과 선택 앞의 망설임은 모두 무언가가 나에게 중요하다는 데서 나와요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마음이 오가는 건 우유부단해서가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그만큼 신중하게 아끼고 있다는 뜻이에요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</si>
  <si>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앞으로의 마음을 고르는 기준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마음을 고른다는 표현이 어색함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이 관계나 선택에서 내가 가장 지키고 싶은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편안함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존중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성장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시간처럼 한두 단어로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단어가 앞으로의 마음을 고르는 기준이 되어 줄 수 있어요</t>
    </r>
    <r>
      <rPr>
        <sz val="10"/>
        <rFont val="Malgun Gothic"/>
        <family val="0"/>
        <charset val="1"/>
      </rPr>
      <t xml:space="preserve">.)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</si>
  <si>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탓을 덜 받을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관용 표현은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탓을 듣다</t>
    </r>
    <r>
      <rPr>
        <sz val="10"/>
        <rFont val="Malgun Gothic"/>
        <family val="0"/>
        <charset val="1"/>
      </rPr>
      <t xml:space="preserve">' 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상대의 마음을 먼저 확인하고 싶은 건 상처받고 싶지 않은 마음에서 비롯될 때가 많아요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또 남이 보기에 좋은 선택을 따르면 적어도 탓을 덜 받을 것 같아 안전하게 느껴지기도 해요</t>
    </r>
    <r>
      <rPr>
        <sz val="10"/>
        <rFont val="Malgun Gothic"/>
        <family val="0"/>
        <charset val="1"/>
      </rPr>
      <t xml:space="preserve">.)</t>
    </r>
  </si>
  <si>
    <t xml:space="preserve">cards.6.deep.hold.1</t>
  </si>
  <si>
    <r>
      <rPr>
        <sz val="10"/>
        <rFont val="Noto Sans CJK SC"/>
        <family val="2"/>
      </rPr>
      <t xml:space="preserve">상대의 반응이나 남의 시선을 잠시 빼고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 마음만 놓고 본다면 무엇을 원하나요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답을 당장 꺼내지 않아도 괜찮아요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내가 먼저 알고 있는 것만으로도 관계 안에서 나를 잃지 않을 수 있어요</t>
    </r>
    <r>
      <rPr>
        <sz val="10"/>
        <rFont val="Malgun Gothic"/>
        <family val="0"/>
        <charset val="1"/>
      </rPr>
      <t xml:space="preserve">.</t>
    </r>
  </si>
  <si>
    <t xml:space="preserve">cards.6.deep.step.0</t>
  </si>
  <si>
    <r>
      <rPr>
        <sz val="10"/>
        <rFont val="Noto Sans CJK SC"/>
        <family val="2"/>
      </rPr>
      <t xml:space="preserve">나란히 헤엄친다는 건 같은 속도로 똑같이 움직인다는 뜻이 아니에요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서로 다른 몸짓이어도 같은 방향을 보고 있을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연결은 억지로 맞추지 않아도 편안해져요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</si>
  <si>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관계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를 가치와 비교해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가까운 쪽을 고르면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관계 하나를 두고 읽으면 관계를 유지할지 끝낼지 고르라는 권유로 읽힐 수 있음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내가 소중히 여기는 가치 세 가지를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고민 중인 관계나 선택이 그 가치와 얼마나 가까운지 살펴보세요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가까운 쪽을 고르면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결과와 상관없이 그 선택을 내 것으로 받아들이기가 쉬워져요</t>
    </r>
    <r>
      <rPr>
        <sz val="10"/>
        <rFont val="Malgun Gothic"/>
        <family val="0"/>
        <charset val="1"/>
      </rPr>
      <t xml:space="preserve">.)</t>
    </r>
  </si>
  <si>
    <t xml:space="preserve">cards.7.deep.now.0</t>
  </si>
  <si>
    <r>
      <rPr>
        <sz val="10"/>
        <rFont val="Noto Sans CJK SC"/>
        <family val="2"/>
      </rPr>
      <t xml:space="preserve">앞으로 나아가고 싶은 힘이 차오를 때는 마음이 조금 들뜨기도 하고 조급해지기도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방향이 어렴풋이 보인다는 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이미 내 안에서 무언가가 정리되기 시작했다는 신호예요</t>
    </r>
    <r>
      <rPr>
        <sz val="10"/>
        <rFont val="Malgun Gothic"/>
        <family val="0"/>
        <charset val="1"/>
      </rPr>
      <t xml:space="preserve">.</t>
    </r>
  </si>
  <si>
    <t xml:space="preserve">cards.7.deep.now.1</t>
  </si>
  <si>
    <r>
      <rPr>
        <sz val="10"/>
        <rFont val="Noto Sans CJK SC"/>
        <family val="2"/>
      </rPr>
      <t xml:space="preserve">지금 가장 가고 싶은 방향을 한 문장으로 말해 본다면 어떻게 될까요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문장이 짧고 분명할수록 힘을 어디에 실을지 정하기 쉬워져요</t>
    </r>
    <r>
      <rPr>
        <sz val="10"/>
        <rFont val="Malgun Gothic"/>
        <family val="0"/>
        <charset val="1"/>
      </rPr>
      <t xml:space="preserve">.</t>
    </r>
  </si>
  <si>
    <t xml:space="preserve">cards.7.deep.hold.0</t>
  </si>
  <si>
    <r>
      <rPr>
        <sz val="10"/>
        <rFont val="Noto Sans CJK SC"/>
        <family val="2"/>
      </rPr>
      <t xml:space="preserve">여러 기대를 동시에 맞추려 하면 힘은 금방 흩어져요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모두를 만족시키고 싶은 마음은 성실함이지만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사이에서 내가 원래 가려던 방향이 흐려질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</si>
  <si>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다음 파도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연속 두 문장에 반복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지금 내가 맞추려 애쓰는 기대들 가운데 꼭 지금 맞춰야 하는 것은 몇 개인가요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몇 개는 다음 파도로 미뤄도 괜찮을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쉬는 것도 다음 파도를 타기 위한 준비라는 걸 잊지 마세요</t>
    </r>
    <r>
      <rPr>
        <sz val="10"/>
        <rFont val="Malgun Gothic"/>
        <family val="0"/>
        <charset val="1"/>
      </rPr>
      <t xml:space="preserve">.)</t>
    </r>
  </si>
  <si>
    <t xml:space="preserve">cards.7.deep.step.0</t>
  </si>
  <si>
    <r>
      <rPr>
        <sz val="10"/>
        <rFont val="Noto Sans CJK SC"/>
        <family val="2"/>
      </rPr>
      <t xml:space="preserve">흐름을 이용한다는 건 이미 잘 되고 있는 것에 힘을 보태는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처음부터 새 길을 내기보다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작게라도 움직이고 있는 쪽을 키우면 힘을 덜 들이고도 멀리 갈 수 있어요</t>
    </r>
    <r>
      <rPr>
        <sz val="10"/>
        <rFont val="Malgun Gothic"/>
        <family val="0"/>
        <charset val="1"/>
      </rPr>
      <t xml:space="preserve">.</t>
    </r>
  </si>
  <si>
    <t xml:space="preserve">cards.7.deep.step.1</t>
  </si>
  <si>
    <r>
      <rPr>
        <sz val="10"/>
        <rFont val="Noto Sans CJK SC"/>
        <family val="2"/>
      </rPr>
      <t xml:space="preserve">최근에 조금이라도 잘 풀렸던 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반응이 좋았던 시도를 떠올려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주에는 그 흐름에 한 번 더 힘을 실어 보는 건 어떨까요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돌고래처럼 파도의 힘을 빌리면 움직임이 한결 가벼워져요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</si>
  <si>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견뎌 온 당신의 마음은 이미 꽤 단단해져 있어요</t>
    </r>
    <r>
      <rPr>
        <sz val="10"/>
        <rFont val="Malgun Gothic"/>
        <family val="0"/>
        <charset val="1"/>
      </rPr>
      <t xml:space="preserve">' -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호칭에 단정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참고 견디는 것을 칭찬해 폭력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학대 상황에서 계속 견디라는 뜻으로 읽힐 수 있음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역방향 위치해석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견디는 것만이 강한 거라는 생각이 도움을 청하는 길을 막고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과도 결이 부딪힘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드러내지 않은 불편함을 품고 하루를 지켜 낸다는 건 생각보다 많은 힘이 드는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아무도 몰라도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시간을 견뎌 온 당신의 마음은 이미 꽤 단단해져 있어요</t>
    </r>
    <r>
      <rPr>
        <sz val="10"/>
        <rFont val="Malgun Gothic"/>
        <family val="0"/>
        <charset val="1"/>
      </rPr>
      <t xml:space="preserve">.)</t>
    </r>
  </si>
  <si>
    <t xml:space="preserve">cards.8.deep.now.1</t>
  </si>
  <si>
    <r>
      <rPr>
        <sz val="10"/>
        <rFont val="Noto Sans CJK SC"/>
        <family val="2"/>
      </rPr>
      <t xml:space="preserve">그 불편함이 처음 생긴 건 언제쯤이었나요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정확히 기억나지 않아도 괜찮아요</t>
    </r>
    <r>
      <rPr>
        <sz val="10"/>
        <rFont val="Malgun Gothic"/>
        <family val="0"/>
        <charset val="1"/>
      </rPr>
      <t xml:space="preserve">. '</t>
    </r>
    <r>
      <rPr>
        <sz val="10"/>
        <rFont val="Noto Sans CJK SC"/>
        <family val="2"/>
      </rPr>
      <t xml:space="preserve">그동안 이걸 품고 있었구나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하고 알아주는 것만으로도 마음의 긴장이 조금 풀릴 수 있어요</t>
    </r>
    <r>
      <rPr>
        <sz val="10"/>
        <rFont val="Malgun Gothic"/>
        <family val="0"/>
        <charset val="1"/>
      </rPr>
      <t xml:space="preserve">.</t>
    </r>
  </si>
  <si>
    <t xml:space="preserve">cards.8.deep.hold.0</t>
  </si>
  <si>
    <r>
      <rPr>
        <sz val="10"/>
        <rFont val="Noto Sans CJK SC"/>
        <family val="2"/>
      </rPr>
      <t xml:space="preserve">불편한 감정을 빨리 없애려 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마음은 그 감정을 더 자주 확인하게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밀어내는 데 쓰는 힘만큼 감정도 크게 느껴지는 거예요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</si>
  <si>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불러 줘 보세요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보조용언이 겹쳐 어색함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감정이 올라올 때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없어져야 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지금 이런 마음이 있구나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하고 한 번만 불러 줘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감정은 이름이 붙으면 덜 낯설어지고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낯설지 않은 감정은 덜 무섭게 느껴져요</t>
    </r>
    <r>
      <rPr>
        <sz val="10"/>
        <rFont val="Malgun Gothic"/>
        <family val="0"/>
        <charset val="1"/>
      </rPr>
      <t xml:space="preserve">.)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</si>
  <si>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해결하지 못하는 시간이 오히려 마음의 결을 단단하게 다듬어 줘요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단정이고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고통을 견디는 시간이 이롭다는 뜻으로 읽혀 위기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폭력 상황에서 부적절할 수 있음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조개는 모래알을 뱉어 내지 못할 때 그것을 감싸 진주로 만들어요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불편함과 함께 있는 연습도 비슷해서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감정을 바로 해결하지 못하는 시간이 오히려 마음의 결을 단단하게 다듬어 줘요</t>
    </r>
    <r>
      <rPr>
        <sz val="10"/>
        <rFont val="Malgun Gothic"/>
        <family val="0"/>
        <charset val="1"/>
      </rPr>
      <t xml:space="preserve">.)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</si>
  <si>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하루 중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'(</t>
    </r>
    <r>
      <rPr>
        <sz val="10"/>
        <rFont val="Noto Sans CJK SC"/>
        <family val="2"/>
      </rPr>
      <t xml:space="preserve">정해 둔 시간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올라오면</t>
    </r>
    <r>
      <rPr>
        <sz val="10"/>
        <rFont val="Malgun Gothic"/>
        <family val="0"/>
        <charset val="1"/>
      </rPr>
      <t xml:space="preserve">'(</t>
    </r>
    <r>
      <rPr>
        <sz val="10"/>
        <rFont val="Noto Sans CJK SC"/>
        <family val="2"/>
      </rPr>
      <t xml:space="preserve">그때그때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 서로 어긋남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하루 중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마음이 올라오면 숨을 천천히 쉬면서 그 감정이 몸 어디에 있는지 느껴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바꾸려 하지 않고 곁에 두는 연습이 쌓이면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같은 감정이 와도 덜 휩쓸리게 될 수 있어요</t>
    </r>
    <r>
      <rPr>
        <sz val="10"/>
        <rFont val="Malgun Gothic"/>
        <family val="0"/>
        <charset val="1"/>
      </rPr>
      <t xml:space="preserve">.)</t>
    </r>
  </si>
  <si>
    <t xml:space="preserve">cards.9.deep.now.0</t>
  </si>
  <si>
    <r>
      <rPr>
        <sz val="10"/>
        <rFont val="Noto Sans CJK SC"/>
        <family val="2"/>
      </rPr>
      <t xml:space="preserve">혼자 있고 싶은 마음은 관계가 싫어서라기보다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안쪽을 정리할 공간이 필요해서일 때가 많아요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말수가 줄어든 시기는 마음이 조용히 무언가를 소화하고 있는 시간일 수 있어요</t>
    </r>
    <r>
      <rPr>
        <sz val="10"/>
        <rFont val="Malgun Gothic"/>
        <family val="0"/>
        <charset val="1"/>
      </rPr>
      <t xml:space="preserve">.</t>
    </r>
  </si>
  <si>
    <t xml:space="preserve">cards.9.deep.now.1</t>
  </si>
  <si>
    <r>
      <rPr>
        <sz val="10"/>
        <rFont val="Noto Sans CJK SC"/>
        <family val="2"/>
      </rPr>
      <t xml:space="preserve">요즘 혼자 있을 때 주로 어떤 생각을 하나요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생각들 사이에 반복되는 질문이 있다면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그게 지금 마음이 정리하려는 주제일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노트 한 장에 그 질문을 적어 두는 것도 좋아요</t>
    </r>
    <r>
      <rPr>
        <sz val="10"/>
        <rFont val="Malgun Gothic"/>
        <family val="0"/>
        <charset val="1"/>
      </rPr>
      <t xml:space="preserve">.</t>
    </r>
  </si>
  <si>
    <t xml:space="preserve">cards.9.deep.hold.0</t>
  </si>
  <si>
    <r>
      <rPr>
        <sz val="10"/>
        <rFont val="Noto Sans CJK SC"/>
        <family val="2"/>
      </rPr>
      <t xml:space="preserve">혼자이고 싶은 마음과 외로운 마음은 겉으로는 비슷해 보여서 쉽게 섞여요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둘이 섞이면 사람을 만나도 지치고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혼자 있어도 허전한 상태가 이어지기 쉬워요</t>
    </r>
    <r>
      <rPr>
        <sz val="10"/>
        <rFont val="Malgun Gothic"/>
        <family val="0"/>
        <charset val="1"/>
      </rPr>
      <t xml:space="preserve">.</t>
    </r>
  </si>
  <si>
    <t xml:space="preserve">cards.9.deep.hold.1</t>
  </si>
  <si>
    <r>
      <rPr>
        <sz val="10"/>
        <rFont val="Noto Sans CJK SC"/>
        <family val="2"/>
      </rPr>
      <t xml:space="preserve">혼자 있을 때 마음이 편안해지나요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아니면 점점 가라앉나요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편안하다면 지금은 쉼이 필요한 거고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가라앉는다면 누군가의 온기가 필요한 신호일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차이를 알아차리는 것만으로도 필요한 게 보여요</t>
    </r>
    <r>
      <rPr>
        <sz val="10"/>
        <rFont val="Malgun Gothic"/>
        <family val="0"/>
        <charset val="1"/>
      </rPr>
      <t xml:space="preserve">.</t>
    </r>
  </si>
  <si>
    <t xml:space="preserve">cards.9.deep.step.0</t>
  </si>
  <si>
    <r>
      <rPr>
        <sz val="10"/>
        <rFont val="Noto Sans CJK SC"/>
        <family val="2"/>
      </rPr>
      <t xml:space="preserve">의도적으로 가진 혼자만의 시간은 고립과 달라요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나를 돌아보는 시간이 있어야 다시 사람들 사이로 돌아갈 힘도 생기니까요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등불은 혼자 있어도 길을 잃지 않게 해 주는 작은 연결이에요</t>
    </r>
    <r>
      <rPr>
        <sz val="10"/>
        <rFont val="Malgun Gothic"/>
        <family val="0"/>
        <charset val="1"/>
      </rPr>
      <t xml:space="preserve">.</t>
    </r>
  </si>
  <si>
    <t xml:space="preserve">cards.9.deep.step.1</t>
  </si>
  <si>
    <r>
      <rPr>
        <sz val="10"/>
        <rFont val="Noto Sans CJK SC"/>
        <family val="2"/>
      </rPr>
      <t xml:space="preserve">이번 주에 나만을 위한 조용한 시간을 하나 정해 두고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그와 별개로 안부를 나눌 사람 한 명을 떠올려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깊이 들어가는 시간과 이어져 있는 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둘이 함께 있을 때 혼자의 시간이 더 따뜻해져요</t>
    </r>
    <r>
      <rPr>
        <sz val="10"/>
        <rFont val="Malgun Gothic"/>
        <family val="0"/>
        <charset val="1"/>
      </rPr>
      <t xml:space="preserve">.</t>
    </r>
  </si>
  <si>
    <t xml:space="preserve">cards.10.deep.now.0</t>
  </si>
  <si>
    <r>
      <rPr>
        <sz val="10"/>
        <rFont val="Noto Sans CJK SC"/>
        <family val="2"/>
      </rPr>
      <t xml:space="preserve">내 뜻과 상관없이 상황이 바뀔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마음은 먼저 발 디딜 곳부터 찾으려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 살피고 두리번거리는 건 불안해서만이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새로운 흐름에 맞춰 자리를 찾으려는 자연스러운 움직임이에요</t>
    </r>
    <r>
      <rPr>
        <sz val="10"/>
        <rFont val="Malgun Gothic"/>
        <family val="0"/>
        <charset val="1"/>
      </rPr>
      <t xml:space="preserve">.</t>
    </r>
  </si>
  <si>
    <t xml:space="preserve">cards.10.deep.now.1</t>
  </si>
  <si>
    <r>
      <rPr>
        <sz val="10"/>
        <rFont val="Noto Sans CJK SC"/>
        <family val="2"/>
      </rPr>
      <t xml:space="preserve">이 변화 속에서도 그대로인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내 곁의 사람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지키는 습관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내가 좋아하는 것처럼 변하지 않은 것을 떠올리면 흔들리는 물살 속에서도 붙잡을 곳이 생겨요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</si>
  <si>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느껴져요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느껴지기 때문이에요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이어져 반복적이고 같은 말을 되풀이하는 느낌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힘든 시기에는 지금 상태가 영원히 계속될 것처럼 느껴져요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마음이 지친 만큼 시간도 멈춘 것처럼 느껴지기 때문이에요</t>
    </r>
    <r>
      <rPr>
        <sz val="10"/>
        <rFont val="Malgun Gothic"/>
        <family val="0"/>
        <charset val="1"/>
      </rPr>
      <t xml:space="preserve">.)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</si>
  <si>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물살은 돌고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뜻이 모호함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돌고 돈다는 뜻인지 불분명</t>
    </r>
    <r>
      <rPr>
        <sz val="10"/>
        <rFont val="Malgun Gothic"/>
        <family val="0"/>
        <charset val="1"/>
      </rPr>
      <t xml:space="preserve">) 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지난 몇 년을 돌아보면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그때는 끝나지 않을 것 같았는데 지나갔던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시기가 있었나요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기억을 잠시 꺼내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물살은 돌고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지금의 물살도 같은 방식으로 지나갈 수 있다는 걸 떠올리게 해 줘요</t>
    </r>
    <r>
      <rPr>
        <sz val="10"/>
        <rFont val="Malgun Gothic"/>
        <family val="0"/>
        <charset val="1"/>
      </rPr>
      <t xml:space="preserve">.)</t>
    </r>
  </si>
  <si>
    <t xml:space="preserve">cards.10.deep.step.0</t>
  </si>
  <si>
    <r>
      <rPr>
        <sz val="10"/>
        <rFont val="Noto Sans CJK SC"/>
        <family val="2"/>
      </rPr>
      <t xml:space="preserve">흐름을 받아들인다는 건 포기와 달라요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바꿀 수 없는 것에 쓰던 힘을 거둬들이고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힘을 내가 고를 수 있는 작은 움직임에 옮기는 일이에요</t>
    </r>
    <r>
      <rPr>
        <sz val="10"/>
        <rFont val="Malgun Gothic"/>
        <family val="0"/>
        <charset val="1"/>
      </rPr>
      <t xml:space="preserve">.</t>
    </r>
  </si>
  <si>
    <t xml:space="preserve">cards.10.deep.step.1</t>
  </si>
  <si>
    <r>
      <rPr>
        <sz val="10"/>
        <rFont val="Noto Sans CJK SC"/>
        <family val="2"/>
      </rPr>
      <t xml:space="preserve">지금 상황에서 내가 고를 수 있는 것 세 가지를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아주 작아도 괜찮아요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하루를 시작하는 방식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정보를 보는 시간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기댈 사람처럼 내 손에 있는 선택이 모이면 방향을 잃지 않을 수 있어요</t>
    </r>
    <r>
      <rPr>
        <sz val="10"/>
        <rFont val="Malgun Gothic"/>
        <family val="0"/>
        <charset val="1"/>
      </rPr>
      <t xml:space="preserve">.</t>
    </r>
  </si>
  <si>
    <t xml:space="preserve">cards.11.deep.now.0</t>
  </si>
  <si>
    <r>
      <rPr>
        <sz val="10"/>
        <rFont val="Noto Sans CJK SC"/>
        <family val="2"/>
      </rPr>
      <t xml:space="preserve">무엇이 옳은지 따져 보는 마음은 억울함이나 미안함처럼 공정함에 닿아 있는 감정에서 나와요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마음이 분주한 건 그만큼 이 일을 바르게 정리하고 싶다는 뜻이에요</t>
    </r>
    <r>
      <rPr>
        <sz val="10"/>
        <rFont val="Malgun Gothic"/>
        <family val="0"/>
        <charset val="1"/>
      </rPr>
      <t xml:space="preserve">.</t>
    </r>
  </si>
  <si>
    <t xml:space="preserve">cards.11.deep.now.1</t>
  </si>
  <si>
    <r>
      <rPr>
        <sz val="10"/>
        <rFont val="Noto Sans CJK SC"/>
        <family val="2"/>
      </rPr>
      <t xml:space="preserve">지금 저울 위에 올려진 건 무엇과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사람과 사람일 수도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나의 마음과 나의 책임일 수도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무엇을 재고 있는지 알면 저울질이 덜 혼란스러워져요</t>
    </r>
    <r>
      <rPr>
        <sz val="10"/>
        <rFont val="Malgun Gothic"/>
        <family val="0"/>
        <charset val="1"/>
      </rPr>
      <t xml:space="preserve">.</t>
    </r>
  </si>
  <si>
    <t xml:space="preserve">cards.11.deep.hold.0</t>
  </si>
  <si>
    <r>
      <rPr>
        <sz val="10"/>
        <rFont val="Noto Sans CJK SC"/>
        <family val="2"/>
      </rPr>
      <t xml:space="preserve">남에게는 사정이 있었겠다고 이해하면서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나에게는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그러면 안 됐어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라고 말하기 쉬워요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한쪽 이야기만 되풀이하다 보면 저울은 점점 기울고 결론도 서두르게 돼요</t>
    </r>
    <r>
      <rPr>
        <sz val="10"/>
        <rFont val="Malgun Gothic"/>
        <family val="0"/>
        <charset val="1"/>
      </rPr>
      <t xml:space="preserve">.</t>
    </r>
  </si>
  <si>
    <t xml:space="preserve">cards.11.deep.hold.1</t>
  </si>
  <si>
    <r>
      <rPr>
        <sz val="10"/>
        <rFont val="Noto Sans CJK SC"/>
        <family val="2"/>
      </rPr>
      <t xml:space="preserve">같은 일을 소중한 친구가 겪었다면 어떻게 판단해 줄까요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기준을 나에게도 똑같이 적용해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공정한 저울은 남에게만이 아니라 나에게도 내밀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</si>
  <si>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단정할 수 없는 부분이 많다는 걸 알게 돼요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단정이고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폭력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부당한 대우를 겪은 사람에게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네 해석일 수 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식으로 경험을 깎아내리는 말로 읽힐 수 있음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사실과 해석을 나누면 감정의 온도가 조금 내려가요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실제로 일어난 일과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일에 내가 붙인 의미를 따로 보면 생각보다 단정할 수 없는 부분이 많다는 걸 알게 돼요</t>
    </r>
    <r>
      <rPr>
        <sz val="10"/>
        <rFont val="Malgun Gothic"/>
        <family val="0"/>
        <charset val="1"/>
      </rPr>
      <t xml:space="preserve">.)</t>
    </r>
  </si>
  <si>
    <t xml:space="preserve">cards.11.deep.step.1</t>
  </si>
  <si>
    <r>
      <rPr>
        <sz val="10"/>
        <rFont val="Noto Sans CJK SC"/>
        <family val="2"/>
      </rPr>
      <t xml:space="preserve">종이에 두 칸을 만들어 왼쪽에는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있었던 일</t>
    </r>
    <r>
      <rPr>
        <sz val="10"/>
        <rFont val="Malgun Gothic"/>
        <family val="0"/>
        <charset val="1"/>
      </rPr>
      <t xml:space="preserve">', </t>
    </r>
    <r>
      <rPr>
        <sz val="10"/>
        <rFont val="Noto Sans CJK SC"/>
        <family val="2"/>
      </rPr>
      <t xml:space="preserve">오른쪽에는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내가 느끼고 해석한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마음이 가라앉은 뒤 다시 읽으면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양쪽을 조금 더 고요하게 저울에 올릴 수 있어요</t>
    </r>
    <r>
      <rPr>
        <sz val="10"/>
        <rFont val="Malgun Gothic"/>
        <family val="0"/>
        <charset val="1"/>
      </rPr>
      <t xml:space="preserve">.</t>
    </r>
  </si>
  <si>
    <t xml:space="preserve">cards.12.deep.now.0</t>
  </si>
  <si>
    <r>
      <rPr>
        <sz val="10"/>
        <rFont val="Noto Sans CJK SC"/>
        <family val="2"/>
      </rPr>
      <t xml:space="preserve">열심히 해 왔는데 앞으로 나아가지 않는 느낌이 들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몸과 마음은 대개 이미 꽤 지쳐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지금의 쉬고 싶은 마음은 게으름이 아니라 오래 버텨 온 나를 위한 정직한 신호예요</t>
    </r>
    <r>
      <rPr>
        <sz val="10"/>
        <rFont val="Malgun Gothic"/>
        <family val="0"/>
        <charset val="1"/>
      </rPr>
      <t xml:space="preserve">.</t>
    </r>
  </si>
  <si>
    <t xml:space="preserve">cards.12.deep.now.1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</si>
  <si>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정말 쉬었다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 느낀 날이 언제였나요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떠오르지 않는다면 지금이 그 시간을 만들 때일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쉼은 상을 받듯 얻는 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계속 가기 위해 필요한 것이에요</t>
    </r>
    <r>
      <rPr>
        <sz val="10"/>
        <rFont val="Malgun Gothic"/>
        <family val="0"/>
        <charset val="1"/>
      </rPr>
      <t xml:space="preserve">.</t>
    </r>
  </si>
  <si>
    <t xml:space="preserve">cards.12.deep.hold.0</t>
  </si>
  <si>
    <r>
      <rPr>
        <sz val="10"/>
        <rFont val="Noto Sans CJK SC"/>
        <family val="2"/>
      </rPr>
      <t xml:space="preserve">쉬면 뒤처질 것 같은 마음은 많은 걸 잘 해내고 싶은 사람에게 자주 찾아와요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있으면 몸은 멈춰도 머리는 계속 일을 붙잡고 있어서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쉬고 나도 개운하지 않기 쉬워요</t>
    </r>
    <r>
      <rPr>
        <sz val="10"/>
        <rFont val="Malgun Gothic"/>
        <family val="0"/>
        <charset val="1"/>
      </rPr>
      <t xml:space="preserve">.</t>
    </r>
  </si>
  <si>
    <t xml:space="preserve">cards.12.deep.hold.1</t>
  </si>
  <si>
    <r>
      <rPr>
        <sz val="10"/>
        <rFont val="Noto Sans CJK SC"/>
        <family val="2"/>
      </rPr>
      <t xml:space="preserve">쉬는 시간에 머릿속에서 무엇이 가장 자주 떠오르나요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그것을 종이에 적어 두고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이건 내일의 내가 볼게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하고 잠시 맡겨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생각을 밖에 내려놓으면 몸과 함께 마음도 쉴 자리가 생겨요</t>
    </r>
    <r>
      <rPr>
        <sz val="10"/>
        <rFont val="Malgun Gothic"/>
        <family val="0"/>
        <charset val="1"/>
      </rPr>
      <t xml:space="preserve">.</t>
    </r>
  </si>
  <si>
    <t xml:space="preserve">cards.12.deep.step.0</t>
  </si>
  <si>
    <r>
      <rPr>
        <sz val="10"/>
        <rFont val="Noto Sans CJK SC"/>
        <family val="2"/>
      </rPr>
      <t xml:space="preserve">진짜 멈춤은 아무것도 하지 않는 시간이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해야 할 일에서 잠시 눈을 떼는 시간이에요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멈춰 있는 동안 마음은 그동안 보지 못한 것을 천천히 정리해요</t>
    </r>
    <r>
      <rPr>
        <sz val="10"/>
        <rFont val="Malgun Gothic"/>
        <family val="0"/>
        <charset val="1"/>
      </rPr>
      <t xml:space="preserve">.</t>
    </r>
  </si>
  <si>
    <t xml:space="preserve">cards.12.deep.step.1</t>
  </si>
  <si>
    <r>
      <rPr>
        <sz val="10"/>
        <rFont val="Noto Sans CJK SC"/>
        <family val="2"/>
      </rPr>
      <t xml:space="preserve">하루 중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분이라도 일과 상관없는 시간을 정해 두세요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창밖 보기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산책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음악 듣기처럼 결과가 필요 없는 일이면 좋아요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고개를 거꾸로 한 물범처럼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쉰 뒤에야 보이는 길이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</si>
  <si>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마음은 몸보다 늦게 따라와요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끝나는 상황에서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몸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과의 비교가 어색함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위치해석은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마음이 아직 따라가지 못하고</t>
    </r>
    <r>
      <rPr>
        <sz val="10"/>
        <rFont val="Malgun Gothic"/>
        <family val="0"/>
        <charset val="1"/>
      </rPr>
      <t xml:space="preserve">') 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무언가가 끝날 때 마음은 대개 몸보다 늦게 따라와요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아쉬움과 홀가분함이 함께 드는 건 이상한 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시간이 나에게 의미 있었다는 증거예요</t>
    </r>
    <r>
      <rPr>
        <sz val="10"/>
        <rFont val="Malgun Gothic"/>
        <family val="0"/>
        <charset val="1"/>
      </rPr>
      <t xml:space="preserve">.)</t>
    </r>
  </si>
  <si>
    <t xml:space="preserve">cards.13.deep.now.1</t>
  </si>
  <si>
    <r>
      <rPr>
        <sz val="10"/>
        <rFont val="Noto Sans CJK SC"/>
        <family val="2"/>
      </rPr>
      <t xml:space="preserve">끝나 가는 것에서 내가 가장 아쉬운 것은 무엇이고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가장 가벼워지는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두 가지를 나란히 놓고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놓아 보내는 일이 잃는 것만은 아니라는 걸 느낄 수 있어요</t>
    </r>
    <r>
      <rPr>
        <sz val="10"/>
        <rFont val="Malgun Gothic"/>
        <family val="0"/>
        <charset val="1"/>
      </rPr>
      <t xml:space="preserve">.</t>
    </r>
  </si>
  <si>
    <t xml:space="preserve">cards.13.deep.hold.0</t>
  </si>
  <si>
    <r>
      <rPr>
        <sz val="10"/>
        <rFont val="Noto Sans CJK SC"/>
        <family val="2"/>
      </rPr>
      <t xml:space="preserve">익숙한 것은 불편해도 예측할 수 있어서 안전하게 느껴져요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그래서 이미 작아진 껍데기라도 쉽게 내려놓지 못하고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끝을 인정하는 일이 실패처럼 느껴지기도 해요</t>
    </r>
    <r>
      <rPr>
        <sz val="10"/>
        <rFont val="Malgun Gothic"/>
        <family val="0"/>
        <charset val="1"/>
      </rPr>
      <t xml:space="preserve">.</t>
    </r>
  </si>
  <si>
    <t xml:space="preserve">cards.13.deep.hold.1</t>
  </si>
  <si>
    <r>
      <rPr>
        <sz val="10"/>
        <rFont val="Noto Sans CJK SC"/>
        <family val="2"/>
      </rPr>
      <t xml:space="preserve">지금 붙잡고 있는 것이 여전히 나를 지켜 주고 있나요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아니면 나를 좁게 만들고 있나요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정답을 정하지 않아도 괜찮아요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질문을 가만히 품어 보는 것만으로도 마음이 다음 집을 떠올리기 시작해요</t>
    </r>
    <r>
      <rPr>
        <sz val="10"/>
        <rFont val="Malgun Gothic"/>
        <family val="0"/>
        <charset val="1"/>
      </rPr>
      <t xml:space="preserve">.</t>
    </r>
  </si>
  <si>
    <t xml:space="preserve">cards.13.deep.step.0</t>
  </si>
  <si>
    <r>
      <rPr>
        <sz val="10"/>
        <rFont val="Noto Sans CJK SC"/>
        <family val="2"/>
      </rPr>
      <t xml:space="preserve">끝을 잘 보내는 작은 의식은 마음이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이제 넘어가도 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 받아들이게 도와줘요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것을 정리하고 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내려놓는 일이 버리는 일이 아니라 다음으로 옮겨 가는 일로 느껴져요</t>
    </r>
    <r>
      <rPr>
        <sz val="10"/>
        <rFont val="Malgun Gothic"/>
        <family val="0"/>
        <charset val="1"/>
      </rPr>
      <t xml:space="preserve">.</t>
    </r>
  </si>
  <si>
    <t xml:space="preserve">cards.13.deep.step.1</t>
  </si>
  <si>
    <r>
      <rPr>
        <sz val="10"/>
        <rFont val="Noto Sans CJK SC"/>
        <family val="2"/>
      </rPr>
      <t xml:space="preserve">고마웠던 것 세 가지와 이제 내려놓을 것 세 가지를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사진 한 장을 정리하거나 짧은 편지를 써 보는 것도 좋아요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소라게가 새 집을 고르듯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지금의 나에게 맞는 크기의 자리를 찾아갈 수 있어요</t>
    </r>
    <r>
      <rPr>
        <sz val="10"/>
        <rFont val="Malgun Gothic"/>
        <family val="0"/>
        <charset val="1"/>
      </rPr>
      <t xml:space="preserve">.</t>
    </r>
  </si>
  <si>
    <t xml:space="preserve">cards.14.deep.now.0</t>
  </si>
  <si>
    <r>
      <rPr>
        <sz val="10"/>
        <rFont val="Noto Sans CJK SC"/>
        <family val="2"/>
      </rPr>
      <t xml:space="preserve">두 가지 사이에서 균형을 찾으려는 건 둘 다 소중하기 때문이에요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어느 하나도 버리고 싶지 않은 마음이 저울질을 길게 만들지만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그건 삶을 넓게 품으려는 노력이기도 해요</t>
    </r>
    <r>
      <rPr>
        <sz val="10"/>
        <rFont val="Malgun Gothic"/>
        <family val="0"/>
        <charset val="1"/>
      </rPr>
      <t xml:space="preserve">.</t>
    </r>
  </si>
  <si>
    <t xml:space="preserve">cards.14.deep.now.1</t>
  </si>
  <si>
    <r>
      <rPr>
        <sz val="10"/>
        <rFont val="Noto Sans CJK SC"/>
        <family val="2"/>
      </rPr>
      <t xml:space="preserve">지금 저울의 양쪽에 놓인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각각을 떠올릴 때 드는 느낌을 한 단어로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마음이 어느 쪽에 더 오래 머무는지 보이면 지금 필요한 비율도 함께 보여요</t>
    </r>
    <r>
      <rPr>
        <sz val="10"/>
        <rFont val="Malgun Gothic"/>
        <family val="0"/>
        <charset val="1"/>
      </rPr>
      <t xml:space="preserve">.</t>
    </r>
  </si>
  <si>
    <t xml:space="preserve">cards.14.deep.hold.0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</si>
  <si>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전부 아니면 전무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생각은 선택을 단순하게 만들어 주는 것 같지만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실제로는 어느 쪽도 고르지 못하게 만들어요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하나를 고르면 다른 하나를 완전히 잃을 것 같아서예요</t>
    </r>
    <r>
      <rPr>
        <sz val="10"/>
        <rFont val="Malgun Gothic"/>
        <family val="0"/>
        <charset val="1"/>
      </rPr>
      <t xml:space="preserve">.</t>
    </r>
  </si>
  <si>
    <t xml:space="preserve">cards.14.deep.hold.1</t>
  </si>
  <si>
    <r>
      <rPr>
        <sz val="10"/>
        <rFont val="Noto Sans CJK SC"/>
        <family val="2"/>
      </rPr>
      <t xml:space="preserve">둘 중 하나를 고르는 대신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조금 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조금 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바꿔 생각해 보면 어떨까요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완전히 고르지 않아도 비율을 조정할 수는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여지가 보이면 마음의 긴장이 한결 풀려요</t>
    </r>
    <r>
      <rPr>
        <sz val="10"/>
        <rFont val="Malgun Gothic"/>
        <family val="0"/>
        <charset val="1"/>
      </rPr>
      <t xml:space="preserve">.</t>
    </r>
  </si>
  <si>
    <t xml:space="preserve">cards.14.deep.step.0</t>
  </si>
  <si>
    <r>
      <rPr>
        <sz val="10"/>
        <rFont val="Noto Sans CJK SC"/>
        <family val="2"/>
      </rPr>
      <t xml:space="preserve">알맞은 비율은 한 번 정하면 끝나는 게 아니라 날마다 달라질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개구리가 물과 뭍을 오가듯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오늘 필요한 쪽에 조금 더 머물렀다가 내일 다시 조절하면 돼요</t>
    </r>
    <r>
      <rPr>
        <sz val="10"/>
        <rFont val="Malgun Gothic"/>
        <family val="0"/>
        <charset val="1"/>
      </rPr>
      <t xml:space="preserve">.</t>
    </r>
  </si>
  <si>
    <t xml:space="preserve">cards.14.deep.step.1</t>
  </si>
  <si>
    <r>
      <rPr>
        <sz val="10"/>
        <rFont val="Noto Sans CJK SC"/>
        <family val="2"/>
      </rPr>
      <t xml:space="preserve">이번 주의 비율을 숫자로 정해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일과 쉼을 </t>
    </r>
    <r>
      <rPr>
        <sz val="10"/>
        <rFont val="Malgun Gothic"/>
        <family val="0"/>
        <charset val="1"/>
      </rPr>
      <t xml:space="preserve">7 </t>
    </r>
    <r>
      <rPr>
        <sz val="10"/>
        <rFont val="Noto Sans CJK SC"/>
        <family val="2"/>
      </rPr>
      <t xml:space="preserve">대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으로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나와 관계를 </t>
    </r>
    <r>
      <rPr>
        <sz val="10"/>
        <rFont val="Malgun Gothic"/>
        <family val="0"/>
        <charset val="1"/>
      </rPr>
      <t xml:space="preserve">6 </t>
    </r>
    <r>
      <rPr>
        <sz val="10"/>
        <rFont val="Noto Sans CJK SC"/>
        <family val="2"/>
      </rPr>
      <t xml:space="preserve">대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로 두는 식으로요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주말에 돌아보며 다음 주 비율을 다시 맞추면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균형이 하나의 정답이 아니라 내가 조절하는 감각이 돼요</t>
    </r>
    <r>
      <rPr>
        <sz val="10"/>
        <rFont val="Malgun Gothic"/>
        <family val="0"/>
        <charset val="1"/>
      </rPr>
      <t xml:space="preserve">.</t>
    </r>
  </si>
  <si>
    <t xml:space="preserve">cards.15.deep.now.0</t>
  </si>
  <si>
    <r>
      <rPr>
        <sz val="10"/>
        <rFont val="Noto Sans CJK SC"/>
        <family val="2"/>
      </rPr>
      <t xml:space="preserve">마음이 날이 서 있을 때는 스스로도 내가 예민하다고 탓하기 쉬워요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하지만 부풀어 오른 마음은 지키고 싶은 무언가가 있다는 뜻이고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그만큼 그동안 애써 왔다는 흔적이기도 해요</t>
    </r>
    <r>
      <rPr>
        <sz val="10"/>
        <rFont val="Malgun Gothic"/>
        <family val="0"/>
        <charset val="1"/>
      </rPr>
      <t xml:space="preserve">.</t>
    </r>
  </si>
  <si>
    <t xml:space="preserve">cards.15.deep.now.1</t>
  </si>
  <si>
    <r>
      <rPr>
        <sz val="10"/>
        <rFont val="Noto Sans CJK SC"/>
        <family val="2"/>
      </rPr>
      <t xml:space="preserve">요즘 유독 예민해지는 순간이 언제인지 떠올려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특정한 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시간대가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순간을 알면 내가 무엇을 지키려고 부풀었는지도 함께 보이기 시작해요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</si>
  <si>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그 순간에는 분명 도움이 돼요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단정어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분명</t>
    </r>
    <r>
      <rPr>
        <sz val="10"/>
        <rFont val="Malgun Gothic"/>
        <family val="0"/>
        <charset val="1"/>
      </rPr>
      <t xml:space="preserve">'. </t>
    </r>
    <r>
      <rPr>
        <sz val="10"/>
        <rFont val="Noto Sans CJK SC"/>
        <family val="2"/>
      </rPr>
      <t xml:space="preserve">불안할 때 반복하는 습관에 자해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음주 등이 포함될 수 있어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분명 도움이 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말은 위험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불안할 때 반복하는 습관은 그 순간에는 분명 도움이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그래서 계속하게 되지만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습관이 길어지면 불안을 달래 주던 방법이 오히려 나를 붙잡는 끈이 되기도 해요</t>
    </r>
    <r>
      <rPr>
        <sz val="10"/>
        <rFont val="Malgun Gothic"/>
        <family val="0"/>
        <charset val="1"/>
      </rPr>
      <t xml:space="preserve">.)</t>
    </r>
  </si>
  <si>
    <t xml:space="preserve">cards.15.deep.hold.1</t>
  </si>
  <si>
    <r>
      <rPr>
        <sz val="10"/>
        <rFont val="Noto Sans CJK SC"/>
        <family val="2"/>
      </rPr>
      <t xml:space="preserve">불안할 때 내가 가장 자주 하는 행동은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행동을 한 뒤 마음이 정말 편해졌는지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잠깐 편했다가 다시 불안해졌는지 살펴보세요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탓하려는 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나를 더 잘 돕는 방법을 찾기 위해서예요</t>
    </r>
    <r>
      <rPr>
        <sz val="10"/>
        <rFont val="Malgun Gothic"/>
        <family val="0"/>
        <charset val="1"/>
      </rPr>
      <t xml:space="preserve">.</t>
    </r>
  </si>
  <si>
    <t xml:space="preserve">cards.15.deep.step.0</t>
  </si>
  <si>
    <r>
      <rPr>
        <sz val="10"/>
        <rFont val="Noto Sans CJK SC"/>
        <family val="2"/>
      </rPr>
      <t xml:space="preserve">알아차림은 습관을 억지로 끊는 것보다 부드러운 출발점이에요</t>
    </r>
    <r>
      <rPr>
        <sz val="10"/>
        <rFont val="Malgun Gothic"/>
        <family val="0"/>
        <charset val="1"/>
      </rPr>
      <t xml:space="preserve">. '</t>
    </r>
    <r>
      <rPr>
        <sz val="10"/>
        <rFont val="Noto Sans CJK SC"/>
        <family val="2"/>
      </rPr>
      <t xml:space="preserve">지금 내가 부풀었구나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하고 이름을 붙이면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자동으로 움직이던 반응 사이에 잠깐의 틈이 생겨요</t>
    </r>
    <r>
      <rPr>
        <sz val="10"/>
        <rFont val="Malgun Gothic"/>
        <family val="0"/>
        <charset val="1"/>
      </rPr>
      <t xml:space="preserve">.</t>
    </r>
  </si>
  <si>
    <t xml:space="preserve">cards.15.deep.step.1</t>
  </si>
  <si>
    <r>
      <rPr>
        <sz val="10"/>
        <rFont val="Noto Sans CJK SC"/>
        <family val="2"/>
      </rPr>
      <t xml:space="preserve">부풀어 오르는 순간을 느끼면 숨을 세 번 천천히 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순간을 짧게 메모해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일주일만 모아도 내 가시가 언제 서는지 지도가 그려져요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복어가 위험이 지나가면 다시 작아지듯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마음도 제 크기로 돌아올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</si>
  <si>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그 계획에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위치해석은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계획이나 기대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인데 계획으로만 좁혀 관계 고민 등에서 어색함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믿어 왔던 것이 흔들리면 마음은 한동안 멍해지기도 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허탈함과 당황스러움이 번갈아 찾아오기도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그건 약해서가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그만큼 그 계획에 마음을 쏟아 왔다는 뜻이에요</t>
    </r>
    <r>
      <rPr>
        <sz val="10"/>
        <rFont val="Malgun Gothic"/>
        <family val="0"/>
        <charset val="1"/>
      </rPr>
      <t xml:space="preserve">.)</t>
    </r>
  </si>
  <si>
    <t xml:space="preserve">cards.16.deep.now.1</t>
  </si>
  <si>
    <r>
      <rPr>
        <sz val="10"/>
        <rFont val="Noto Sans CJK SC"/>
        <family val="2"/>
      </rPr>
      <t xml:space="preserve">지금 가장 크게 흔들린 것은 무엇이고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그래도 여전히 남아 있는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당장은 무너진 쪽만 보이겠지만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남은 쪽을 한 줄이라도 적어 두면 다시 시작할 자리가 보여요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</si>
  <si>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첫 문장이 위치해석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처음부터 다시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생각이 너무 커서 손을 대기 어려울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거의 그대로 반복하고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해야 할 일이 한꺼번에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이어지며 내용이 겹침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'</t>
    </r>
    <r>
      <rPr>
        <sz val="10"/>
        <rFont val="Noto Sans CJK SC"/>
        <family val="2"/>
      </rPr>
      <t xml:space="preserve">처음부터 다시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말은 너무 커서 손을 대기 어렵게 만들어요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해야 할 일이 한꺼번에 보이면 마음은 시작하기보다 멈추는 쪽을 택하기 쉬워요</t>
    </r>
    <r>
      <rPr>
        <sz val="10"/>
        <rFont val="Malgun Gothic"/>
        <family val="0"/>
        <charset val="1"/>
      </rPr>
      <t xml:space="preserve">.)</t>
    </r>
  </si>
  <si>
    <t xml:space="preserve">cards.16.deep.hold.1</t>
  </si>
  <si>
    <r>
      <rPr>
        <sz val="10"/>
        <rFont val="Noto Sans CJK SC"/>
        <family val="2"/>
      </rPr>
      <t xml:space="preserve">무너진 것 가운데 아직 쓸 수 있는 기둥은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경험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배운 것처럼 이전의 시간이 남겨 준 것들이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완전히 처음이 아니라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이어서 다시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라고 생각하면 훨씬 가벼워져요</t>
    </r>
    <r>
      <rPr>
        <sz val="10"/>
        <rFont val="Malgun Gothic"/>
        <family val="0"/>
        <charset val="1"/>
      </rPr>
      <t xml:space="preserve">.</t>
    </r>
  </si>
  <si>
    <t xml:space="preserve">cards.16.deep.step.0</t>
  </si>
  <si>
    <r>
      <rPr>
        <sz val="10"/>
        <rFont val="Noto Sans CJK SC"/>
        <family val="2"/>
      </rPr>
      <t xml:space="preserve">다시 쌓는 일은 한 번에 끝나지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비버가 나뭇가지를 하나씩 물어 오듯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하루에 한 조각씩 쌓는 꾸준함이 결국 새로운 둑을 만들어요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</si>
  <si>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연락 하나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다가가기형이 아닌 문장에서 연락을 권함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관계 붕괴 고민에서 상대에게 연락하라는 뜻으로 읽힐 수 있음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오늘 할 수 있는 가장 작은 한 조각을 정해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연락 하나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정리 하나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계획 한 줄이면 충분해요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매일 쌓은 조각을 기록해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무너진 자리 위에 무언가가 다시 자라고 있다는 걸 눈으로 확인할 수 있어요</t>
    </r>
    <r>
      <rPr>
        <sz val="10"/>
        <rFont val="Malgun Gothic"/>
        <family val="0"/>
        <charset val="1"/>
      </rPr>
      <t xml:space="preserve">.)</t>
    </r>
  </si>
  <si>
    <t xml:space="preserve">cards.17.deep.now.0</t>
  </si>
  <si>
    <r>
      <rPr>
        <sz val="10"/>
        <rFont val="Noto Sans CJK SC"/>
        <family val="2"/>
      </rPr>
      <t xml:space="preserve">힘든 시간을 지난 뒤의 회복은 대개 아주 조용하게 시작돼요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아침이 조금 덜 무겁거나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웃는 순간이 하나 늘어나는 식으로요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 켜져 있는 작은 빛도 그런 신호일 수 있어요</t>
    </r>
    <r>
      <rPr>
        <sz val="10"/>
        <rFont val="Malgun Gothic"/>
        <family val="0"/>
        <charset val="1"/>
      </rPr>
      <t xml:space="preserve">.</t>
    </r>
  </si>
  <si>
    <t xml:space="preserve">cards.17.deep.now.1</t>
  </si>
  <si>
    <r>
      <rPr>
        <sz val="10"/>
        <rFont val="Noto Sans CJK SC"/>
        <family val="2"/>
      </rPr>
      <t xml:space="preserve">요즘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조금 나아졌다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 느낀 순간이 있었나요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아주 작아도 좋아요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순간을 알아봐 주면 회복은 더 선명해지고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 자신도 그 회복을 믿을 수 있게 돼요</t>
    </r>
    <r>
      <rPr>
        <sz val="10"/>
        <rFont val="Malgun Gothic"/>
        <family val="0"/>
        <charset val="1"/>
      </rPr>
      <t xml:space="preserve">.</t>
    </r>
  </si>
  <si>
    <t xml:space="preserve">cards.17.deep.hold.0</t>
  </si>
  <si>
    <r>
      <rPr>
        <sz val="10"/>
        <rFont val="Noto Sans CJK SC"/>
        <family val="2"/>
      </rPr>
      <t xml:space="preserve">예전의 나와 비교하면 지금의 회복은 늘 부족해 보일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하지만 그 시간을 지나온 나는 이미 예전과 다른 사람이라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같은 자리로 돌아가는 것만이 회복은 아니에요</t>
    </r>
    <r>
      <rPr>
        <sz val="10"/>
        <rFont val="Malgun Gothic"/>
        <family val="0"/>
        <charset val="1"/>
      </rPr>
      <t xml:space="preserve">.</t>
    </r>
  </si>
  <si>
    <t xml:space="preserve">cards.17.deep.hold.1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</si>
  <si>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예전처럼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지난주보다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를 기준으로 삼아 보면 어떨까요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비교의 기준을 가까이 두면 작은 변화가 보이고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재촉하는 마음도 조금 누그러져요</t>
    </r>
    <r>
      <rPr>
        <sz val="10"/>
        <rFont val="Malgun Gothic"/>
        <family val="0"/>
        <charset val="1"/>
      </rPr>
      <t xml:space="preserve">.</t>
    </r>
  </si>
  <si>
    <t xml:space="preserve">cards.17.deep.step.0</t>
  </si>
  <si>
    <r>
      <rPr>
        <sz val="10"/>
        <rFont val="Noto Sans CJK SC"/>
        <family val="2"/>
      </rPr>
      <t xml:space="preserve">작은 회복을 기록하면 희망이 막연한 기대가 아니라 눈에 보이는 사실이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불가사리가 잃은 팔을 천천히 다시 키우듯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회복에는 각자의 속도가 있어요</t>
    </r>
    <r>
      <rPr>
        <sz val="10"/>
        <rFont val="Malgun Gothic"/>
        <family val="0"/>
        <charset val="1"/>
      </rPr>
      <t xml:space="preserve">.</t>
    </r>
  </si>
  <si>
    <t xml:space="preserve">cards.17.deep.step.1</t>
  </si>
  <si>
    <r>
      <rPr>
        <sz val="10"/>
        <rFont val="Noto Sans CJK SC"/>
        <family val="2"/>
      </rPr>
      <t xml:space="preserve">하루를 마칠 때 오늘 괜찮았던 것 한 가지를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일주일 뒤 그 목록을 다시 읽으면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생각보다 많은 빛이 모여 있다는 걸 알게 될 수 있어요</t>
    </r>
    <r>
      <rPr>
        <sz val="10"/>
        <rFont val="Malgun Gothic"/>
        <family val="0"/>
        <charset val="1"/>
      </rPr>
      <t xml:space="preserve">.</t>
    </r>
  </si>
  <si>
    <t xml:space="preserve">cards.18.deep.now.0</t>
  </si>
  <si>
    <r>
      <rPr>
        <sz val="10"/>
        <rFont val="Noto Sans CJK SC"/>
        <family val="2"/>
      </rPr>
      <t xml:space="preserve">앞이 잘 보이지 않으면 마음은 빈칸을 걱정으로 채우려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막연한 불안이 큰 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정보가 부족한 자리를 마음이 서둘러 메우고 있기 때문일 수 있어요</t>
    </r>
    <r>
      <rPr>
        <sz val="10"/>
        <rFont val="Malgun Gothic"/>
        <family val="0"/>
        <charset val="1"/>
      </rPr>
      <t xml:space="preserve">.</t>
    </r>
  </si>
  <si>
    <t xml:space="preserve">cards.18.deep.now.1</t>
  </si>
  <si>
    <r>
      <rPr>
        <sz val="10"/>
        <rFont val="Noto Sans CJK SC"/>
        <family val="2"/>
      </rPr>
      <t xml:space="preserve">지금 확실하게 알고 있는 것과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아직 모르는 것을 나눠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아는 것이 생각보다 많을 수도 있고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모르는 것도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지금은 모를 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이라는 걸 확인하는 것만으로 마음이 조금 가라앉아요</t>
    </r>
    <r>
      <rPr>
        <sz val="10"/>
        <rFont val="Malgun Gothic"/>
        <family val="0"/>
        <charset val="1"/>
      </rPr>
      <t xml:space="preserve">.</t>
    </r>
  </si>
  <si>
    <t xml:space="preserve">cards.18.deep.hold.0</t>
  </si>
  <si>
    <r>
      <rPr>
        <sz val="10"/>
        <rFont val="Noto Sans CJK SC"/>
        <family val="2"/>
      </rPr>
      <t xml:space="preserve">확실해질 때까지 기다리려는 마음은 실수하지 않으려는 신중함에서 나와요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하지만 기다리는 동안 머릿속 시나리오는 계속 자라서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실제보다 훨씬 크고 어두운 모습이 되기 쉬워요</t>
    </r>
    <r>
      <rPr>
        <sz val="10"/>
        <rFont val="Malgun Gothic"/>
        <family val="0"/>
        <charset val="1"/>
      </rPr>
      <t xml:space="preserve">.</t>
    </r>
  </si>
  <si>
    <t xml:space="preserve">cards.18.deep.hold.1</t>
  </si>
  <si>
    <r>
      <rPr>
        <sz val="10"/>
        <rFont val="Noto Sans CJK SC"/>
        <family val="2"/>
      </rPr>
      <t xml:space="preserve">지금 가장 자주 떠오르는 걱정 장면이 있다면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장면이 실제로 일어날 가능성을 </t>
    </r>
    <r>
      <rPr>
        <sz val="10"/>
        <rFont val="Malgun Gothic"/>
        <family val="0"/>
        <charset val="1"/>
      </rPr>
      <t xml:space="preserve">0</t>
    </r>
    <r>
      <rPr>
        <sz val="10"/>
        <rFont val="Noto Sans CJK SC"/>
        <family val="2"/>
      </rPr>
      <t xml:space="preserve">부터 </t>
    </r>
    <r>
      <rPr>
        <sz val="10"/>
        <rFont val="Malgun Gothic"/>
        <family val="0"/>
        <charset val="1"/>
      </rPr>
      <t xml:space="preserve">10 </t>
    </r>
    <r>
      <rPr>
        <sz val="10"/>
        <rFont val="Noto Sans CJK SC"/>
        <family val="2"/>
      </rPr>
      <t xml:space="preserve">사이로 매겨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숫자로 바꿔 보면 걱정과 사실 사이의 거리가 조금 보이기 시작해요</t>
    </r>
    <r>
      <rPr>
        <sz val="10"/>
        <rFont val="Malgun Gothic"/>
        <family val="0"/>
        <charset val="1"/>
      </rPr>
      <t xml:space="preserve">.</t>
    </r>
  </si>
  <si>
    <t xml:space="preserve">cards.18.deep.step.0</t>
  </si>
  <si>
    <r>
      <rPr>
        <sz val="10"/>
        <rFont val="Noto Sans CJK SC"/>
        <family val="2"/>
      </rPr>
      <t xml:space="preserve">모든 것이 보이지 않아도 다음 한 걸음만 비출 수 있으면 나아갈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해파리가 물결을 거스르지 않으면서도 은은하게 빛나듯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불확실함 속에서도 할 수 있는 작은 일이 있어요</t>
    </r>
    <r>
      <rPr>
        <sz val="10"/>
        <rFont val="Malgun Gothic"/>
        <family val="0"/>
        <charset val="1"/>
      </rPr>
      <t xml:space="preserve">.</t>
    </r>
  </si>
  <si>
    <t xml:space="preserve">cards.18.deep.step.1</t>
  </si>
  <si>
    <r>
      <rPr>
        <sz val="10"/>
        <rFont val="Noto Sans CJK SC"/>
        <family val="2"/>
      </rPr>
      <t xml:space="preserve">지금 내가 확인할 수 있는 다음 한 가지는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정보 하나를 찾아보거나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물어볼 사람을 정하거나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오늘 할 일 하나를 끝내는 것처럼요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한 걸음씩 비추다 보면 길은 걸으면서 조금씩 드러나요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</si>
  <si>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웃을 수 있는 순간은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가볍게 여겨서가 아니라</t>
    </r>
    <r>
      <rPr>
        <sz val="10"/>
        <rFont val="Malgun Gothic"/>
        <family val="0"/>
        <charset val="1"/>
      </rPr>
      <t xml:space="preserve">, ~</t>
    </r>
    <r>
      <rPr>
        <sz val="10"/>
        <rFont val="Noto Sans CJK SC"/>
        <family val="2"/>
      </rPr>
      <t xml:space="preserve">힘이 되어 줘요</t>
    </r>
    <r>
      <rPr>
        <sz val="10"/>
        <rFont val="Malgun Gothic"/>
        <family val="0"/>
        <charset val="1"/>
      </rPr>
      <t xml:space="preserve">' - '-</t>
    </r>
    <r>
      <rPr>
        <sz val="10"/>
        <rFont val="Noto Sans CJK SC"/>
        <family val="2"/>
      </rPr>
      <t xml:space="preserve">서가 아니라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뒤에 짝이 맞지 않는 서술어가 와 비문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고민이 있는데도 기쁨과 기대가 살아 있다는 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마음에 회복할 힘이 충분히 남아 있다는 뜻이에요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웃을 수 있는 순간은 고민을 가볍게 여겨서가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고민을 견딜 힘이 되어 줘요</t>
    </r>
    <r>
      <rPr>
        <sz val="10"/>
        <rFont val="Malgun Gothic"/>
        <family val="0"/>
        <charset val="1"/>
      </rPr>
      <t xml:space="preserve">.)</t>
    </r>
  </si>
  <si>
    <t xml:space="preserve">cards.19.deep.now.1</t>
  </si>
  <si>
    <r>
      <rPr>
        <sz val="10"/>
        <rFont val="Noto Sans CJK SC"/>
        <family val="2"/>
      </rPr>
      <t xml:space="preserve">요즘 나를 웃게 하거나 마음을 데워 주는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사람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장소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작은 습관 무엇이든 좋아요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그것을 알아 두면 힘든 날 꺼내 쓸 수 있는 햇살이 되어 줘요</t>
    </r>
    <r>
      <rPr>
        <sz val="10"/>
        <rFont val="Malgun Gothic"/>
        <family val="0"/>
        <charset val="1"/>
      </rPr>
      <t xml:space="preserve">.</t>
    </r>
  </si>
  <si>
    <t xml:space="preserve">cards.19.deep.hold.0</t>
  </si>
  <si>
    <r>
      <rPr>
        <sz val="10"/>
        <rFont val="Noto Sans CJK SC"/>
        <family val="2"/>
      </rPr>
      <t xml:space="preserve">기쁜 순간에 미리 마음을 단속하는 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실망했을 때 덜 아프고 싶어서일 때가 많아요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하지만 그렇게 하면 기쁨도 반만 느끼게 돼요</t>
    </r>
    <r>
      <rPr>
        <sz val="10"/>
        <rFont val="Malgun Gothic"/>
        <family val="0"/>
        <charset val="1"/>
      </rPr>
      <t xml:space="preserve">.</t>
    </r>
  </si>
  <si>
    <t xml:space="preserve">cards.19.deep.hold.1</t>
  </si>
  <si>
    <r>
      <rPr>
        <sz val="10"/>
        <rFont val="Noto Sans CJK SC"/>
        <family val="2"/>
      </rPr>
      <t xml:space="preserve">최근의 좋은 순간을 떠올리며 그때 마음이 어땠는지 천천히 다시 느껴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기쁨을 충분히 누린다고 나쁜 일이 오는 건 아니에요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오히려 누린 기쁨은 힘든 날을 지나는 힘으로 남아요</t>
    </r>
    <r>
      <rPr>
        <sz val="10"/>
        <rFont val="Malgun Gothic"/>
        <family val="0"/>
        <charset val="1"/>
      </rPr>
      <t xml:space="preserve">.</t>
    </r>
  </si>
  <si>
    <t xml:space="preserve">cards.19.deep.step.0</t>
  </si>
  <si>
    <r>
      <rPr>
        <sz val="10"/>
        <rFont val="Noto Sans CJK SC"/>
        <family val="2"/>
      </rPr>
      <t xml:space="preserve">좋은 순간을 음미하는 건 마음의 배터리를 채우는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같은 경험이라도 조금 더 오래 머금으면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따뜻함이 하루를 넘어 오래 남아요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</si>
  <si>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'30</t>
    </r>
    <r>
      <rPr>
        <sz val="10"/>
        <rFont val="Noto Sans CJK SC"/>
        <family val="2"/>
      </rPr>
      <t xml:space="preserve">초만 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같은 카드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위치의 역방향 위치해석은 </t>
    </r>
    <r>
      <rPr>
        <sz val="10"/>
        <rFont val="Malgun Gothic"/>
        <family val="0"/>
        <charset val="1"/>
      </rPr>
      <t xml:space="preserve">'1</t>
    </r>
    <r>
      <rPr>
        <sz val="10"/>
        <rFont val="Noto Sans CJK SC"/>
        <family val="2"/>
      </rPr>
      <t xml:space="preserve">분만 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 함께 보이면 숫자가 어긋남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오늘 좋았던 순간 하나를 골라 </t>
    </r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</rPr>
      <t xml:space="preserve">초만 더 머물러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그때의 소리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냄새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표정을 떠올리며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좋았다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 마음속으로 말해 보는 거예요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물개가 햇살에 몸을 데우듯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기쁨도 머무는 만큼 따뜻해져요</t>
    </r>
    <r>
      <rPr>
        <sz val="10"/>
        <rFont val="Malgun Gothic"/>
        <family val="0"/>
        <charset val="1"/>
      </rPr>
      <t xml:space="preserve">.)</t>
    </r>
  </si>
  <si>
    <t xml:space="preserve">cards.20.deep.now.0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</si>
  <si>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나는 정말 무엇을 원하지</t>
    </r>
    <r>
      <rPr>
        <sz val="10"/>
        <rFont val="Malgun Gothic"/>
        <family val="0"/>
        <charset val="1"/>
      </rPr>
      <t xml:space="preserve">?'</t>
    </r>
    <r>
      <rPr>
        <sz val="10"/>
        <rFont val="Noto Sans CJK SC"/>
        <family val="2"/>
      </rPr>
      <t xml:space="preserve">라는 질문이 다시 떠오르는 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지금의 삶이 나에게 맞는지 마음이 확인하고 싶어 한다는 신호예요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혼란스럽게 느껴져도 그건 성장의 문턱에서 자주 생기는 일이에요</t>
    </r>
    <r>
      <rPr>
        <sz val="10"/>
        <rFont val="Malgun Gothic"/>
        <family val="0"/>
        <charset val="1"/>
      </rPr>
      <t xml:space="preserve">.</t>
    </r>
  </si>
  <si>
    <t xml:space="preserve">cards.20.deep.now.1</t>
  </si>
  <si>
    <r>
      <rPr>
        <sz val="10"/>
        <rFont val="Noto Sans CJK SC"/>
        <family val="2"/>
      </rPr>
      <t xml:space="preserve">그 질문이 처음 떠올랐던 때를 기억하나요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그때와 지금 달라진 것과 여전히 같은 것을 나눠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오래 남아 있는 마음일수록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나에게 중요한 무언가를 가리키고 있을 가능성이 커요</t>
    </r>
    <r>
      <rPr>
        <sz val="10"/>
        <rFont val="Malgun Gothic"/>
        <family val="0"/>
        <charset val="1"/>
      </rPr>
      <t xml:space="preserve">.</t>
    </r>
  </si>
  <si>
    <t xml:space="preserve">cards.20.deep.hold.0</t>
  </si>
  <si>
    <r>
      <rPr>
        <sz val="10"/>
        <rFont val="Noto Sans CJK SC"/>
        <family val="2"/>
      </rPr>
      <t xml:space="preserve">지난 선택을 돌아보며 아쉬움이 남으면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새로운 선택 앞에서 또 틀릴까 봐 망설이게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스스로에게 매긴 점수가 엄격할수록 부름에 답하는 일이 더 두렵게 느껴지기도 해요</t>
    </r>
    <r>
      <rPr>
        <sz val="10"/>
        <rFont val="Malgun Gothic"/>
        <family val="0"/>
        <charset val="1"/>
      </rPr>
      <t xml:space="preserve">.</t>
    </r>
  </si>
  <si>
    <t xml:space="preserve">cards.20.deep.hold.1</t>
  </si>
  <si>
    <r>
      <rPr>
        <sz val="10"/>
        <rFont val="Noto Sans CJK SC"/>
        <family val="2"/>
      </rPr>
      <t xml:space="preserve">그때의 나는 그때 알고 있던 것으로 최선을 다했을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지난 선택에서 배운 것 하나를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후회가 배움으로 바뀌면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경험은 다음 선택을 돕는 힘이 돼요</t>
    </r>
    <r>
      <rPr>
        <sz val="10"/>
        <rFont val="Malgun Gothic"/>
        <family val="0"/>
        <charset val="1"/>
      </rPr>
      <t xml:space="preserve">.</t>
    </r>
  </si>
  <si>
    <t xml:space="preserve">cards.20.deep.step.0</t>
  </si>
  <si>
    <r>
      <rPr>
        <sz val="10"/>
        <rFont val="Noto Sans CJK SC"/>
        <family val="2"/>
      </rPr>
      <t xml:space="preserve">부름에 응답한다는 건 삶을 한 번에 바꾸는 큰 결심이 아니어도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마음이 끌리는 방향으로 아주 작게 몸을 돌려 보는 것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그것만으로도 응답은 시작돼요</t>
    </r>
    <r>
      <rPr>
        <sz val="10"/>
        <rFont val="Malgun Gothic"/>
        <family val="0"/>
        <charset val="1"/>
      </rPr>
      <t xml:space="preserve">.</t>
    </r>
  </si>
  <si>
    <t xml:space="preserve">cards.20.deep.step.1</t>
  </si>
  <si>
    <r>
      <rPr>
        <sz val="10"/>
        <rFont val="Noto Sans CJK SC"/>
        <family val="2"/>
      </rPr>
      <t xml:space="preserve">내 마음이 부르는 방향을 한 문장으로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방향으로 이번 주에 할 수 있는 행동 하나를 정해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혹등고래가 깊은 곳에서 솟아오르듯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작은 행동이 오래 품어 온 마음을 수면 위로 데려와요</t>
    </r>
    <r>
      <rPr>
        <sz val="10"/>
        <rFont val="Malgun Gothic"/>
        <family val="0"/>
        <charset val="1"/>
      </rPr>
      <t xml:space="preserve">.</t>
    </r>
  </si>
  <si>
    <t xml:space="preserve">cards.21.deep.now.0</t>
  </si>
  <si>
    <r>
      <rPr>
        <sz val="10"/>
        <rFont val="Noto Sans CJK SC"/>
        <family val="2"/>
      </rPr>
      <t xml:space="preserve">한 시기가 매듭지어질 때는 뿌듯함과 함께 묘한 허전함이 찾아오기도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그건 그 시간에 그만큼 마음을 쏟았다는 뜻이고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여정이 나에게 의미 있었다는 증거예요</t>
    </r>
    <r>
      <rPr>
        <sz val="10"/>
        <rFont val="Malgun Gothic"/>
        <family val="0"/>
        <charset val="1"/>
      </rPr>
      <t xml:space="preserve">.</t>
    </r>
  </si>
  <si>
    <t xml:space="preserve">cards.21.deep.now.1</t>
  </si>
  <si>
    <r>
      <rPr>
        <sz val="10"/>
        <rFont val="Noto Sans CJK SC"/>
        <family val="2"/>
      </rPr>
      <t xml:space="preserve">이 시기를 지나며 내가 얻은 것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달라진 것은 무엇인가요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거창하지 않아도 좋아요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지나온 길을 한 문장으로 정리해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여기까지 온 나를 조금 더 또렷하게 알아볼 수 있어요</t>
    </r>
    <r>
      <rPr>
        <sz val="10"/>
        <rFont val="Malgun Gothic"/>
        <family val="0"/>
        <charset val="1"/>
      </rPr>
      <t xml:space="preserve">.</t>
    </r>
  </si>
  <si>
    <t xml:space="preserve">cards.21.deep.hold.0</t>
  </si>
  <si>
    <r>
      <rPr>
        <sz val="10"/>
        <rFont val="Noto Sans CJK SC"/>
        <family val="2"/>
      </rPr>
      <t xml:space="preserve">다음 목표로 바로 넘어가는 건 성실한 사람에게 익숙한 방식이에요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하지만 지나온 여정을 인정하지 않고 넘어가면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아무리 많은 걸 해내도 늘 부족하다는 느낌이 남기 쉬워요</t>
    </r>
    <r>
      <rPr>
        <sz val="10"/>
        <rFont val="Malgun Gothic"/>
        <family val="0"/>
        <charset val="1"/>
      </rPr>
      <t xml:space="preserve">.</t>
    </r>
  </si>
  <si>
    <t xml:space="preserve">cards.21.deep.hold.1</t>
  </si>
  <si>
    <r>
      <rPr>
        <sz val="10"/>
        <rFont val="Noto Sans CJK SC"/>
        <family val="2"/>
      </rPr>
      <t xml:space="preserve">지금까지 해낸 일들 가운데 스스로 충분히 축하하지 못한 것이 있나요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일을 떠올리며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애썼다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 말해 주세요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인정받은 여정은 다음 여정을 시작할 든든한 바탕이 돼요</t>
    </r>
    <r>
      <rPr>
        <sz val="10"/>
        <rFont val="Malgun Gothic"/>
        <family val="0"/>
        <charset val="1"/>
      </rPr>
      <t xml:space="preserve">.</t>
    </r>
  </si>
  <si>
    <t xml:space="preserve">cards.21.deep.step.0</t>
  </si>
  <si>
    <r>
      <rPr>
        <sz val="10"/>
        <rFont val="Noto Sans CJK SC"/>
        <family val="2"/>
      </rPr>
      <t xml:space="preserve">한 바퀴를 마무리하는 시간은 끝이자 다음 바퀴의 시작이에요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고마운 사람과 경험을 떠올리는 일은 지나온 길을 단단히 묶어 주고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 길을 가볍게 열어 줘요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</si>
  <si>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감사의 말을 전하고 싶은 사람</t>
    </r>
    <r>
      <rPr>
        <sz val="10"/>
        <rFont val="Malgun Gothic"/>
        <family val="0"/>
        <charset val="1"/>
      </rPr>
      <t xml:space="preserve">... </t>
    </r>
    <r>
      <rPr>
        <sz val="10"/>
        <rFont val="Noto Sans CJK SC"/>
        <family val="2"/>
      </rPr>
      <t xml:space="preserve">메시지를 보내 보는 것도 좋아요</t>
    </r>
    <r>
      <rPr>
        <sz val="10"/>
        <rFont val="Malgun Gothic"/>
        <family val="0"/>
        <charset val="1"/>
      </rPr>
      <t xml:space="preserve">' - </t>
    </r>
    <r>
      <rPr>
        <sz val="10"/>
        <rFont val="Noto Sans CJK SC"/>
        <family val="2"/>
      </rPr>
      <t xml:space="preserve">다가가기형이 아닌 문장에서 상대에게 마음을 전하라는 제안</t>
    </r>
    <r>
      <rPr>
        <sz val="10"/>
        <rFont val="Malgun Gothic"/>
        <family val="0"/>
        <charset val="1"/>
      </rPr>
      <t xml:space="preserve">. '</t>
    </r>
    <r>
      <rPr>
        <sz val="10"/>
        <rFont val="Noto Sans CJK SC"/>
        <family val="2"/>
      </rPr>
      <t xml:space="preserve">함께한 것들이 다음 바다를 비춰 줄 거예요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예언형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이번 여정에서 고마웠던 사람과 순간을 세 가지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감사의 말을 전하고 싶은 사람이 떠오른다면 짧은 메시지를 보내 보는 것도 좋아요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바다 친구들이 둥글게 모이듯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함께한 것들이 다음 바다를 비춰 줄 거예요</t>
    </r>
    <r>
      <rPr>
        <sz val="10"/>
        <rFont val="Malgun Gothic"/>
        <family val="0"/>
        <charset val="1"/>
      </rPr>
      <t xml:space="preserve">.)</t>
    </r>
  </si>
  <si>
    <t xml:space="preserve">cards.0.deep_reversed.now.0</t>
  </si>
  <si>
    <r>
      <rPr>
        <sz val="10"/>
        <rFont val="Noto Sans CJK SC"/>
        <family val="2"/>
      </rPr>
      <t xml:space="preserve">시작을 망설이는 마음은 그만큼 이 일을 잘하고 싶다는 뜻이기도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발끝만 대고 있는 지금도 멈춰 있는 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물의 온도를 재며 준비하는 시간일 수 있어요</t>
    </r>
    <r>
      <rPr>
        <sz val="10"/>
        <rFont val="Malgun Gothic"/>
        <family val="0"/>
        <charset val="1"/>
      </rPr>
      <t xml:space="preserve">.</t>
    </r>
  </si>
  <si>
    <t xml:space="preserve">cards.0.deep_reversed.hold.0</t>
  </si>
  <si>
    <r>
      <rPr>
        <sz val="10"/>
        <rFont val="Noto Sans CJK SC"/>
        <family val="2"/>
      </rPr>
      <t xml:space="preserve">처음부터 잘해야 한다는 기준은 실수했을 때 덜 아프려고 세운 보호막일 때가 많아요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기준을 조금 낮추는 건 대충 하자는 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시작할 자리를 만들어 주는 일이에요</t>
    </r>
    <r>
      <rPr>
        <sz val="10"/>
        <rFont val="Malgun Gothic"/>
        <family val="0"/>
        <charset val="1"/>
      </rPr>
      <t xml:space="preserve">.</t>
    </r>
  </si>
  <si>
    <t xml:space="preserve">cards.0.deep_reversed.step.0</t>
  </si>
  <si>
    <r>
      <rPr>
        <sz val="10"/>
        <rFont val="Noto Sans CJK SC"/>
        <family val="2"/>
      </rPr>
      <t xml:space="preserve">아주 작은 시도는 결과보다 감각을 남겨요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해 보고 나서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생각보다 괜찮았다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느낌 하나만 얻어도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 물장구는 훨씬 가벼워질 수 있어요</t>
    </r>
    <r>
      <rPr>
        <sz val="10"/>
        <rFont val="Malgun Gothic"/>
        <family val="0"/>
        <charset val="1"/>
      </rPr>
      <t xml:space="preserve">.</t>
    </r>
  </si>
  <si>
    <t xml:space="preserve">cards.1.deep_reversed.now.0</t>
  </si>
  <si>
    <r>
      <rPr>
        <sz val="10"/>
        <rFont val="Noto Sans CJK SC"/>
        <family val="2"/>
      </rPr>
      <t xml:space="preserve">손이 많을수록 힘을 고르게 나누기 어려워요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무엇 하나에도 힘이 실리지 않는 느낌은 능력이 부족해서가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힘을 쓸 곳이 너무 많아서일 수 있어요</t>
    </r>
    <r>
      <rPr>
        <sz val="10"/>
        <rFont val="Malgun Gothic"/>
        <family val="0"/>
        <charset val="1"/>
      </rPr>
      <t xml:space="preserve">.</t>
    </r>
  </si>
  <si>
    <t xml:space="preserve">cards.1.deep_reversed.hold.0</t>
  </si>
  <si>
    <r>
      <rPr>
        <sz val="10"/>
        <rFont val="Noto Sans CJK SC"/>
        <family val="2"/>
      </rPr>
      <t xml:space="preserve">다 해내야 한다는 마음 밑에는 하나라도 놓치면 안 된다는 불안이 있을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모든 손에 같은 힘을 주지 않아도 괜찮다고 스스로에게 허락해 보세요</t>
    </r>
    <r>
      <rPr>
        <sz val="10"/>
        <rFont val="Malgun Gothic"/>
        <family val="0"/>
        <charset val="1"/>
      </rPr>
      <t xml:space="preserve">.</t>
    </r>
  </si>
  <si>
    <t xml:space="preserve">cards.1.deep_reversed.step.0</t>
  </si>
  <si>
    <r>
      <rPr>
        <sz val="10"/>
        <rFont val="Noto Sans CJK SC"/>
        <family val="2"/>
      </rPr>
      <t xml:space="preserve">한 손만 남긴다는 건 나머지를 버리는 게 아니라 잠시 쉬게 하는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 가장 마음이 가는 한 가지에 힘을 모으면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흩어졌던 에너지가 다시 모이기 시작해요</t>
    </r>
    <r>
      <rPr>
        <sz val="10"/>
        <rFont val="Malgun Gothic"/>
        <family val="0"/>
        <charset val="1"/>
      </rPr>
      <t xml:space="preserve">.</t>
    </r>
  </si>
  <si>
    <t xml:space="preserve">cards.2.deep_reversed.now.0</t>
  </si>
  <si>
    <r>
      <rPr>
        <sz val="10"/>
        <rFont val="Noto Sans CJK SC"/>
        <family val="2"/>
      </rPr>
      <t xml:space="preserve">생각이 많을 때는 직감이 작아진 것처럼 느껴져요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하지만 내 안의 목소리는 사라진 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소음 아래에서 조용히 기다리고 있을 수 있어요</t>
    </r>
    <r>
      <rPr>
        <sz val="10"/>
        <rFont val="Malgun Gothic"/>
        <family val="0"/>
        <charset val="1"/>
      </rPr>
      <t xml:space="preserve">.</t>
    </r>
  </si>
  <si>
    <t xml:space="preserve">cards.2.deep_reversed.hold.0</t>
  </si>
  <si>
    <r>
      <rPr>
        <sz val="10"/>
        <rFont val="Noto Sans CJK SC"/>
        <family val="2"/>
      </rPr>
      <t xml:space="preserve">남의 의견을 찾아보는 건 틀리고 싶지 않은 마음에서 시작돼요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다만 정보가 쌓일수록 내 느낌은 뒤로 밀리기 쉬워서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잠시 찾기를 멈추는 시간이 필요할 수 있어요</t>
    </r>
    <r>
      <rPr>
        <sz val="10"/>
        <rFont val="Malgun Gothic"/>
        <family val="0"/>
        <charset val="1"/>
      </rPr>
      <t xml:space="preserve">.</t>
    </r>
  </si>
  <si>
    <t xml:space="preserve">cards.2.deep_reversed.step.0</t>
  </si>
  <si>
    <r>
      <rPr>
        <sz val="10"/>
        <rFont val="Noto Sans CJK SC"/>
        <family val="2"/>
      </rPr>
      <t xml:space="preserve">아무 정보 없이 내 마음만 들어 보는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분은 처음엔 낯설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느낌을 판단하지 않고 한 줄로만 적어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며칠 뒤 그 안에서 내 목소리가 들리기 시작해요</t>
    </r>
    <r>
      <rPr>
        <sz val="10"/>
        <rFont val="Malgun Gothic"/>
        <family val="0"/>
        <charset val="1"/>
      </rPr>
      <t xml:space="preserve">.</t>
    </r>
  </si>
  <si>
    <t xml:space="preserve">cards.3.deep_reversed.now.0</t>
  </si>
  <si>
    <r>
      <rPr>
        <sz val="10"/>
        <rFont val="Noto Sans CJK SC"/>
        <family val="2"/>
      </rPr>
      <t xml:space="preserve">받는 일이 어색한 건 오랫동안 주는 쪽이 익숙했기 때문일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누군가의 작은 배려를 그냥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고마워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하고 받아 보는 것도 나를 돌보는 연습이에요</t>
    </r>
    <r>
      <rPr>
        <sz val="10"/>
        <rFont val="Malgun Gothic"/>
        <family val="0"/>
        <charset val="1"/>
      </rPr>
      <t xml:space="preserve">.</t>
    </r>
  </si>
  <si>
    <t xml:space="preserve">cards.3.deep_reversed.hold.0</t>
  </si>
  <si>
    <r>
      <rPr>
        <sz val="10"/>
        <rFont val="Noto Sans CJK SC"/>
        <family val="2"/>
      </rPr>
      <t xml:space="preserve">내가 챙겨야 한다는 마음은 다정함에서 출발했지만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지친 상태에서는 그 다정함이 무거운 짐처럼 느껴질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오늘 하루쯤은 챙기지 않아도 되는 일을 하나 골라 보세요</t>
    </r>
    <r>
      <rPr>
        <sz val="10"/>
        <rFont val="Malgun Gothic"/>
        <family val="0"/>
        <charset val="1"/>
      </rPr>
      <t xml:space="preserve">.</t>
    </r>
  </si>
  <si>
    <t xml:space="preserve">cards.3.deep_reversed.step.0</t>
  </si>
  <si>
    <r>
      <rPr>
        <sz val="10"/>
        <rFont val="Noto Sans CJK SC"/>
        <family val="2"/>
      </rPr>
      <t xml:space="preserve">나에게 먼저 건네는 물 한 잔은 작아 보여도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나도 돌봄받아도 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신호가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신호가 쌓이면 남을 돌볼 힘도 다시 채워져요</t>
    </r>
    <r>
      <rPr>
        <sz val="10"/>
        <rFont val="Malgun Gothic"/>
        <family val="0"/>
        <charset val="1"/>
      </rPr>
      <t xml:space="preserve">.</t>
    </r>
  </si>
  <si>
    <t xml:space="preserve">cards.4.deep_reversed.now.0</t>
  </si>
  <si>
    <r>
      <rPr>
        <sz val="10"/>
        <rFont val="Noto Sans CJK SC"/>
        <family val="2"/>
      </rPr>
      <t xml:space="preserve">책임을 놓지 못하는 긴장도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기댈 질서가 없는 흔들림도 모두 마음이 쉴 자리를 찾고 있다는 신호예요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 나에게 필요한 건 더 단단한 벽이 아니라 잠시 기댈 수 있는 작은 기둥일 수 있어요</t>
    </r>
    <r>
      <rPr>
        <sz val="10"/>
        <rFont val="Malgun Gothic"/>
        <family val="0"/>
        <charset val="1"/>
      </rPr>
      <t xml:space="preserve">.</t>
    </r>
  </si>
  <si>
    <t xml:space="preserve">cards.4.deep_reversed.hold.0</t>
  </si>
  <si>
    <r>
      <rPr>
        <sz val="10"/>
        <rFont val="Noto Sans CJK SC"/>
        <family val="2"/>
      </rPr>
      <t xml:space="preserve">통제하려는 마음은 불안할수록 커져요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모든 걸 붙잡으려 할수록 작은 변화에도 쉽게 지치니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오늘은 내 손 밖의 일 하나를 그대로 두어 보세요</t>
    </r>
    <r>
      <rPr>
        <sz val="10"/>
        <rFont val="Malgun Gothic"/>
        <family val="0"/>
        <charset val="1"/>
      </rPr>
      <t xml:space="preserve">.</t>
    </r>
  </si>
  <si>
    <t xml:space="preserve">cards.4.deep_reversed.step.0</t>
  </si>
  <si>
    <r>
      <rPr>
        <sz val="10"/>
        <rFont val="Noto Sans CJK SC"/>
        <family val="2"/>
      </rPr>
      <t xml:space="preserve">하루 한 가지 작은 규칙은 흔들리는 날의 발판이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거창한 계획보다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자기 전 물 한 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처럼 지키기 쉬운 것부터 정하면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질서가 다시 나를 지켜 주기 시작해요</t>
    </r>
    <r>
      <rPr>
        <sz val="10"/>
        <rFont val="Malgun Gothic"/>
        <family val="0"/>
        <charset val="1"/>
      </rPr>
      <t xml:space="preserve">.</t>
    </r>
  </si>
  <si>
    <t xml:space="preserve">cards.5.deep_reversed.now.0</t>
  </si>
  <si>
    <r>
      <rPr>
        <sz val="10"/>
        <rFont val="Noto Sans CJK SC"/>
        <family val="2"/>
      </rPr>
      <t xml:space="preserve">묻기를 망설이는 건 폐를 끼치고 싶지 않은 배려에서 나올 때가 많아요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배려가 나를 혼자 두고 있지는 않은지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번쯤 살펴볼 때일 수 있어요</t>
    </r>
    <r>
      <rPr>
        <sz val="10"/>
        <rFont val="Malgun Gothic"/>
        <family val="0"/>
        <charset val="1"/>
      </rPr>
      <t xml:space="preserve">.</t>
    </r>
  </si>
  <si>
    <t xml:space="preserve">cards.5.deep_reversed.hold.0</t>
  </si>
  <si>
    <r>
      <rPr>
        <sz val="10"/>
        <rFont val="Noto Sans CJK SC"/>
        <family val="2"/>
      </rPr>
      <t xml:space="preserve">다들 하는 방식은 안전해 보이지만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나에게 꼭 맞는 답은 아닐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남들의 방식 옆에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나라면 어떻게 하고 싶은지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를 한 줄 나란히 적어 보세요</t>
    </r>
    <r>
      <rPr>
        <sz val="10"/>
        <rFont val="Malgun Gothic"/>
        <family val="0"/>
        <charset val="1"/>
      </rPr>
      <t xml:space="preserve">.</t>
    </r>
  </si>
  <si>
    <t xml:space="preserve">cards.5.deep_reversed.step.0</t>
  </si>
  <si>
    <r>
      <rPr>
        <sz val="10"/>
        <rFont val="Noto Sans CJK SC"/>
        <family val="2"/>
      </rPr>
      <t xml:space="preserve">있는 그대로 말해 보는 일은 정답을 얻기 위해서가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혼자 끌어안은 무게를 조금 내려놓기 위해서예요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말로 꺼내기 어렵다면 먼저 글로 상황을 정리해 보는 것도 좋아요</t>
    </r>
    <r>
      <rPr>
        <sz val="10"/>
        <rFont val="Malgun Gothic"/>
        <family val="0"/>
        <charset val="1"/>
      </rPr>
      <t xml:space="preserve">.</t>
    </r>
  </si>
  <si>
    <t xml:space="preserve">cards.6.deep_reversed.now.0</t>
  </si>
  <si>
    <r>
      <rPr>
        <sz val="10"/>
        <rFont val="Noto Sans CJK SC"/>
        <family val="2"/>
      </rPr>
      <t xml:space="preserve">가까워지고 싶은 마음과 상처받기 싫은 마음이 함께 있는 건 자연스러운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둘 중 하나를 없애려 하기보다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두 마음이 모두 나를 아끼려는 마음이라는 걸 알아주세요</t>
    </r>
    <r>
      <rPr>
        <sz val="10"/>
        <rFont val="Malgun Gothic"/>
        <family val="0"/>
        <charset val="1"/>
      </rPr>
      <t xml:space="preserve">.</t>
    </r>
  </si>
  <si>
    <t xml:space="preserve">cards.6.deep_reversed.hold.0</t>
  </si>
  <si>
    <r>
      <rPr>
        <sz val="10"/>
        <rFont val="Noto Sans CJK SC"/>
        <family val="2"/>
      </rPr>
      <t xml:space="preserve">상대의 반응을 먼저 확인하고 싶은 마음은 실망하지 않으려는 보호막이에요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다만 그 사이 내 진심은 계속 뒤로 밀리기 쉬워서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 마음부터 정리해 두는 시간이 필요할 수 있어요</t>
    </r>
    <r>
      <rPr>
        <sz val="10"/>
        <rFont val="Malgun Gothic"/>
        <family val="0"/>
        <charset val="1"/>
      </rPr>
      <t xml:space="preserve">.</t>
    </r>
  </si>
  <si>
    <t xml:space="preserve">cards.6.deep_reversed.step.0</t>
  </si>
  <si>
    <r>
      <rPr>
        <sz val="10"/>
        <rFont val="Noto Sans CJK SC"/>
        <family val="2"/>
      </rPr>
      <t xml:space="preserve">내가 진짜 원하는 것 한 가지를 적어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상대의 반응에 덜 흔들리고 나답게 선택할 기준이 생겨요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기준이 있어야 연결도 억지로 맞추지 않아도 편안해져요</t>
    </r>
    <r>
      <rPr>
        <sz val="10"/>
        <rFont val="Malgun Gothic"/>
        <family val="0"/>
        <charset val="1"/>
      </rPr>
      <t xml:space="preserve">.</t>
    </r>
  </si>
  <si>
    <t xml:space="preserve">cards.7.deep_reversed.now.0</t>
  </si>
  <si>
    <r>
      <rPr>
        <sz val="10"/>
        <rFont val="Noto Sans CJK SC"/>
        <family val="2"/>
      </rPr>
      <t xml:space="preserve">애는 쓰는데 나아가는 느낌이 없으면 조급해지기 쉬워요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그건 힘이 부족해서가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힘이 여러 방향으로 나뉘어 있어서일 수 있어요</t>
    </r>
    <r>
      <rPr>
        <sz val="10"/>
        <rFont val="Malgun Gothic"/>
        <family val="0"/>
        <charset val="1"/>
      </rPr>
      <t xml:space="preserve">.</t>
    </r>
  </si>
  <si>
    <t xml:space="preserve">cards.7.deep_reversed.hold.0</t>
  </si>
  <si>
    <r>
      <rPr>
        <sz val="10"/>
        <rFont val="Noto Sans CJK SC"/>
        <family val="2"/>
      </rPr>
      <t xml:space="preserve">쉬지 않고 밀어붙이는 데 익숙하면 멈추는 게 오히려 불안하게 느껴져요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하지만 바닥난 힘으로는 파도를 탈 수 없어서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시간도 나아가는 과정의 일부예요</t>
    </r>
    <r>
      <rPr>
        <sz val="10"/>
        <rFont val="Malgun Gothic"/>
        <family val="0"/>
        <charset val="1"/>
      </rPr>
      <t xml:space="preserve">.</t>
    </r>
  </si>
  <si>
    <t xml:space="preserve">cards.7.deep_reversed.step.0</t>
  </si>
  <si>
    <r>
      <rPr>
        <sz val="10"/>
        <rFont val="Noto Sans CJK SC"/>
        <family val="2"/>
      </rPr>
      <t xml:space="preserve">방향을 하나로 다시 정하면 같은 힘으로도 더 멀리 갈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 가장 가고 싶은 방향을 한 문장으로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이번 주에는 그 방향과 관련 없는 일 하나를 잠시 내려놓아 보세요</t>
    </r>
    <r>
      <rPr>
        <sz val="10"/>
        <rFont val="Malgun Gothic"/>
        <family val="0"/>
        <charset val="1"/>
      </rPr>
      <t xml:space="preserve">.</t>
    </r>
  </si>
  <si>
    <t xml:space="preserve">cards.8.deep_reversed.now.0</t>
  </si>
  <si>
    <r>
      <rPr>
        <sz val="10"/>
        <rFont val="Noto Sans CJK SC"/>
        <family val="2"/>
      </rPr>
      <t xml:space="preserve">버거운 것을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괜찮다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 넘기는 데 익숙해지면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내가 얼마나 지쳤는지 스스로도 잘 모르게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괜찮지 않은 마음도 괜찮다고 말해 줄 수 있어요</t>
    </r>
    <r>
      <rPr>
        <sz val="10"/>
        <rFont val="Malgun Gothic"/>
        <family val="0"/>
        <charset val="1"/>
      </rPr>
      <t xml:space="preserve">.</t>
    </r>
  </si>
  <si>
    <t xml:space="preserve">cards.8.deep_reversed.hold.0</t>
  </si>
  <si>
    <r>
      <rPr>
        <sz val="10"/>
        <rFont val="Noto Sans CJK SC"/>
        <family val="2"/>
      </rPr>
      <t xml:space="preserve">참는 것만이 강한 게 아니에요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힘들다고 말하고 도움을 받는 것도 마음을 지키는 단단한 힘이고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그렇게 할 때 오히려 오래 버틸 수 있어요</t>
    </r>
    <r>
      <rPr>
        <sz val="10"/>
        <rFont val="Malgun Gothic"/>
        <family val="0"/>
        <charset val="1"/>
      </rPr>
      <t xml:space="preserve">.</t>
    </r>
  </si>
  <si>
    <t xml:space="preserve">cards.8.deep_reversed.step.0</t>
  </si>
  <si>
    <r>
      <rPr>
        <sz val="10"/>
        <rFont val="Noto Sans CJK SC"/>
        <family val="2"/>
      </rPr>
      <t xml:space="preserve">불편한 마음을 말이나 글로 꺼내는 건 약해지는 게 아니라 마음에 숨 쉴 틈을 주는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짧은 메모 한 줄이어도 괜찮아요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꺼낸 만큼 마음의 무게는 조금씩 가벼워져요</t>
    </r>
    <r>
      <rPr>
        <sz val="10"/>
        <rFont val="Malgun Gothic"/>
        <family val="0"/>
        <charset val="1"/>
      </rPr>
      <t xml:space="preserve">.</t>
    </r>
  </si>
  <si>
    <t xml:space="preserve">cards.9.deep_reversed.now.0</t>
  </si>
  <si>
    <r>
      <rPr>
        <sz val="10"/>
        <rFont val="Noto Sans CJK SC"/>
        <family val="2"/>
      </rPr>
      <t xml:space="preserve">혼자 있는 시간이 길어지면 생각도 한쪽으로만 깊어지기 쉬워요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마음이 점점 무거워진다면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지금은 쉼보다 작은 온기가 필요하다는 신호일 수 있어요</t>
    </r>
    <r>
      <rPr>
        <sz val="10"/>
        <rFont val="Malgun Gothic"/>
        <family val="0"/>
        <charset val="1"/>
      </rPr>
      <t xml:space="preserve">.</t>
    </r>
  </si>
  <si>
    <t xml:space="preserve">cards.9.deep_reversed.hold.0</t>
  </si>
  <si>
    <r>
      <rPr>
        <sz val="10"/>
        <rFont val="Noto Sans CJK SC"/>
        <family val="2"/>
      </rPr>
      <t xml:space="preserve">아무도 이해하지 못할 거라는 생각은 상처받지 않으려는 마음에서 나와요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모든 걸 이해받지 못해도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작은 부분을 알아주는 사람은 곁에 있을 수 있어요</t>
    </r>
    <r>
      <rPr>
        <sz val="10"/>
        <rFont val="Malgun Gothic"/>
        <family val="0"/>
        <charset val="1"/>
      </rPr>
      <t xml:space="preserve">.</t>
    </r>
  </si>
  <si>
    <t xml:space="preserve">cards.9.deep_reversed.step.0</t>
  </si>
  <si>
    <r>
      <rPr>
        <sz val="10"/>
        <rFont val="Noto Sans CJK SC"/>
        <family val="2"/>
      </rPr>
      <t xml:space="preserve">한 걸음만 밖으로 나온다는 건 큰 만남이 아니어도 괜찮다는 뜻이에요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산책길의 인사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가게에서의 짧은 대화처럼 부담 없는 온기부터 느껴 보세요</t>
    </r>
    <r>
      <rPr>
        <sz val="10"/>
        <rFont val="Malgun Gothic"/>
        <family val="0"/>
        <charset val="1"/>
      </rPr>
      <t xml:space="preserve">.</t>
    </r>
  </si>
  <si>
    <t xml:space="preserve">cards.10.deep_reversed.now.0</t>
  </si>
  <si>
    <r>
      <rPr>
        <sz val="10"/>
        <rFont val="Noto Sans CJK SC"/>
        <family val="2"/>
      </rPr>
      <t xml:space="preserve">바뀌는 상황을 받아들이기 어려운 건 그만큼 예전의 자리가 소중했기 때문이에요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버티는 마음을 탓하기보다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무엇을 지키고 싶었는지 먼저 알아주세요</t>
    </r>
    <r>
      <rPr>
        <sz val="10"/>
        <rFont val="Malgun Gothic"/>
        <family val="0"/>
        <charset val="1"/>
      </rPr>
      <t xml:space="preserve">.</t>
    </r>
  </si>
  <si>
    <t xml:space="preserve">cards.10.deep_reversed.hold.0</t>
  </si>
  <si>
    <r>
      <rPr>
        <sz val="10"/>
        <rFont val="Noto Sans CJK SC"/>
        <family val="2"/>
      </rPr>
      <t xml:space="preserve">예전으로 돌아가고 싶은 마음은 익숙함이 주는 안정을 그리워하는 마음이에요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안정 중 지금도 가져갈 수 있는 것 하나를 찾아보면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 흐름이 덜 낯설게 느껴질 수 있어요</t>
    </r>
    <r>
      <rPr>
        <sz val="10"/>
        <rFont val="Malgun Gothic"/>
        <family val="0"/>
        <charset val="1"/>
      </rPr>
      <t xml:space="preserve">.</t>
    </r>
  </si>
  <si>
    <t xml:space="preserve">cards.10.deep_reversed.step.0</t>
  </si>
  <si>
    <r>
      <rPr>
        <sz val="10"/>
        <rFont val="Noto Sans CJK SC"/>
        <family val="2"/>
      </rPr>
      <t xml:space="preserve">바뀐 상황에서 고를 수 있는 것 하나는 아주 작아도 괜찮아요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하루를 시작하는 방식 하나만 내가 정해도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흐름에 끌려가는 느낌이 조금 줄어들어요</t>
    </r>
    <r>
      <rPr>
        <sz val="10"/>
        <rFont val="Malgun Gothic"/>
        <family val="0"/>
        <charset val="1"/>
      </rPr>
      <t xml:space="preserve">.</t>
    </r>
  </si>
  <si>
    <t xml:space="preserve">cards.11.deep_reversed.now.0</t>
  </si>
  <si>
    <r>
      <rPr>
        <sz val="10"/>
        <rFont val="Noto Sans CJK SC"/>
        <family val="2"/>
      </rPr>
      <t xml:space="preserve">저울이 한쪽으로 기울면 마음도 그쪽으로 무거워져요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나에게만 엄격하다면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같은 일을 친구가 겪었을 때 어떻게 말해 줄지 떠올려 보세요</t>
    </r>
    <r>
      <rPr>
        <sz val="10"/>
        <rFont val="Malgun Gothic"/>
        <family val="0"/>
        <charset val="1"/>
      </rPr>
      <t xml:space="preserve">.</t>
    </r>
  </si>
  <si>
    <t xml:space="preserve">cards.11.deep_reversed.hold.0</t>
  </si>
  <si>
    <r>
      <rPr>
        <sz val="10"/>
        <rFont val="Noto Sans CJK SC"/>
        <family val="2"/>
      </rPr>
      <t xml:space="preserve">옳고 그름을 따지는 데 오래 머물면 마음이 쉴 틈이 없어요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결론을 서두르지 않아도 괜찮다고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오늘은 판단을 잠시 보류해 두는 것도 방법이에요</t>
    </r>
    <r>
      <rPr>
        <sz val="10"/>
        <rFont val="Malgun Gothic"/>
        <family val="0"/>
        <charset val="1"/>
      </rPr>
      <t xml:space="preserve">.</t>
    </r>
  </si>
  <si>
    <t xml:space="preserve">cards.11.deep_reversed.step.0</t>
  </si>
  <si>
    <r>
      <rPr>
        <sz val="10"/>
        <rFont val="Noto Sans CJK SC"/>
        <family val="2"/>
      </rPr>
      <t xml:space="preserve">사실과 해석을 나눠 적으면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어디까지가 일어난 일이고 어디부터가 내 마음이 붙인 의미인지 조금 더 또렷해져요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구분이 저울을 다시 가운데로 데려와 줄 수 있어요</t>
    </r>
    <r>
      <rPr>
        <sz val="10"/>
        <rFont val="Malgun Gothic"/>
        <family val="0"/>
        <charset val="1"/>
      </rPr>
      <t xml:space="preserve">.</t>
    </r>
  </si>
  <si>
    <t xml:space="preserve">cards.12.deep_reversed.now.0</t>
  </si>
  <si>
    <r>
      <rPr>
        <sz val="10"/>
        <rFont val="Noto Sans CJK SC"/>
        <family val="2"/>
      </rPr>
      <t xml:space="preserve">쉬어도 개운하지 않은 건 몸은 멈췄지만 마음은 여전히 일을 붙잡고 있어서일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멈춘 나를 탓하는 마음도 쉼을 방해하는 소음이 될 수 있어요</t>
    </r>
    <r>
      <rPr>
        <sz val="10"/>
        <rFont val="Malgun Gothic"/>
        <family val="0"/>
        <charset val="1"/>
      </rPr>
      <t xml:space="preserve">.</t>
    </r>
  </si>
  <si>
    <t xml:space="preserve">cards.12.deep_reversed.hold.0</t>
  </si>
  <si>
    <r>
      <rPr>
        <sz val="10"/>
        <rFont val="Noto Sans CJK SC"/>
        <family val="2"/>
      </rPr>
      <t xml:space="preserve">쉬면 안 된다는 생각과 움직일 힘이 없다는 느낌 사이에 끼면 마음이 더 지쳐요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지금은 둘 중 하나를 고르기보다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아주 짧은 쉼부터 허락해 보세요</t>
    </r>
    <r>
      <rPr>
        <sz val="10"/>
        <rFont val="Malgun Gothic"/>
        <family val="0"/>
        <charset val="1"/>
      </rPr>
      <t xml:space="preserve">.</t>
    </r>
  </si>
  <si>
    <t xml:space="preserve">cards.12.deep_reversed.step.0</t>
  </si>
  <si>
    <r>
      <rPr>
        <sz val="10"/>
        <rFont val="Noto Sans CJK SC"/>
        <family val="2"/>
      </rPr>
      <t xml:space="preserve">죄책감 없이 쉬는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분은 연습이 필요해요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시간 동안 할 일이 떠오르면 종이에 적어 두고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나중에 볼게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하고 내려놓아 보세요</t>
    </r>
    <r>
      <rPr>
        <sz val="10"/>
        <rFont val="Malgun Gothic"/>
        <family val="0"/>
        <charset val="1"/>
      </rPr>
      <t xml:space="preserve">.</t>
    </r>
  </si>
  <si>
    <t xml:space="preserve">cards.13.deep_reversed.now.0</t>
  </si>
  <si>
    <r>
      <rPr>
        <sz val="10"/>
        <rFont val="Noto Sans CJK SC"/>
        <family val="2"/>
      </rPr>
      <t xml:space="preserve">변화가 필요하다는 걸 알면서도 떠나기 두려운 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익숙한 껍데기가 그동안 나를 지켜 줬기 때문이에요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두려움은 지금까지의 자리를 소중히 여겼다는 뜻이기도 해요</t>
    </r>
    <r>
      <rPr>
        <sz val="10"/>
        <rFont val="Malgun Gothic"/>
        <family val="0"/>
        <charset val="1"/>
      </rPr>
      <t xml:space="preserve">.</t>
    </r>
  </si>
  <si>
    <t xml:space="preserve">cards.13.deep_reversed.hold.0</t>
  </si>
  <si>
    <r>
      <rPr>
        <sz val="10"/>
        <rFont val="Noto Sans CJK SC"/>
        <family val="2"/>
      </rPr>
      <t xml:space="preserve">끝을 인정하는 게 무너짐처럼 느껴질 때가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하지만 끝을 알아보는 건 실패가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지금의 나에게 맞는 크기를 다시 찾는 과정의 시작일 수 있어요</t>
    </r>
    <r>
      <rPr>
        <sz val="10"/>
        <rFont val="Malgun Gothic"/>
        <family val="0"/>
        <charset val="1"/>
      </rPr>
      <t xml:space="preserve">.</t>
    </r>
  </si>
  <si>
    <t xml:space="preserve">cards.13.deep_reversed.step.0</t>
  </si>
  <si>
    <r>
      <rPr>
        <sz val="10"/>
        <rFont val="Noto Sans CJK SC"/>
        <family val="2"/>
      </rPr>
      <t xml:space="preserve">내려놓을 것에 이름을 붙이는 것만으로도 마음은 조금씩 준비를 시작해요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당장 떠나지 않아도 괜찮아요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이름을 붙인 그것이 지금 나에게 어떤 의미인지 천천히 적어 보세요</t>
    </r>
    <r>
      <rPr>
        <sz val="10"/>
        <rFont val="Malgun Gothic"/>
        <family val="0"/>
        <charset val="1"/>
      </rPr>
      <t xml:space="preserve">.</t>
    </r>
  </si>
  <si>
    <t xml:space="preserve">cards.14.deep_reversed.now.0</t>
  </si>
  <si>
    <r>
      <rPr>
        <sz val="10"/>
        <rFont val="Noto Sans CJK SC"/>
        <family val="2"/>
      </rPr>
      <t xml:space="preserve">한쪽으로 쏠린 삶은 어느 순간 몸과 마음에 신호를 보내요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지금의 지침은 균형이 무너졌다는 탓이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다시 맞출 때가 됐다는 알림일 수 있어요</t>
    </r>
    <r>
      <rPr>
        <sz val="10"/>
        <rFont val="Malgun Gothic"/>
        <family val="0"/>
        <charset val="1"/>
      </rPr>
      <t xml:space="preserve">.</t>
    </r>
  </si>
  <si>
    <t xml:space="preserve">cards.14.deep_reversed.hold.0</t>
  </si>
  <si>
    <r>
      <rPr>
        <sz val="10"/>
        <rFont val="Noto Sans CJK SC"/>
        <family val="2"/>
      </rPr>
      <t xml:space="preserve">하나를 고르면 다른 하나를 잃는다고 생각하면 아무것도 고르기 어려워요</t>
    </r>
    <r>
      <rPr>
        <sz val="10"/>
        <rFont val="Malgun Gothic"/>
        <family val="0"/>
        <charset val="1"/>
      </rPr>
      <t xml:space="preserve">. '</t>
    </r>
    <r>
      <rPr>
        <sz val="10"/>
        <rFont val="Noto Sans CJK SC"/>
        <family val="2"/>
      </rPr>
      <t xml:space="preserve">전부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전혀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사이에도 고를 수 있는 칸이 많다는 걸 떠올려 보세요</t>
    </r>
    <r>
      <rPr>
        <sz val="10"/>
        <rFont val="Malgun Gothic"/>
        <family val="0"/>
        <charset val="1"/>
      </rPr>
      <t xml:space="preserve">.</t>
    </r>
  </si>
  <si>
    <t xml:space="preserve">cards.14.deep_reversed.step.0</t>
  </si>
  <si>
    <r>
      <rPr>
        <sz val="10"/>
        <rFont val="Noto Sans CJK SC"/>
        <family val="2"/>
      </rPr>
      <t xml:space="preserve">딱 한 칸만 옮기는 건 작아 보여도 균형을 되찾는 확실한 첫걸음이에요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일주일 뒤 그 한 칸이 어떤 차이를 만들었는지 돌아보면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 조절도 한결 쉬워져요</t>
    </r>
    <r>
      <rPr>
        <sz val="10"/>
        <rFont val="Malgun Gothic"/>
        <family val="0"/>
        <charset val="1"/>
      </rPr>
      <t xml:space="preserve">.</t>
    </r>
  </si>
  <si>
    <t xml:space="preserve">cards.15.deep_reversed.now.0</t>
  </si>
  <si>
    <r>
      <rPr>
        <sz val="10"/>
        <rFont val="Noto Sans CJK SC"/>
        <family val="2"/>
      </rPr>
      <t xml:space="preserve">부풀었던 마음을 알아차리고 가라앉히는 건 쉽지 않은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 풀려나고 있는 그 감각을 잠시 느껴 보며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여기까지 온 나를 알아주세요</t>
    </r>
    <r>
      <rPr>
        <sz val="10"/>
        <rFont val="Malgun Gothic"/>
        <family val="0"/>
        <charset val="1"/>
      </rPr>
      <t xml:space="preserve">.</t>
    </r>
  </si>
  <si>
    <t xml:space="preserve">cards.15.deep_reversed.hold.0</t>
  </si>
  <si>
    <r>
      <rPr>
        <sz val="10"/>
        <rFont val="Noto Sans CJK SC"/>
        <family val="2"/>
      </rPr>
      <t xml:space="preserve">방어를 내려놓는 게 낯설면 예전 습관이 다시 손짓하기도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돌아갈까 걱정되는 건 이미 달라지고 있다는 뜻이기도 하니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너무 서두르지 않아도 괜찮아요</t>
    </r>
    <r>
      <rPr>
        <sz val="10"/>
        <rFont val="Malgun Gothic"/>
        <family val="0"/>
        <charset val="1"/>
      </rPr>
      <t xml:space="preserve">.</t>
    </r>
  </si>
  <si>
    <t xml:space="preserve">cards.15.deep_reversed.step.0</t>
  </si>
  <si>
    <r>
      <rPr>
        <sz val="10"/>
        <rFont val="Noto Sans CJK SC"/>
        <family val="2"/>
      </rPr>
      <t xml:space="preserve">습관 대신 할 작은 행동을 미리 정해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불안이 올라올 때 고를 수 있는 길이 하나 더 생겨요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숨 세 번 쉬기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물 한 잔 마시기처럼 쉬운 것일수록 좋아요</t>
    </r>
    <r>
      <rPr>
        <sz val="10"/>
        <rFont val="Malgun Gothic"/>
        <family val="0"/>
        <charset val="1"/>
      </rPr>
      <t xml:space="preserve">.</t>
    </r>
  </si>
  <si>
    <t xml:space="preserve">cards.16.deep_reversed.now.0</t>
  </si>
  <si>
    <r>
      <rPr>
        <sz val="10"/>
        <rFont val="Noto Sans CJK SC"/>
        <family val="2"/>
      </rPr>
      <t xml:space="preserve">무너지지 않으려 버티는 데에도 많은 힘이 들어요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흔들리고 있다고 인정하는 건 무너지는 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힘을 다시 쌓는 데 쓰기 위한 준비일 수 있어요</t>
    </r>
    <r>
      <rPr>
        <sz val="10"/>
        <rFont val="Malgun Gothic"/>
        <family val="0"/>
        <charset val="1"/>
      </rPr>
      <t xml:space="preserve">.</t>
    </r>
  </si>
  <si>
    <t xml:space="preserve">cards.16.deep_reversed.hold.0</t>
  </si>
  <si>
    <r>
      <rPr>
        <sz val="10"/>
        <rFont val="Noto Sans CJK SC"/>
        <family val="2"/>
      </rPr>
      <t xml:space="preserve">다시 무너질까 걱정되는 건 이미 한 번 아파 봤기 때문이에요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걱정을 탓하기보다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이번에는 무엇을 조금 다르게 쌓고 싶은지 떠올려 보세요</t>
    </r>
    <r>
      <rPr>
        <sz val="10"/>
        <rFont val="Malgun Gothic"/>
        <family val="0"/>
        <charset val="1"/>
      </rPr>
      <t xml:space="preserve">.</t>
    </r>
  </si>
  <si>
    <t xml:space="preserve">cards.16.deep_reversed.step.0</t>
  </si>
  <si>
    <r>
      <rPr>
        <sz val="10"/>
        <rFont val="Noto Sans CJK SC"/>
        <family val="2"/>
      </rPr>
      <t xml:space="preserve">오늘 쌓을 나뭇가지 하나에만 집중하면 전체를 다시 지어야 한다는 부담이 줄어들어요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하루의 작은 조각이 모이면 둑은 생각보다 빨리 모양을 갖춰 가요</t>
    </r>
    <r>
      <rPr>
        <sz val="10"/>
        <rFont val="Malgun Gothic"/>
        <family val="0"/>
        <charset val="1"/>
      </rPr>
      <t xml:space="preserve">.</t>
    </r>
  </si>
  <si>
    <t xml:space="preserve">cards.17.deep_reversed.now.0</t>
  </si>
  <si>
    <r>
      <rPr>
        <sz val="10"/>
        <rFont val="Noto Sans CJK SC"/>
        <family val="2"/>
      </rPr>
      <t xml:space="preserve">회복은 대개 눈에 띄지 않게 조금씩 일어나요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변화가 잘 보이지 않는다고 회복이 멈춘 건 아니니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작은 차이에 눈을 맞춰 보세요</t>
    </r>
    <r>
      <rPr>
        <sz val="10"/>
        <rFont val="Malgun Gothic"/>
        <family val="0"/>
        <charset val="1"/>
      </rPr>
      <t xml:space="preserve">.</t>
    </r>
  </si>
  <si>
    <t xml:space="preserve">cards.17.deep_reversed.hold.0</t>
  </si>
  <si>
    <r>
      <rPr>
        <sz val="10"/>
        <rFont val="Noto Sans CJK SC"/>
        <family val="2"/>
      </rPr>
      <t xml:space="preserve">빨리 나아져야 한다는 기대는 지친 마음을 더 재촉해요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회복에도 저마다의 속도가 있다는 걸 기억하면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지금의 작은 빛도 소중하게 보이기 시작해요</t>
    </r>
    <r>
      <rPr>
        <sz val="10"/>
        <rFont val="Malgun Gothic"/>
        <family val="0"/>
        <charset val="1"/>
      </rPr>
      <t xml:space="preserve">.</t>
    </r>
  </si>
  <si>
    <t xml:space="preserve">cards.17.deep_reversed.step.0</t>
  </si>
  <si>
    <r>
      <rPr>
        <sz val="10"/>
        <rFont val="Noto Sans CJK SC"/>
        <family val="2"/>
      </rPr>
      <t xml:space="preserve">조금이라도 나아진 것 하나를 기록하는 습관은 희미한 빛을 모으는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일주일만 모아 봐도 생각보다 많은 빛이 쌓여 있는 걸 발견할 수 있어요</t>
    </r>
    <r>
      <rPr>
        <sz val="10"/>
        <rFont val="Malgun Gothic"/>
        <family val="0"/>
        <charset val="1"/>
      </rPr>
      <t xml:space="preserve">.</t>
    </r>
  </si>
  <si>
    <t xml:space="preserve">cards.18.deep_reversed.now.0</t>
  </si>
  <si>
    <r>
      <rPr>
        <sz val="10"/>
        <rFont val="Noto Sans CJK SC"/>
        <family val="2"/>
      </rPr>
      <t xml:space="preserve">막연했던 불안이 조금씩 모양을 갖추면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오히려 다룰 수 있는 걱정으로 바뀌기 시작해요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 보이기 시작한 것들을 하나씩 이름 붙여 보세요</t>
    </r>
    <r>
      <rPr>
        <sz val="10"/>
        <rFont val="Malgun Gothic"/>
        <family val="0"/>
        <charset val="1"/>
      </rPr>
      <t xml:space="preserve">.</t>
    </r>
  </si>
  <si>
    <t xml:space="preserve">cards.18.deep_reversed.hold.0</t>
  </si>
  <si>
    <r>
      <rPr>
        <sz val="10"/>
        <rFont val="Noto Sans CJK SC"/>
        <family val="2"/>
      </rPr>
      <t xml:space="preserve">확실함을 바라는 마음이 크면 작은 흔들림에도 예민해져요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모든 게 확실해지지 않아도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알고 있는 것만으로 할 수 있는 일이 있다는 걸 떠올려 보세요</t>
    </r>
    <r>
      <rPr>
        <sz val="10"/>
        <rFont val="Malgun Gothic"/>
        <family val="0"/>
        <charset val="1"/>
      </rPr>
      <t xml:space="preserve">.</t>
    </r>
  </si>
  <si>
    <t xml:space="preserve">cards.18.deep_reversed.step.0</t>
  </si>
  <si>
    <r>
      <rPr>
        <sz val="10"/>
        <rFont val="Noto Sans CJK SC"/>
        <family val="2"/>
      </rPr>
      <t xml:space="preserve">안개가 걷히기 시작할 때는 보이는 만큼만 걸어도 충분해요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한 걸음 디딘 뒤 다시 주위를 살피면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 걸음이 또 조금 보이기 시작해요</t>
    </r>
    <r>
      <rPr>
        <sz val="10"/>
        <rFont val="Malgun Gothic"/>
        <family val="0"/>
        <charset val="1"/>
      </rPr>
      <t xml:space="preserve">.</t>
    </r>
  </si>
  <si>
    <t xml:space="preserve">cards.19.deep_reversed.now.0</t>
  </si>
  <si>
    <r>
      <rPr>
        <sz val="10"/>
        <rFont val="Noto Sans CJK SC"/>
        <family val="2"/>
      </rPr>
      <t xml:space="preserve">기쁨이 가려져 있을 때는 좋은 일도 흐릿하게 지나가요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웃음이 줄어든 건 마음이 지쳐 있다는 신호일 수 있으니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조금 더 너그럽게 대해 주세요</t>
    </r>
    <r>
      <rPr>
        <sz val="10"/>
        <rFont val="Malgun Gothic"/>
        <family val="0"/>
        <charset val="1"/>
      </rPr>
      <t xml:space="preserve">.</t>
    </r>
  </si>
  <si>
    <t xml:space="preserve">cards.19.deep_reversed.hold.0</t>
  </si>
  <si>
    <r>
      <rPr>
        <sz val="10"/>
        <rFont val="Noto Sans CJK SC"/>
        <family val="2"/>
      </rPr>
      <t xml:space="preserve">기뻐하면 안 될 것 같은 마음은 실망했을 때 덜 아프려는 보호막일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작은 기쁨을 누린다고 무언가를 잃는 건 아니에요</t>
    </r>
    <r>
      <rPr>
        <sz val="10"/>
        <rFont val="Malgun Gothic"/>
        <family val="0"/>
        <charset val="1"/>
      </rPr>
      <t xml:space="preserve">.</t>
    </r>
  </si>
  <si>
    <t xml:space="preserve">cards.19.deep_reversed.step.0</t>
  </si>
  <si>
    <r>
      <rPr>
        <sz val="10"/>
        <rFont val="Noto Sans CJK SC"/>
        <family val="2"/>
      </rPr>
      <t xml:space="preserve">좋았던 순간에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분 더 머무는 건 구름 사이로 햇살을 찾는 연습이에요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분이 쌓이면 마음에도 다시 따뜻한 자리가 생겨요</t>
    </r>
    <r>
      <rPr>
        <sz val="10"/>
        <rFont val="Malgun Gothic"/>
        <family val="0"/>
        <charset val="1"/>
      </rPr>
      <t xml:space="preserve">.</t>
    </r>
  </si>
  <si>
    <t xml:space="preserve">cards.20.deep_reversed.now.0</t>
  </si>
  <si>
    <r>
      <rPr>
        <sz val="10"/>
        <rFont val="Noto Sans CJK SC"/>
        <family val="2"/>
      </rPr>
      <t xml:space="preserve">무언가 바꿔야 한다는 느낌이 흐릿한 건 아직 답이 무르익는 중이기 때문일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그 느낌 곁에 머물러 보는 것도 부름에 답하는 한 방법이에요</t>
    </r>
    <r>
      <rPr>
        <sz val="10"/>
        <rFont val="Malgun Gothic"/>
        <family val="0"/>
        <charset val="1"/>
      </rPr>
      <t xml:space="preserve">.</t>
    </r>
  </si>
  <si>
    <t xml:space="preserve">cards.20.deep_reversed.hold.0</t>
  </si>
  <si>
    <r>
      <rPr>
        <sz val="10"/>
        <rFont val="Noto Sans CJK SC"/>
        <family val="2"/>
      </rPr>
      <t xml:space="preserve">높은 기준은 잘 해내고 싶은 마음에서 나오지만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시작을 자꾸 미루게 만들기도 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오늘은 기준을 한 칸만 낮춰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해 보는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에 점수를 줘 보세요</t>
    </r>
    <r>
      <rPr>
        <sz val="10"/>
        <rFont val="Malgun Gothic"/>
        <family val="0"/>
        <charset val="1"/>
      </rPr>
      <t xml:space="preserve">.</t>
    </r>
  </si>
  <si>
    <t xml:space="preserve">cards.20.deep_reversed.step.0</t>
  </si>
  <si>
    <r>
      <rPr>
        <sz val="10"/>
        <rFont val="Noto Sans CJK SC"/>
        <family val="2"/>
      </rPr>
      <t xml:space="preserve">마음이 끌리는 방향을 한 줄로 적어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흐릿하던 부름이 조금씩 또렷해져요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한 줄을 며칠 뒤 다시 읽어 보며 여전히 마음이 가는지 확인해 보세요</t>
    </r>
    <r>
      <rPr>
        <sz val="10"/>
        <rFont val="Malgun Gothic"/>
        <family val="0"/>
        <charset val="1"/>
      </rPr>
      <t xml:space="preserve">.</t>
    </r>
  </si>
  <si>
    <t xml:space="preserve">cards.21.deep_reversed.now.0</t>
  </si>
  <si>
    <r>
      <rPr>
        <sz val="10"/>
        <rFont val="Noto Sans CJK SC"/>
        <family val="2"/>
      </rPr>
      <t xml:space="preserve">마지막 한 걸음이 유난히 무거운 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그만큼 이 여정에 마음을 많이 쏟았기 때문이에요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끝이 보이는 지금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여기까지 온 나를 먼저 알아주세요</t>
    </r>
    <r>
      <rPr>
        <sz val="10"/>
        <rFont val="Malgun Gothic"/>
        <family val="0"/>
        <charset val="1"/>
      </rPr>
      <t xml:space="preserve">.</t>
    </r>
  </si>
  <si>
    <t xml:space="preserve">cards.21.deep_reversed.hold.0</t>
  </si>
  <si>
    <r>
      <rPr>
        <sz val="10"/>
        <rFont val="Noto Sans CJK SC"/>
        <family val="2"/>
      </rPr>
      <t xml:space="preserve">완벽하게 끝내고 싶은 마음은 여정을 소중히 여기는 마음이에요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하지만 완벽을 기다리다 보면 마무리가 계속 미뤄지기 쉬워서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충분히 괜찮은 끝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도 끝이라는 걸 허락해 보세요</t>
    </r>
    <r>
      <rPr>
        <sz val="10"/>
        <rFont val="Malgun Gothic"/>
        <family val="0"/>
        <charset val="1"/>
      </rPr>
      <t xml:space="preserve">.</t>
    </r>
  </si>
  <si>
    <t xml:space="preserve">cards.21.deep_reversed.step.0</t>
  </si>
  <si>
    <r>
      <rPr>
        <sz val="10"/>
        <rFont val="Noto Sans CJK SC"/>
        <family val="2"/>
      </rPr>
      <t xml:space="preserve">남은 일 하나를 매듭짓는 건 한 바퀴를 닫고 다음 바퀴를 여는 일이에요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끝낸 뒤에는 잠시 멈춰 그동안의 여정을 돌아보는 시간도 가져 보세요</t>
    </r>
    <r>
      <rPr>
        <sz val="10"/>
        <rFont val="Malgun Gothic"/>
        <family val="0"/>
        <charset val="1"/>
      </rPr>
      <t xml:space="preserve">.</t>
    </r>
  </si>
  <si>
    <t xml:space="preserve">cards.0.core</t>
  </si>
  <si>
    <r>
      <rPr>
        <sz val="10"/>
        <rFont val="Noto Sans CJK SC"/>
        <family val="2"/>
      </rPr>
      <t xml:space="preserve">핵심 메시지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정방향</t>
    </r>
  </si>
  <si>
    <r>
      <rPr>
        <sz val="10"/>
        <rFont val="Noto Sans CJK SC"/>
        <family val="2"/>
      </rPr>
      <t xml:space="preserve">완벽하게 준비되지 않아도 첫 물장구는 칠 수 있어요</t>
    </r>
    <r>
      <rPr>
        <sz val="10"/>
        <rFont val="Malgun Gothic"/>
        <family val="0"/>
        <charset val="1"/>
      </rPr>
      <t xml:space="preserve">.</t>
    </r>
  </si>
  <si>
    <t xml:space="preserve">cards.0.reversed.core</t>
  </si>
  <si>
    <r>
      <rPr>
        <sz val="10"/>
        <rFont val="Noto Sans CJK SC"/>
        <family val="2"/>
      </rPr>
      <t xml:space="preserve">핵심 메시지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역방향</t>
    </r>
  </si>
  <si>
    <r>
      <rPr>
        <sz val="10"/>
        <rFont val="Noto Sans CJK SC"/>
        <family val="2"/>
      </rPr>
      <t xml:space="preserve">시작하고 싶은 마음이 아직 물가에서 망설이고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</si>
  <si>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필요한 것은 이미 당신 손 안에 꽤 많이 있어요</t>
    </r>
    <r>
      <rPr>
        <sz val="10"/>
        <rFont val="Malgun Gothic"/>
        <family val="0"/>
        <charset val="1"/>
      </rPr>
      <t xml:space="preserve">.)</t>
    </r>
  </si>
  <si>
    <t xml:space="preserve">cards.1.reversed.core</t>
  </si>
  <si>
    <r>
      <rPr>
        <sz val="10"/>
        <rFont val="Noto Sans CJK SC"/>
        <family val="2"/>
      </rPr>
      <t xml:space="preserve">가진 힘이 여기저기 흩어져 제자리를 찾지 못하고 있어요</t>
    </r>
    <r>
      <rPr>
        <sz val="10"/>
        <rFont val="Malgun Gothic"/>
        <family val="0"/>
        <charset val="1"/>
      </rPr>
      <t xml:space="preserve">.</t>
    </r>
  </si>
  <si>
    <t xml:space="preserve">cards.2.core</t>
  </si>
  <si>
    <r>
      <rPr>
        <sz val="10"/>
        <rFont val="Noto Sans CJK SC"/>
        <family val="2"/>
      </rPr>
      <t xml:space="preserve">답은 조용해질 때 비로소 들리기도 해요</t>
    </r>
    <r>
      <rPr>
        <sz val="10"/>
        <rFont val="Malgun Gothic"/>
        <family val="0"/>
        <charset val="1"/>
      </rPr>
      <t xml:space="preserve">.</t>
    </r>
  </si>
  <si>
    <t xml:space="preserve">cards.2.reversed.core</t>
  </si>
  <si>
    <r>
      <rPr>
        <sz val="10"/>
        <rFont val="Noto Sans CJK SC"/>
        <family val="2"/>
      </rPr>
      <t xml:space="preserve">내 안의 목소리가 소음에 묻혀 잘 들리지 않아요</t>
    </r>
    <r>
      <rPr>
        <sz val="10"/>
        <rFont val="Malgun Gothic"/>
        <family val="0"/>
        <charset val="1"/>
      </rPr>
      <t xml:space="preserve">.</t>
    </r>
  </si>
  <si>
    <t xml:space="preserve">cards.3.core</t>
  </si>
  <si>
    <r>
      <rPr>
        <sz val="10"/>
        <rFont val="Noto Sans CJK SC"/>
        <family val="2"/>
      </rPr>
      <t xml:space="preserve">다른 이를 품듯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이제 나를 품어 줄 차례예요</t>
    </r>
    <r>
      <rPr>
        <sz val="10"/>
        <rFont val="Malgun Gothic"/>
        <family val="0"/>
        <charset val="1"/>
      </rPr>
      <t xml:space="preserve">.</t>
    </r>
  </si>
  <si>
    <t xml:space="preserve">cards.3.reversed.core</t>
  </si>
  <si>
    <r>
      <rPr>
        <sz val="10"/>
        <rFont val="Noto Sans CJK SC"/>
        <family val="2"/>
      </rPr>
      <t xml:space="preserve">남을 품느라 정작 나는 비어 있어요</t>
    </r>
    <r>
      <rPr>
        <sz val="10"/>
        <rFont val="Malgun Gothic"/>
        <family val="0"/>
        <charset val="1"/>
      </rPr>
      <t xml:space="preserve">.</t>
    </r>
  </si>
  <si>
    <t xml:space="preserve">cards.4.core</t>
  </si>
  <si>
    <r>
      <rPr>
        <sz val="10"/>
        <rFont val="Noto Sans CJK SC"/>
        <family val="2"/>
      </rPr>
      <t xml:space="preserve">흔들릴수록 작은 질서 하나가 나를 지켜 줘요</t>
    </r>
    <r>
      <rPr>
        <sz val="10"/>
        <rFont val="Malgun Gothic"/>
        <family val="0"/>
        <charset val="1"/>
      </rPr>
      <t xml:space="preserve">.</t>
    </r>
  </si>
  <si>
    <t xml:space="preserve">cards.4.reversed.core</t>
  </si>
  <si>
    <r>
      <rPr>
        <sz val="10"/>
        <rFont val="Noto Sans CJK SC"/>
        <family val="2"/>
      </rPr>
      <t xml:space="preserve">지키려는 힘이 너무 단단해져 나를 가두고 있어요</t>
    </r>
    <r>
      <rPr>
        <sz val="10"/>
        <rFont val="Malgun Gothic"/>
        <family val="0"/>
        <charset val="1"/>
      </rPr>
      <t xml:space="preserve">.</t>
    </r>
  </si>
  <si>
    <t xml:space="preserve">cards.5.core</t>
  </si>
  <si>
    <r>
      <rPr>
        <sz val="10"/>
        <rFont val="Noto Sans CJK SC"/>
        <family val="2"/>
      </rPr>
      <t xml:space="preserve">혼자 답을 찾지 않아도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먼저 걸어간 이들의 지혜가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</si>
  <si>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도움을 구하는 길이 닫혀 있어요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위기 상황에서 절망적으로 읽힘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도움을 구하는 길이 아직 닫혀 있어요</t>
    </r>
    <r>
      <rPr>
        <sz val="10"/>
        <rFont val="Malgun Gothic"/>
        <family val="0"/>
        <charset val="1"/>
      </rPr>
      <t xml:space="preserve">.)</t>
    </r>
  </si>
  <si>
    <t xml:space="preserve">cards.6.core</t>
  </si>
  <si>
    <r>
      <rPr>
        <sz val="10"/>
        <rFont val="Noto Sans CJK SC"/>
        <family val="2"/>
      </rPr>
      <t xml:space="preserve">마음이 원하는 연결은 나다운 선택에서 시작돼요</t>
    </r>
    <r>
      <rPr>
        <sz val="10"/>
        <rFont val="Malgun Gothic"/>
        <family val="0"/>
        <charset val="1"/>
      </rPr>
      <t xml:space="preserve">.</t>
    </r>
  </si>
  <si>
    <t xml:space="preserve">cards.6.reversed.core</t>
  </si>
  <si>
    <r>
      <rPr>
        <sz val="10"/>
        <rFont val="Noto Sans CJK SC"/>
        <family val="2"/>
      </rPr>
      <t xml:space="preserve">연결과 선택 사이에서 마음이 엇갈려 있어요</t>
    </r>
    <r>
      <rPr>
        <sz val="10"/>
        <rFont val="Malgun Gothic"/>
        <family val="0"/>
        <charset val="1"/>
      </rPr>
      <t xml:space="preserve">.</t>
    </r>
  </si>
  <si>
    <t xml:space="preserve">cards.7.core</t>
  </si>
  <si>
    <r>
      <rPr>
        <sz val="10"/>
        <rFont val="Noto Sans CJK SC"/>
        <family val="2"/>
      </rPr>
      <t xml:space="preserve">힘껏 거스르기보다 파도를 타고 나아가요</t>
    </r>
    <r>
      <rPr>
        <sz val="10"/>
        <rFont val="Malgun Gothic"/>
        <family val="0"/>
        <charset val="1"/>
      </rPr>
      <t xml:space="preserve">.</t>
    </r>
  </si>
  <si>
    <t xml:space="preserve">cards.7.reversed.core</t>
  </si>
  <si>
    <r>
      <rPr>
        <sz val="10"/>
        <rFont val="Noto Sans CJK SC"/>
        <family val="2"/>
      </rPr>
      <t xml:space="preserve">나아가려는 힘이 방향을 잃고 맴돌고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</si>
  <si>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불편함을 품는 시간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상황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폭력 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참으라는 뜻으로 읽힐 수 있음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불편함을 품는 시간이 단단함을 만들어요</t>
    </r>
    <r>
      <rPr>
        <sz val="10"/>
        <rFont val="Malgun Gothic"/>
        <family val="0"/>
        <charset val="1"/>
      </rPr>
      <t xml:space="preserve">.)</t>
    </r>
  </si>
  <si>
    <t xml:space="preserve">cards.8.reversed.core</t>
  </si>
  <si>
    <r>
      <rPr>
        <sz val="10"/>
        <rFont val="Noto Sans CJK SC"/>
        <family val="2"/>
      </rPr>
      <t xml:space="preserve">불편함을 너무 오래 혼자 품고 있어요</t>
    </r>
    <r>
      <rPr>
        <sz val="10"/>
        <rFont val="Malgun Gothic"/>
        <family val="0"/>
        <charset val="1"/>
      </rPr>
      <t xml:space="preserve">.</t>
    </r>
  </si>
  <si>
    <t xml:space="preserve">cards.9.core</t>
  </si>
  <si>
    <r>
      <rPr>
        <sz val="10"/>
        <rFont val="Noto Sans CJK SC"/>
        <family val="2"/>
      </rPr>
      <t xml:space="preserve">혼자 있는 시간은 나를 비추는 등불이 될 수 있어요</t>
    </r>
    <r>
      <rPr>
        <sz val="10"/>
        <rFont val="Malgun Gothic"/>
        <family val="0"/>
        <charset val="1"/>
      </rPr>
      <t xml:space="preserve">.</t>
    </r>
  </si>
  <si>
    <t xml:space="preserve">cards.9.reversed.core</t>
  </si>
  <si>
    <r>
      <rPr>
        <sz val="10"/>
        <rFont val="Noto Sans CJK SC"/>
        <family val="2"/>
      </rPr>
      <t xml:space="preserve">혼자만의 시간이 쉼이 아니라 고립이 되어 가고 있어요</t>
    </r>
    <r>
      <rPr>
        <sz val="10"/>
        <rFont val="Malgun Gothic"/>
        <family val="0"/>
        <charset val="1"/>
      </rPr>
      <t xml:space="preserve">.</t>
    </r>
  </si>
  <si>
    <t xml:space="preserve">cards.10.core</t>
  </si>
  <si>
    <r>
      <rPr>
        <sz val="10"/>
        <rFont val="Noto Sans CJK SC"/>
        <family val="2"/>
      </rPr>
      <t xml:space="preserve">지금의 물살도 지나가요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흐름은 돌고 돌아요</t>
    </r>
    <r>
      <rPr>
        <sz val="10"/>
        <rFont val="Malgun Gothic"/>
        <family val="0"/>
        <charset val="1"/>
      </rPr>
      <t xml:space="preserve">.</t>
    </r>
  </si>
  <si>
    <t xml:space="preserve">cards.10.reversed.core</t>
  </si>
  <si>
    <r>
      <rPr>
        <sz val="10"/>
        <rFont val="Noto Sans CJK SC"/>
        <family val="2"/>
      </rPr>
      <t xml:space="preserve">변화의 흐름에 맞서느라 힘이 잔뜩 들어가 있어요</t>
    </r>
    <r>
      <rPr>
        <sz val="10"/>
        <rFont val="Malgun Gothic"/>
        <family val="0"/>
        <charset val="1"/>
      </rPr>
      <t xml:space="preserve">.</t>
    </r>
  </si>
  <si>
    <t xml:space="preserve">cards.11.core</t>
  </si>
  <si>
    <r>
      <rPr>
        <sz val="10"/>
        <rFont val="Noto Sans CJK SC"/>
        <family val="2"/>
      </rPr>
      <t xml:space="preserve">나에게도 공정한 저울을 내밀어 보세요</t>
    </r>
    <r>
      <rPr>
        <sz val="10"/>
        <rFont val="Malgun Gothic"/>
        <family val="0"/>
        <charset val="1"/>
      </rPr>
      <t xml:space="preserve">.</t>
    </r>
  </si>
  <si>
    <t xml:space="preserve">cards.11.reversed.core</t>
  </si>
  <si>
    <r>
      <rPr>
        <sz val="10"/>
        <rFont val="Noto Sans CJK SC"/>
        <family val="2"/>
      </rPr>
      <t xml:space="preserve">저울이 한쪽으로 기울어 있어요</t>
    </r>
    <r>
      <rPr>
        <sz val="10"/>
        <rFont val="Malgun Gothic"/>
        <family val="0"/>
        <charset val="1"/>
      </rPr>
      <t xml:space="preserve">.</t>
    </r>
  </si>
  <si>
    <t xml:space="preserve">cards.12.core</t>
  </si>
  <si>
    <r>
      <rPr>
        <sz val="10"/>
        <rFont val="Noto Sans CJK SC"/>
        <family val="2"/>
      </rPr>
      <t xml:space="preserve">멈춤은 뒤처짐이 아니라 다르게 보기 위한 시간이에요</t>
    </r>
    <r>
      <rPr>
        <sz val="10"/>
        <rFont val="Malgun Gothic"/>
        <family val="0"/>
        <charset val="1"/>
      </rPr>
      <t xml:space="preserve">.</t>
    </r>
  </si>
  <si>
    <t xml:space="preserve">cards.12.reversed.core</t>
  </si>
  <si>
    <r>
      <rPr>
        <sz val="10"/>
        <rFont val="Noto Sans CJK SC"/>
        <family val="2"/>
      </rPr>
      <t xml:space="preserve">멈춰 있는 시간이 쉼이 아니라 정체처럼 느껴져요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</si>
  <si>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'-</t>
    </r>
    <r>
      <rPr>
        <sz val="10"/>
        <rFont val="Noto Sans CJK SC"/>
        <family val="2"/>
      </rPr>
      <t xml:space="preserve">아야 들어갈 수 있어요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지금 관계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직장을 떠나야 한다는 단정으로 읽힐 수 있음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맞지 않는 껍데기를 내려놓아야 새 집에 들어갈 수 있어요</t>
    </r>
    <r>
      <rPr>
        <sz val="10"/>
        <rFont val="Malgun Gothic"/>
        <family val="0"/>
        <charset val="1"/>
      </rPr>
      <t xml:space="preserve">.)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</si>
  <si>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끝내야 할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관계 종료 권유나 위기 상황에서 위험하게 읽힐 수 있음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끝내야 할 것을 아직 놓지 못하고 있어요</t>
    </r>
    <r>
      <rPr>
        <sz val="10"/>
        <rFont val="Malgun Gothic"/>
        <family val="0"/>
        <charset val="1"/>
      </rPr>
      <t xml:space="preserve">.)</t>
    </r>
  </si>
  <si>
    <t xml:space="preserve">cards.14.core</t>
  </si>
  <si>
    <r>
      <rPr>
        <sz val="10"/>
        <rFont val="Noto Sans CJK SC"/>
        <family val="2"/>
      </rPr>
      <t xml:space="preserve">양쪽 다 내 삶이에요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알맞게 섞으면 돼요</t>
    </r>
    <r>
      <rPr>
        <sz val="10"/>
        <rFont val="Malgun Gothic"/>
        <family val="0"/>
        <charset val="1"/>
      </rPr>
      <t xml:space="preserve">.</t>
    </r>
  </si>
  <si>
    <t xml:space="preserve">cards.14.reversed.core</t>
  </si>
  <si>
    <r>
      <rPr>
        <sz val="10"/>
        <rFont val="Noto Sans CJK SC"/>
        <family val="2"/>
      </rPr>
      <t xml:space="preserve">한쪽으로 치우쳐 균형이 흔들리고 있어요</t>
    </r>
    <r>
      <rPr>
        <sz val="10"/>
        <rFont val="Malgun Gothic"/>
        <family val="0"/>
        <charset val="1"/>
      </rPr>
      <t xml:space="preserve">.</t>
    </r>
  </si>
  <si>
    <t xml:space="preserve">cards.15.core</t>
  </si>
  <si>
    <r>
      <rPr>
        <sz val="10"/>
        <rFont val="Noto Sans CJK SC"/>
        <family val="2"/>
      </rPr>
      <t xml:space="preserve">나를 지키려던 가시가 나를 묶고 있지 않은지 살펴봐요</t>
    </r>
    <r>
      <rPr>
        <sz val="10"/>
        <rFont val="Malgun Gothic"/>
        <family val="0"/>
        <charset val="1"/>
      </rPr>
      <t xml:space="preserve">.</t>
    </r>
  </si>
  <si>
    <t xml:space="preserve">cards.15.reversed.core</t>
  </si>
  <si>
    <r>
      <rPr>
        <sz val="10"/>
        <rFont val="Noto Sans CJK SC"/>
        <family val="2"/>
      </rPr>
      <t xml:space="preserve">나를 묶던 방어가 조금씩 풀리기 시작해요</t>
    </r>
    <r>
      <rPr>
        <sz val="10"/>
        <rFont val="Malgun Gothic"/>
        <family val="0"/>
        <charset val="1"/>
      </rPr>
      <t xml:space="preserve">.</t>
    </r>
  </si>
  <si>
    <t xml:space="preserve">cards.16.core</t>
  </si>
  <si>
    <r>
      <rPr>
        <sz val="10"/>
        <rFont val="Noto Sans CJK SC"/>
        <family val="2"/>
      </rPr>
      <t xml:space="preserve">무너진 자리는 다시 쌓을 수 있는 자리이기도 해요</t>
    </r>
    <r>
      <rPr>
        <sz val="10"/>
        <rFont val="Malgun Gothic"/>
        <family val="0"/>
        <charset val="1"/>
      </rPr>
      <t xml:space="preserve">.</t>
    </r>
  </si>
  <si>
    <t xml:space="preserve">cards.16.reversed.core</t>
  </si>
  <si>
    <r>
      <rPr>
        <sz val="10"/>
        <rFont val="Noto Sans CJK SC"/>
        <family val="2"/>
      </rPr>
      <t xml:space="preserve">무너지지 않으려 애쓰느라 더 지쳐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</si>
  <si>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분명히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회복을 단정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천천히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그러나 분명히 회복은 일어나요</t>
    </r>
    <r>
      <rPr>
        <sz val="10"/>
        <rFont val="Malgun Gothic"/>
        <family val="0"/>
        <charset val="1"/>
      </rPr>
      <t xml:space="preserve">.)</t>
    </r>
  </si>
  <si>
    <t xml:space="preserve">cards.17.reversed.core</t>
  </si>
  <si>
    <r>
      <rPr>
        <sz val="10"/>
        <rFont val="Noto Sans CJK SC"/>
        <family val="2"/>
      </rPr>
      <t xml:space="preserve">회복의 빛이 아직 희미하게 느껴져요</t>
    </r>
    <r>
      <rPr>
        <sz val="10"/>
        <rFont val="Malgun Gothic"/>
        <family val="0"/>
        <charset val="1"/>
      </rPr>
      <t xml:space="preserve">.</t>
    </r>
  </si>
  <si>
    <t xml:space="preserve">cards.18.core</t>
  </si>
  <si>
    <r>
      <rPr>
        <sz val="10"/>
        <rFont val="Noto Sans CJK SC"/>
        <family val="2"/>
      </rPr>
      <t xml:space="preserve">다 보이지 않아도 한 걸음씩은 갈 수 있어요</t>
    </r>
    <r>
      <rPr>
        <sz val="10"/>
        <rFont val="Malgun Gothic"/>
        <family val="0"/>
        <charset val="1"/>
      </rPr>
      <t xml:space="preserve">.</t>
    </r>
  </si>
  <si>
    <t xml:space="preserve">cards.18.reversed.core</t>
  </si>
  <si>
    <r>
      <rPr>
        <sz val="10"/>
        <rFont val="Noto Sans CJK SC"/>
        <family val="2"/>
      </rPr>
      <t xml:space="preserve">안개가 조금씩 걷히기 시작해요</t>
    </r>
    <r>
      <rPr>
        <sz val="10"/>
        <rFont val="Malgun Gothic"/>
        <family val="0"/>
        <charset val="1"/>
      </rPr>
      <t xml:space="preserve">.</t>
    </r>
  </si>
  <si>
    <t xml:space="preserve">cards.19.core</t>
  </si>
  <si>
    <r>
      <rPr>
        <sz val="10"/>
        <rFont val="Noto Sans CJK SC"/>
        <family val="2"/>
      </rPr>
      <t xml:space="preserve">지금 여기의 따뜻함을 충분히 누려도 돼요</t>
    </r>
    <r>
      <rPr>
        <sz val="10"/>
        <rFont val="Malgun Gothic"/>
        <family val="0"/>
        <charset val="1"/>
      </rPr>
      <t xml:space="preserve">.</t>
    </r>
  </si>
  <si>
    <t xml:space="preserve">cards.19.reversed.core</t>
  </si>
  <si>
    <r>
      <rPr>
        <sz val="10"/>
        <rFont val="Noto Sans CJK SC"/>
        <family val="2"/>
      </rPr>
      <t xml:space="preserve">기쁨이 구름 뒤에 잠시 가려져 있어요</t>
    </r>
    <r>
      <rPr>
        <sz val="10"/>
        <rFont val="Malgun Gothic"/>
        <family val="0"/>
        <charset val="1"/>
      </rPr>
      <t xml:space="preserve">.</t>
    </r>
  </si>
  <si>
    <t xml:space="preserve">cards.20.core</t>
  </si>
  <si>
    <r>
      <rPr>
        <sz val="10"/>
        <rFont val="Noto Sans CJK SC"/>
        <family val="2"/>
      </rPr>
      <t xml:space="preserve">마음 깊은 곳에서 오래 들려온 노래에 답할 때예요</t>
    </r>
    <r>
      <rPr>
        <sz val="10"/>
        <rFont val="Malgun Gothic"/>
        <family val="0"/>
        <charset val="1"/>
      </rPr>
      <t xml:space="preserve">.</t>
    </r>
  </si>
  <si>
    <t xml:space="preserve">cards.20.reversed.core</t>
  </si>
  <si>
    <r>
      <rPr>
        <sz val="10"/>
        <rFont val="Noto Sans CJK SC"/>
        <family val="2"/>
      </rPr>
      <t xml:space="preserve">마음의 부름에 답하기를 아직 망설이고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</si>
  <si>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당신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사용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여기까지 온 당신의 여정 전체가 하나의 바다예요</t>
    </r>
    <r>
      <rPr>
        <sz val="10"/>
        <rFont val="Malgun Gothic"/>
        <family val="0"/>
        <charset val="1"/>
      </rPr>
      <t xml:space="preserve">.)</t>
    </r>
  </si>
  <si>
    <t xml:space="preserve">cards.21.reversed.core</t>
  </si>
  <si>
    <r>
      <rPr>
        <sz val="10"/>
        <rFont val="Noto Sans CJK SC"/>
        <family val="2"/>
      </rPr>
      <t xml:space="preserve">한 바퀴를 거의 다 돌았지만 마무리가 남아 있어요</t>
    </r>
    <r>
      <rPr>
        <sz val="10"/>
        <rFont val="Malgun Gothic"/>
        <family val="0"/>
        <charset val="1"/>
      </rPr>
      <t xml:space="preserve">.</t>
    </r>
  </si>
  <si>
    <t xml:space="preserve">cards.0.about_when</t>
  </si>
  <si>
    <t xml:space="preserve">이럴 때를 비추는 카드</t>
  </si>
  <si>
    <r>
      <rPr>
        <sz val="10"/>
        <rFont val="Noto Sans CJK SC"/>
        <family val="2"/>
      </rPr>
      <t xml:space="preserve">무언가를 새로 시작하고 싶거나 낯선 길 앞에 서 있을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</si>
  <si>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원래 타로 자리의 뜻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쏠 타로식 해석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</si>
  <si>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바보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전통적으로 순수한 출발과 모험을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완벽하게 준비되지 않아도 내딛는 첫걸음의 용기로 읽어요</t>
    </r>
    <r>
      <rPr>
        <sz val="10"/>
        <rFont val="Malgun Gothic"/>
        <family val="0"/>
        <charset val="1"/>
      </rPr>
      <t xml:space="preserve">.)</t>
    </r>
  </si>
  <si>
    <t xml:space="preserve">cards.1.about_when</t>
  </si>
  <si>
    <r>
      <rPr>
        <sz val="10"/>
        <rFont val="Noto Sans CJK SC"/>
        <family val="2"/>
      </rPr>
      <t xml:space="preserve">해야 할 일과 할 수 있는 일이 한꺼번에 많을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</si>
  <si>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마법사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가진 재능과 도구로 무언가를 이뤄 내는 힘을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이미 내 손에 있는 자원을 알아보는 힘으로 읽어요</t>
    </r>
    <r>
      <rPr>
        <sz val="10"/>
        <rFont val="Malgun Gothic"/>
        <family val="0"/>
        <charset val="1"/>
      </rPr>
      <t xml:space="preserve">.)</t>
    </r>
  </si>
  <si>
    <t xml:space="preserve">cards.2.about_when</t>
  </si>
  <si>
    <r>
      <rPr>
        <sz val="10"/>
        <rFont val="Noto Sans CJK SC"/>
        <family val="2"/>
      </rPr>
      <t xml:space="preserve">생각은 많은데 마음이 어디로 기우는지 잘 모를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</si>
  <si>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여사제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직관과 내면의 지혜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아직 드러나지 않은 앎을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조용히 바라볼 때 들리는 내 안의 목소리로 읽어요</t>
    </r>
    <r>
      <rPr>
        <sz val="10"/>
        <rFont val="Malgun Gothic"/>
        <family val="0"/>
        <charset val="1"/>
      </rPr>
      <t xml:space="preserve">.)</t>
    </r>
  </si>
  <si>
    <t xml:space="preserve">cards.3.about_when</t>
  </si>
  <si>
    <r>
      <rPr>
        <sz val="10"/>
        <rFont val="Noto Sans CJK SC"/>
        <family val="2"/>
      </rPr>
      <t xml:space="preserve">누군가를 돌보느라 정작 나는 비어 갈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</si>
  <si>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여황제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풍요와 돌봄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길러 내는 힘을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남을 품듯 나를 품어 주는 자기돌봄으로 읽어요</t>
    </r>
    <r>
      <rPr>
        <sz val="10"/>
        <rFont val="Malgun Gothic"/>
        <family val="0"/>
        <charset val="1"/>
      </rPr>
      <t xml:space="preserve">.)</t>
    </r>
  </si>
  <si>
    <t xml:space="preserve">cards.4.about_when</t>
  </si>
  <si>
    <r>
      <rPr>
        <sz val="10"/>
        <rFont val="Noto Sans CJK SC"/>
        <family val="2"/>
      </rPr>
      <t xml:space="preserve">책임이 무겁거나 지켜야 할 것이 많을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</si>
  <si>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황제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질서와 책임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든든한 구조를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흔들릴 때 나를 지켜 주는 작은 질서로 읽어요</t>
    </r>
    <r>
      <rPr>
        <sz val="10"/>
        <rFont val="Malgun Gothic"/>
        <family val="0"/>
        <charset val="1"/>
      </rPr>
      <t xml:space="preserve">.)</t>
    </r>
  </si>
  <si>
    <t xml:space="preserve">cards.5.about_when</t>
  </si>
  <si>
    <r>
      <rPr>
        <sz val="10"/>
        <rFont val="Noto Sans CJK SC"/>
        <family val="2"/>
      </rPr>
      <t xml:space="preserve">혼자 답을 찾느라 오래 맴돌고 있을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</si>
  <si>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교황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전통과 가르침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믿을 만한 조언을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혼자 짊어지지 않고 지혜에 기대는 힘으로 읽어요</t>
    </r>
    <r>
      <rPr>
        <sz val="10"/>
        <rFont val="Malgun Gothic"/>
        <family val="0"/>
        <charset val="1"/>
      </rPr>
      <t xml:space="preserve">.)</t>
    </r>
  </si>
  <si>
    <t xml:space="preserve">cards.6.about_when</t>
  </si>
  <si>
    <r>
      <rPr>
        <sz val="10"/>
        <rFont val="Noto Sans CJK SC"/>
        <family val="2"/>
      </rPr>
      <t xml:space="preserve">누군가와의 관계나 중요한 선택 앞에서 마음이 오갈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</si>
  <si>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연인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사랑과 조화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가치에 따른 선택을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나다운 가치에서 시작하는 연결로 읽어요</t>
    </r>
    <r>
      <rPr>
        <sz val="10"/>
        <rFont val="Malgun Gothic"/>
        <family val="0"/>
        <charset val="1"/>
      </rPr>
      <t xml:space="preserve">.)</t>
    </r>
  </si>
  <si>
    <t xml:space="preserve">cards.7.about_when</t>
  </si>
  <si>
    <r>
      <rPr>
        <sz val="10"/>
        <rFont val="Noto Sans CJK SC"/>
        <family val="2"/>
      </rPr>
      <t xml:space="preserve">앞으로 나아가고 싶은 마음이 차오를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</si>
  <si>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전차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의지와 추진력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방향을 잡고 나아가는 힘을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거스르기보다 흐름을 타고 나아가는 힘으로 읽어요</t>
    </r>
    <r>
      <rPr>
        <sz val="10"/>
        <rFont val="Malgun Gothic"/>
        <family val="0"/>
        <charset val="1"/>
      </rPr>
      <t xml:space="preserve">.)</t>
    </r>
  </si>
  <si>
    <t xml:space="preserve">cards.8.about_when</t>
  </si>
  <si>
    <r>
      <rPr>
        <sz val="10"/>
        <rFont val="Noto Sans CJK SC"/>
        <family val="2"/>
      </rPr>
      <t xml:space="preserve">불편한 마음을 오래 견디고 있을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</si>
  <si>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부드러움으로 거친 것을 다스리는 내면의 힘을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불편함을 품어 단단해지는 힘으로 읽어요</t>
    </r>
    <r>
      <rPr>
        <sz val="10"/>
        <rFont val="Malgun Gothic"/>
        <family val="0"/>
        <charset val="1"/>
      </rPr>
      <t xml:space="preserve">.)</t>
    </r>
  </si>
  <si>
    <t xml:space="preserve">cards.9.about_when</t>
  </si>
  <si>
    <r>
      <rPr>
        <sz val="10"/>
        <rFont val="Noto Sans CJK SC"/>
        <family val="2"/>
      </rPr>
      <t xml:space="preserve">사람들 사이에서 잠시 물러나 생각할 시간이 필요할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</si>
  <si>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은둔자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고독 속의 성찰과 내면을 비추는 등불을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혼자만의 시간을 나를 비추는 시간으로 바꾸는 힘으로 읽어요</t>
    </r>
    <r>
      <rPr>
        <sz val="10"/>
        <rFont val="Malgun Gothic"/>
        <family val="0"/>
        <charset val="1"/>
      </rPr>
      <t xml:space="preserve">.)</t>
    </r>
  </si>
  <si>
    <t xml:space="preserve">cards.10.about_when</t>
  </si>
  <si>
    <r>
      <rPr>
        <sz val="10"/>
        <rFont val="Noto Sans CJK SC"/>
        <family val="2"/>
      </rPr>
      <t xml:space="preserve">내 뜻과 상관없이 상황이 바뀌고 있을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</si>
  <si>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열 번째 카드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수레바퀴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돌고 도는 삶의 흐름과 변화의 시기를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바뀌는 흐름 속에서 내가 고를 수 있는 움직임으로 읽어요</t>
    </r>
    <r>
      <rPr>
        <sz val="10"/>
        <rFont val="Malgun Gothic"/>
        <family val="0"/>
        <charset val="1"/>
      </rPr>
      <t xml:space="preserve">.)</t>
    </r>
  </si>
  <si>
    <t xml:space="preserve">cards.11.about_when</t>
  </si>
  <si>
    <r>
      <rPr>
        <sz val="10"/>
        <rFont val="Noto Sans CJK SC"/>
        <family val="2"/>
      </rPr>
      <t xml:space="preserve">옳고 그름을 따지거나 공정함이 마음에 걸릴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</si>
  <si>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정의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균형과 공정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원인과 결과를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나에게도 공정한 저울을 내미는 마음으로 읽어요</t>
    </r>
    <r>
      <rPr>
        <sz val="10"/>
        <rFont val="Malgun Gothic"/>
        <family val="0"/>
        <charset val="1"/>
      </rPr>
      <t xml:space="preserve">.)</t>
    </r>
  </si>
  <si>
    <t xml:space="preserve">cards.12.about_when</t>
  </si>
  <si>
    <r>
      <rPr>
        <sz val="10"/>
        <rFont val="Noto Sans CJK SC"/>
        <family val="2"/>
      </rPr>
      <t xml:space="preserve">애써도 앞으로 나아가지 않는 것 같고 쉬고 싶을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</si>
  <si>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매달린 사람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멈춤과 기다림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다르게 보기를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다르게 보기 위한 쉼으로 읽어요</t>
    </r>
    <r>
      <rPr>
        <sz val="10"/>
        <rFont val="Malgun Gothic"/>
        <family val="0"/>
        <charset val="1"/>
      </rPr>
      <t xml:space="preserve">.)</t>
    </r>
  </si>
  <si>
    <t xml:space="preserve">cards.13.about_when</t>
  </si>
  <si>
    <r>
      <rPr>
        <sz val="10"/>
        <rFont val="Noto Sans CJK SC"/>
        <family val="2"/>
      </rPr>
      <t xml:space="preserve">무언가가 끝나 가거나 바뀌어야 할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</si>
  <si>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열세 번째 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시기의 끝과 새로운 시작을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맞지 않는 껍데기를 내려놓고 새 집으로 옮겨 가는 전환으로 읽어요</t>
    </r>
    <r>
      <rPr>
        <sz val="10"/>
        <rFont val="Malgun Gothic"/>
        <family val="0"/>
        <charset val="1"/>
      </rPr>
      <t xml:space="preserve">.)</t>
    </r>
  </si>
  <si>
    <t xml:space="preserve">cards.14.about_when</t>
  </si>
  <si>
    <r>
      <rPr>
        <sz val="10"/>
        <rFont val="Noto Sans CJK SC"/>
        <family val="2"/>
      </rPr>
      <t xml:space="preserve">두 가지 사이에서 균형을 찾느라 지칠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</si>
  <si>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절제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조화와 알맞음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서로 다른 것을 섞는 지혜를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둘 중 하나가 아니라 알맞은 비율을 찾는 힘으로 읽어요</t>
    </r>
    <r>
      <rPr>
        <sz val="10"/>
        <rFont val="Malgun Gothic"/>
        <family val="0"/>
        <charset val="1"/>
      </rPr>
      <t xml:space="preserve">.)</t>
    </r>
  </si>
  <si>
    <t xml:space="preserve">cards.15.about_when</t>
  </si>
  <si>
    <r>
      <rPr>
        <sz val="10"/>
        <rFont val="Noto Sans CJK SC"/>
        <family val="2"/>
      </rPr>
      <t xml:space="preserve">불안할 때 반복하는 습관이나 방어가 마음을 묶고 있을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</si>
  <si>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열다섯 번째 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나를 얽매는 집착과 습관을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나를 지키려던 가시를 알아차리는 일로 읽어요</t>
    </r>
    <r>
      <rPr>
        <sz val="10"/>
        <rFont val="Malgun Gothic"/>
        <family val="0"/>
        <charset val="1"/>
      </rPr>
      <t xml:space="preserve">.)</t>
    </r>
  </si>
  <si>
    <t xml:space="preserve">cards.16.about_when</t>
  </si>
  <si>
    <r>
      <rPr>
        <sz val="10"/>
        <rFont val="Noto Sans CJK SC"/>
        <family val="2"/>
      </rPr>
      <t xml:space="preserve">믿어 온 계획이 흔들리거나 갑자기 무너졌을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</si>
  <si>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탑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예상치 못한 변화와 그 뒤에 오는 새로운 깨달음을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무너진 자리에서 다시 쌓는 회복의 힘으로 읽어요</t>
    </r>
    <r>
      <rPr>
        <sz val="10"/>
        <rFont val="Malgun Gothic"/>
        <family val="0"/>
        <charset val="1"/>
      </rPr>
      <t xml:space="preserve">.)</t>
    </r>
  </si>
  <si>
    <t xml:space="preserve">cards.17.about_when</t>
  </si>
  <si>
    <r>
      <rPr>
        <sz val="10"/>
        <rFont val="Noto Sans CJK SC"/>
        <family val="2"/>
      </rPr>
      <t xml:space="preserve">힘든 시간을 지나 조금씩 숨이 돌아올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</si>
  <si>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별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희망과 치유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다시 찾아오는 빛을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천천히 자라는 회복으로 읽어요</t>
    </r>
    <r>
      <rPr>
        <sz val="10"/>
        <rFont val="Malgun Gothic"/>
        <family val="0"/>
        <charset val="1"/>
      </rPr>
      <t xml:space="preserve">.)</t>
    </r>
  </si>
  <si>
    <t xml:space="preserve">cards.18.about_when</t>
  </si>
  <si>
    <r>
      <rPr>
        <sz val="10"/>
        <rFont val="Noto Sans CJK SC"/>
        <family val="2"/>
      </rPr>
      <t xml:space="preserve">앞이 잘 보이지 않아 막연히 불안할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</si>
  <si>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달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불확실함과 상상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드러나지 않은 마음을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다 보이지 않아도 한 걸음씩 가는 힘으로 읽어요</t>
    </r>
    <r>
      <rPr>
        <sz val="10"/>
        <rFont val="Malgun Gothic"/>
        <family val="0"/>
        <charset val="1"/>
      </rPr>
      <t xml:space="preserve">.)</t>
    </r>
  </si>
  <si>
    <t xml:space="preserve">cards.19.about_when</t>
  </si>
  <si>
    <r>
      <rPr>
        <sz val="10"/>
        <rFont val="Noto Sans CJK SC"/>
        <family val="2"/>
      </rPr>
      <t xml:space="preserve">고민 속에서도 기쁨과 기대가 살아 있을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</si>
  <si>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태양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기쁨과 활력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밝게 드러나는 것을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지금 여기의 따뜻함을 누리는 힘으로 읽어요</t>
    </r>
    <r>
      <rPr>
        <sz val="10"/>
        <rFont val="Malgun Gothic"/>
        <family val="0"/>
        <charset val="1"/>
      </rPr>
      <t xml:space="preserve">.)</t>
    </r>
  </si>
  <si>
    <t xml:space="preserve">cards.20.about_when</t>
  </si>
  <si>
    <r>
      <rPr>
        <sz val="10"/>
        <rFont val="Noto Sans CJK SC"/>
        <family val="2"/>
      </rPr>
      <t xml:space="preserve">오래 마음에 걸려 있던 질문이 다시 떠오를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</si>
  <si>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심판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깨어남과 부름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 시작을 위한 돌아봄을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마음 깊은 곳의 부름에 답하는 일로 읽어요</t>
    </r>
    <r>
      <rPr>
        <sz val="10"/>
        <rFont val="Malgun Gothic"/>
        <family val="0"/>
        <charset val="1"/>
      </rPr>
      <t xml:space="preserve">.)</t>
    </r>
  </si>
  <si>
    <t xml:space="preserve">cards.21.about_when</t>
  </si>
  <si>
    <r>
      <rPr>
        <sz val="10"/>
        <rFont val="Noto Sans CJK SC"/>
        <family val="2"/>
      </rPr>
      <t xml:space="preserve">한 시기를 지나 무언가가 매듭지어질 때를 비추는 카드예요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</si>
  <si>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한 문장 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뜻합니다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읽어요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원래 타로의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세계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카드 자리로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완성과 통합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바퀴를 돈 여정을 뜻합니다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타로에서는 지나온 여정 전체를 인정하는 일로 읽어요</t>
    </r>
    <r>
      <rPr>
        <sz val="10"/>
        <rFont val="Malgun Gothic"/>
        <family val="0"/>
        <charset val="1"/>
      </rPr>
      <t xml:space="preserve">.)</t>
    </r>
  </si>
  <si>
    <t xml:space="preserve">cards.0.asks.0</t>
  </si>
  <si>
    <r>
      <rPr>
        <sz val="10"/>
        <rFont val="Noto Sans CJK SC"/>
        <family val="2"/>
      </rPr>
      <t xml:space="preserve">기본 질문 </t>
    </r>
    <r>
      <rPr>
        <sz val="10"/>
        <rFont val="Malgun Gothic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</si>
  <si>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하고 싶은 일이 있는데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좀 더 준비되면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이라며 미루고 있진 않나요</t>
    </r>
    <r>
      <rPr>
        <sz val="10"/>
        <rFont val="Malgun Gothic"/>
        <family val="0"/>
        <charset val="1"/>
      </rPr>
      <t xml:space="preserve">?</t>
    </r>
  </si>
  <si>
    <t xml:space="preserve">cards.0.asks.1</t>
  </si>
  <si>
    <r>
      <rPr>
        <sz val="10"/>
        <rFont val="Noto Sans CJK SC"/>
        <family val="2"/>
      </rPr>
      <t xml:space="preserve">기본 질문 </t>
    </r>
    <r>
      <rPr>
        <sz val="10"/>
        <rFont val="Malgun Gothic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</si>
  <si>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처음이라 서툴까 봐 시작 앞에서 오래 서성인 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최근에 있지 않았나요</t>
    </r>
    <r>
      <rPr>
        <sz val="10"/>
        <rFont val="Malgun Gothic"/>
        <family val="0"/>
        <charset val="1"/>
      </rPr>
      <t xml:space="preserve">?</t>
    </r>
  </si>
  <si>
    <t xml:space="preserve">cards.0.reversed.asks.0</t>
  </si>
  <si>
    <r>
      <rPr>
        <sz val="10"/>
        <rFont val="Noto Sans CJK SC"/>
        <family val="2"/>
      </rPr>
      <t xml:space="preserve">기본 질문 </t>
    </r>
    <r>
      <rPr>
        <sz val="10"/>
        <rFont val="Malgun Gothic"/>
        <family val="0"/>
        <charset val="1"/>
      </rPr>
      <t xml:space="preserve">1 · </t>
    </r>
    <r>
      <rPr>
        <sz val="10"/>
        <rFont val="Noto Sans CJK SC"/>
        <family val="2"/>
      </rPr>
      <t xml:space="preserve">역방향</t>
    </r>
  </si>
  <si>
    <r>
      <rPr>
        <sz val="10"/>
        <rFont val="Noto Sans CJK SC"/>
        <family val="2"/>
      </rPr>
      <t xml:space="preserve">하고 싶은 일 앞에서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실패하면 어쩌지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먼저 떠오르진 않나요</t>
    </r>
    <r>
      <rPr>
        <sz val="10"/>
        <rFont val="Malgun Gothic"/>
        <family val="0"/>
        <charset val="1"/>
      </rPr>
      <t xml:space="preserve">?</t>
    </r>
  </si>
  <si>
    <t xml:space="preserve">cards.0.reversed.asks.1</t>
  </si>
  <si>
    <r>
      <rPr>
        <sz val="10"/>
        <rFont val="Noto Sans CJK SC"/>
        <family val="2"/>
      </rPr>
      <t xml:space="preserve">기본 질문 </t>
    </r>
    <r>
      <rPr>
        <sz val="10"/>
        <rFont val="Malgun Gothic"/>
        <family val="0"/>
        <charset val="1"/>
      </rPr>
      <t xml:space="preserve">2 · </t>
    </r>
    <r>
      <rPr>
        <sz val="10"/>
        <rFont val="Noto Sans CJK SC"/>
        <family val="2"/>
      </rPr>
      <t xml:space="preserve">역방향</t>
    </r>
  </si>
  <si>
    <r>
      <rPr>
        <sz val="10"/>
        <rFont val="Noto Sans CJK SC"/>
        <family val="2"/>
      </rPr>
      <t xml:space="preserve">처음부터 잘해야 한다는 생각에 시작을 몇 번이나 미뤄 왔나요</t>
    </r>
    <r>
      <rPr>
        <sz val="10"/>
        <rFont val="Malgun Gothic"/>
        <family val="0"/>
        <charset val="1"/>
      </rPr>
      <t xml:space="preserve">?</t>
    </r>
  </si>
  <si>
    <t xml:space="preserve">cards.1.asks.0</t>
  </si>
  <si>
    <r>
      <rPr>
        <sz val="10"/>
        <rFont val="Noto Sans CJK SC"/>
        <family val="2"/>
      </rPr>
      <t xml:space="preserve">할 일은 많은데 어디서부터 손대야 할지 몰라 하루가 그냥 지나가곤 하나요</t>
    </r>
    <r>
      <rPr>
        <sz val="10"/>
        <rFont val="Malgun Gothic"/>
        <family val="0"/>
        <charset val="1"/>
      </rPr>
      <t xml:space="preserve">?</t>
    </r>
  </si>
  <si>
    <t xml:space="preserve">cards.1.asks.1</t>
  </si>
  <si>
    <r>
      <rPr>
        <sz val="10"/>
        <rFont val="Noto Sans CJK SC"/>
        <family val="2"/>
      </rPr>
      <t xml:space="preserve">이미 잘하고 있는 것보다 부족한 것이 먼저 눈에 들어오진 않으세요</t>
    </r>
    <r>
      <rPr>
        <sz val="10"/>
        <rFont val="Malgun Gothic"/>
        <family val="0"/>
        <charset val="1"/>
      </rPr>
      <t xml:space="preserve">?</t>
    </r>
  </si>
  <si>
    <t xml:space="preserve">cards.1.reversed.asks.0</t>
  </si>
  <si>
    <r>
      <rPr>
        <sz val="10"/>
        <rFont val="Noto Sans CJK SC"/>
        <family val="2"/>
      </rPr>
      <t xml:space="preserve">할 일은 많은데 정작 하나도 제대로 못 한 것 같은 날이 이어지고 있나요</t>
    </r>
    <r>
      <rPr>
        <sz val="10"/>
        <rFont val="Malgun Gothic"/>
        <family val="0"/>
        <charset val="1"/>
      </rPr>
      <t xml:space="preserve">?</t>
    </r>
  </si>
  <si>
    <t xml:space="preserve">cards.1.reversed.asks.1</t>
  </si>
  <si>
    <r>
      <rPr>
        <sz val="10"/>
        <rFont val="Noto Sans CJK SC"/>
        <family val="2"/>
      </rPr>
      <t xml:space="preserve">모든 걸 다 챙기려다 정작 중요한 일에 힘이 남지 않은 적 없었나요</t>
    </r>
    <r>
      <rPr>
        <sz val="10"/>
        <rFont val="Malgun Gothic"/>
        <family val="0"/>
        <charset val="1"/>
      </rPr>
      <t xml:space="preserve">?</t>
    </r>
  </si>
  <si>
    <t xml:space="preserve">cards.2.asks.0</t>
  </si>
  <si>
    <r>
      <rPr>
        <sz val="10"/>
        <rFont val="Noto Sans CJK SC"/>
        <family val="2"/>
      </rPr>
      <t xml:space="preserve">여러 사람에게 조언을 구했는데 오히려 더 헷갈렸던 적은 없나요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</si>
  <si>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마음은 이미 한쪽으로 기울어 있는데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사실을 단정하며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같은 카드 설명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마음이 어디로 기우는지 잘 모를 때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과 충돌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마음은 이미 한쪽으로 기울어 있는데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믿어도 될지 망설이고 있나요</t>
    </r>
    <r>
      <rPr>
        <sz val="10"/>
        <rFont val="Malgun Gothic"/>
        <family val="0"/>
        <charset val="1"/>
      </rPr>
      <t xml:space="preserve">?)</t>
    </r>
  </si>
  <si>
    <t xml:space="preserve">cards.2.reversed.asks.0</t>
  </si>
  <si>
    <r>
      <rPr>
        <sz val="10"/>
        <rFont val="Noto Sans CJK SC"/>
        <family val="2"/>
      </rPr>
      <t xml:space="preserve">결정을 앞두고 검색하고 묻는 사이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마음은 어디에 있는지 놓친 적 있나요</t>
    </r>
    <r>
      <rPr>
        <sz val="10"/>
        <rFont val="Malgun Gothic"/>
        <family val="0"/>
        <charset val="1"/>
      </rPr>
      <t xml:space="preserve">?</t>
    </r>
  </si>
  <si>
    <t xml:space="preserve">cards.2.reversed.asks.1</t>
  </si>
  <si>
    <r>
      <rPr>
        <sz val="10"/>
        <rFont val="Noto Sans CJK SC"/>
        <family val="2"/>
      </rPr>
      <t xml:space="preserve">느낌으로는 알 것 같은데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애써 모른 척하고 있는 일이 있진 않나요</t>
    </r>
    <r>
      <rPr>
        <sz val="10"/>
        <rFont val="Malgun Gothic"/>
        <family val="0"/>
        <charset val="1"/>
      </rPr>
      <t xml:space="preserve">?</t>
    </r>
  </si>
  <si>
    <t xml:space="preserve">cards.3.asks.0</t>
  </si>
  <si>
    <r>
      <rPr>
        <sz val="10"/>
        <rFont val="Noto Sans CJK SC"/>
        <family val="2"/>
      </rPr>
      <t xml:space="preserve">다른 사람 일은 먼저 챙기면서 내 끼니나 잠은 자주 뒤로 미루고 있진 않나요</t>
    </r>
    <r>
      <rPr>
        <sz val="10"/>
        <rFont val="Malgun Gothic"/>
        <family val="0"/>
        <charset val="1"/>
      </rPr>
      <t xml:space="preserve">?</t>
    </r>
  </si>
  <si>
    <t xml:space="preserve">cards.3.asks.1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</si>
  <si>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괜찮아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말이 습관이 되어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정작 도움을 받기는 어렵지 않으세요</t>
    </r>
    <r>
      <rPr>
        <sz val="10"/>
        <rFont val="Malgun Gothic"/>
        <family val="0"/>
        <charset val="1"/>
      </rPr>
      <t xml:space="preserve">?</t>
    </r>
  </si>
  <si>
    <t xml:space="preserve">cards.3.reversed.asks.0</t>
  </si>
  <si>
    <r>
      <rPr>
        <sz val="10"/>
        <rFont val="Noto Sans CJK SC"/>
        <family val="2"/>
      </rPr>
      <t xml:space="preserve">누군가 나를 챙겨 줄 때 고맙기보다 미안한 마음이 먼저 들지 않나요</t>
    </r>
    <r>
      <rPr>
        <sz val="10"/>
        <rFont val="Malgun Gothic"/>
        <family val="0"/>
        <charset val="1"/>
      </rPr>
      <t xml:space="preserve">?</t>
    </r>
  </si>
  <si>
    <t xml:space="preserve">cards.3.reversed.asks.1</t>
  </si>
  <si>
    <r>
      <rPr>
        <sz val="10"/>
        <rFont val="Noto Sans CJK SC"/>
        <family val="2"/>
      </rPr>
      <t xml:space="preserve">다른 사람을 챙기느라 내 끼니나 잠을 뒤로 미룬 날이 늘고 있진 않나요</t>
    </r>
    <r>
      <rPr>
        <sz val="10"/>
        <rFont val="Malgun Gothic"/>
        <family val="0"/>
        <charset val="1"/>
      </rPr>
      <t xml:space="preserve">?</t>
    </r>
  </si>
  <si>
    <t xml:space="preserve">cards.4.asks.0</t>
  </si>
  <si>
    <r>
      <rPr>
        <sz val="10"/>
        <rFont val="Noto Sans CJK SC"/>
        <family val="2"/>
      </rPr>
      <t xml:space="preserve">내가 손을 놓으면 다 흐트러질 것 같아 쉬는 날에도 마음이 긴장해 있나요</t>
    </r>
    <r>
      <rPr>
        <sz val="10"/>
        <rFont val="Malgun Gothic"/>
        <family val="0"/>
        <charset val="1"/>
      </rPr>
      <t xml:space="preserve">?</t>
    </r>
  </si>
  <si>
    <t xml:space="preserve">cards.4.asks.1</t>
  </si>
  <si>
    <r>
      <rPr>
        <sz val="10"/>
        <rFont val="Noto Sans CJK SC"/>
        <family val="2"/>
      </rPr>
      <t xml:space="preserve">맡기기보다 내가 하는 게 편해서 일을 떠안게 될 때가 많지 않나요</t>
    </r>
    <r>
      <rPr>
        <sz val="10"/>
        <rFont val="Malgun Gothic"/>
        <family val="0"/>
        <charset val="1"/>
      </rPr>
      <t xml:space="preserve">?</t>
    </r>
  </si>
  <si>
    <t xml:space="preserve">cards.4.reversed.asks.0</t>
  </si>
  <si>
    <r>
      <rPr>
        <sz val="10"/>
        <rFont val="Noto Sans CJK SC"/>
        <family val="2"/>
      </rPr>
      <t xml:space="preserve">내가 손을 놓으면 다 무너질 것 같아 긴장을 풀지 못하고 있나요</t>
    </r>
    <r>
      <rPr>
        <sz val="10"/>
        <rFont val="Malgun Gothic"/>
        <family val="0"/>
        <charset val="1"/>
      </rPr>
      <t xml:space="preserve">?</t>
    </r>
  </si>
  <si>
    <t xml:space="preserve">cards.4.reversed.asks.1</t>
  </si>
  <si>
    <r>
      <rPr>
        <sz val="10"/>
        <rFont val="Noto Sans CJK SC"/>
        <family val="2"/>
      </rPr>
      <t xml:space="preserve">작은 계획이 틀어졌을 뿐인데 하루 전체가 흔들린 느낌이 든 적 있나요</t>
    </r>
    <r>
      <rPr>
        <sz val="10"/>
        <rFont val="Malgun Gothic"/>
        <family val="0"/>
        <charset val="1"/>
      </rPr>
      <t xml:space="preserve">?</t>
    </r>
  </si>
  <si>
    <t xml:space="preserve">cards.5.asks.0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</si>
  <si>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이런 걸 물어봐도 되나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싶어 혼자 오래 붙들고 있던 고민이 있지 않나요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</si>
  <si>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같은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한 문장에 두 번 반복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같은 생각을 며칠째 되풀이하며 같은 자리를 맴도는 느낌이 드나요</t>
    </r>
    <r>
      <rPr>
        <sz val="10"/>
        <rFont val="Malgun Gothic"/>
        <family val="0"/>
        <charset val="1"/>
      </rPr>
      <t xml:space="preserve">?)</t>
    </r>
  </si>
  <si>
    <t xml:space="preserve">cards.5.reversed.asks.0</t>
  </si>
  <si>
    <r>
      <rPr>
        <sz val="10"/>
        <rFont val="Noto Sans CJK SC"/>
        <family val="2"/>
      </rPr>
      <t xml:space="preserve">물어보면 금방 풀릴 일을 혼자 붙잡고 며칠째 고민하고 있진 않나요</t>
    </r>
    <r>
      <rPr>
        <sz val="10"/>
        <rFont val="Malgun Gothic"/>
        <family val="0"/>
        <charset val="1"/>
      </rPr>
      <t xml:space="preserve">?</t>
    </r>
  </si>
  <si>
    <t xml:space="preserve">cards.5.reversed.asks.1</t>
  </si>
  <si>
    <r>
      <rPr>
        <sz val="10"/>
        <rFont val="Noto Sans CJK SC"/>
        <family val="2"/>
      </rPr>
      <t xml:space="preserve">남들이 하는 방식대로 했는데 나에게는 영 맞지 않았던 경험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최근에 있었나요</t>
    </r>
    <r>
      <rPr>
        <sz val="10"/>
        <rFont val="Malgun Gothic"/>
        <family val="0"/>
        <charset val="1"/>
      </rPr>
      <t xml:space="preserve">?</t>
    </r>
  </si>
  <si>
    <t xml:space="preserve">cards.6.asks.0</t>
  </si>
  <si>
    <r>
      <rPr>
        <sz val="10"/>
        <rFont val="Noto Sans CJK SC"/>
        <family val="2"/>
      </rPr>
      <t xml:space="preserve">상대의 마음을 먼저 확인하고 싶어서 내 마음은 계속 뒤로 미루고 있나요</t>
    </r>
    <r>
      <rPr>
        <sz val="10"/>
        <rFont val="Malgun Gothic"/>
        <family val="0"/>
        <charset val="1"/>
      </rPr>
      <t xml:space="preserve">?</t>
    </r>
  </si>
  <si>
    <t xml:space="preserve">cards.6.asks.1</t>
  </si>
  <si>
    <r>
      <rPr>
        <sz val="10"/>
        <rFont val="Noto Sans CJK SC"/>
        <family val="2"/>
      </rPr>
      <t xml:space="preserve">남들이 좋다는 선택과 내가 끌리는 선택 사이에서 오래 망설이고 있진 않으세요</t>
    </r>
    <r>
      <rPr>
        <sz val="10"/>
        <rFont val="Malgun Gothic"/>
        <family val="0"/>
        <charset val="1"/>
      </rPr>
      <t xml:space="preserve">?</t>
    </r>
  </si>
  <si>
    <t xml:space="preserve">cards.6.reversed.asks.0</t>
  </si>
  <si>
    <r>
      <rPr>
        <sz val="10"/>
        <rFont val="Noto Sans CJK SC"/>
        <family val="2"/>
      </rPr>
      <t xml:space="preserve">가까워지고 싶으면서도 상처받을까 봐 한 발 물러선 순간이 떠오르나요</t>
    </r>
    <r>
      <rPr>
        <sz val="10"/>
        <rFont val="Malgun Gothic"/>
        <family val="0"/>
        <charset val="1"/>
      </rPr>
      <t xml:space="preserve">?</t>
    </r>
  </si>
  <si>
    <t xml:space="preserve">cards.6.reversed.asks.1</t>
  </si>
  <si>
    <r>
      <rPr>
        <sz val="10"/>
        <rFont val="Noto Sans CJK SC"/>
        <family val="2"/>
      </rPr>
      <t xml:space="preserve">상대의 마음을 확인하기 전까지 내 마음은 꺼내지 않기로 정해 두진 않았나요</t>
    </r>
    <r>
      <rPr>
        <sz val="10"/>
        <rFont val="Malgun Gothic"/>
        <family val="0"/>
        <charset val="1"/>
      </rPr>
      <t xml:space="preserve">?</t>
    </r>
  </si>
  <si>
    <t xml:space="preserve">cards.7.asks.0</t>
  </si>
  <si>
    <r>
      <rPr>
        <sz val="10"/>
        <rFont val="Noto Sans CJK SC"/>
        <family val="2"/>
      </rPr>
      <t xml:space="preserve">가야 할 방향이 여러 개라 어느 쪽에도 힘이 잘 실리지 않는 느낌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있지 않나요</t>
    </r>
    <r>
      <rPr>
        <sz val="10"/>
        <rFont val="Malgun Gothic"/>
        <family val="0"/>
        <charset val="1"/>
      </rPr>
      <t xml:space="preserve">?</t>
    </r>
  </si>
  <si>
    <t xml:space="preserve">cards.7.asks.1</t>
  </si>
  <si>
    <r>
      <rPr>
        <sz val="10"/>
        <rFont val="Noto Sans CJK SC"/>
        <family val="2"/>
      </rPr>
      <t xml:space="preserve">빨리 나아가고 싶은 마음에 쉬는 것도 잊은 채 달리고 있진 않나요</t>
    </r>
    <r>
      <rPr>
        <sz val="10"/>
        <rFont val="Malgun Gothic"/>
        <family val="0"/>
        <charset val="1"/>
      </rPr>
      <t xml:space="preserve">?</t>
    </r>
  </si>
  <si>
    <t xml:space="preserve">cards.7.reversed.asks.0</t>
  </si>
  <si>
    <r>
      <rPr>
        <sz val="10"/>
        <rFont val="Noto Sans CJK SC"/>
        <family val="2"/>
      </rPr>
      <t xml:space="preserve">열심히 하는데 제자리걸음 같아 조급해진 순간이 요즘 잦진 않나요</t>
    </r>
    <r>
      <rPr>
        <sz val="10"/>
        <rFont val="Malgun Gothic"/>
        <family val="0"/>
        <charset val="1"/>
      </rPr>
      <t xml:space="preserve">?</t>
    </r>
  </si>
  <si>
    <t xml:space="preserve">cards.7.reversed.asks.1</t>
  </si>
  <si>
    <r>
      <rPr>
        <sz val="10"/>
        <rFont val="Noto Sans CJK SC"/>
        <family val="2"/>
      </rPr>
      <t xml:space="preserve">쉬면 뒤처질 것 같아 지친 몸을 계속 밀어붙이고 있진 않나요</t>
    </r>
    <r>
      <rPr>
        <sz val="10"/>
        <rFont val="Malgun Gothic"/>
        <family val="0"/>
        <charset val="1"/>
      </rPr>
      <t xml:space="preserve">?</t>
    </r>
  </si>
  <si>
    <t xml:space="preserve">cards.8.asks.0</t>
  </si>
  <si>
    <r>
      <rPr>
        <sz val="10"/>
        <rFont val="Noto Sans CJK SC"/>
        <family val="2"/>
      </rPr>
      <t xml:space="preserve">불편한 마음을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별일 아니야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하며 꾹 눌러 두고 있진 않나요</t>
    </r>
    <r>
      <rPr>
        <sz val="10"/>
        <rFont val="Malgun Gothic"/>
        <family val="0"/>
        <charset val="1"/>
      </rPr>
      <t xml:space="preserve">?</t>
    </r>
  </si>
  <si>
    <t xml:space="preserve">cards.8.asks.1</t>
  </si>
  <si>
    <r>
      <rPr>
        <sz val="10"/>
        <rFont val="Noto Sans CJK SC"/>
        <family val="2"/>
      </rPr>
      <t xml:space="preserve">견디는 데 익숙해져 이미 버거운 것도 그냥 넘기고 있지는 않으세요</t>
    </r>
    <r>
      <rPr>
        <sz val="10"/>
        <rFont val="Malgun Gothic"/>
        <family val="0"/>
        <charset val="1"/>
      </rPr>
      <t xml:space="preserve">?</t>
    </r>
  </si>
  <si>
    <t xml:space="preserve">cards.8.reversed.asks.0</t>
  </si>
  <si>
    <r>
      <rPr>
        <sz val="10"/>
        <rFont val="Noto Sans CJK SC"/>
        <family val="2"/>
      </rPr>
      <t xml:space="preserve">버거운 일인데도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정도는 괜찮아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라며 넘긴 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이번 주에도 있었나요</t>
    </r>
    <r>
      <rPr>
        <sz val="10"/>
        <rFont val="Malgun Gothic"/>
        <family val="0"/>
        <charset val="1"/>
      </rPr>
      <t xml:space="preserve">?</t>
    </r>
  </si>
  <si>
    <t xml:space="preserve">cards.8.reversed.asks.1</t>
  </si>
  <si>
    <r>
      <rPr>
        <sz val="10"/>
        <rFont val="Noto Sans CJK SC"/>
        <family val="2"/>
      </rPr>
      <t xml:space="preserve">힘들다고 말하면 약해 보일까 봐 꺼내지 못한 마음이 있진 않나요</t>
    </r>
    <r>
      <rPr>
        <sz val="10"/>
        <rFont val="Malgun Gothic"/>
        <family val="0"/>
        <charset val="1"/>
      </rPr>
      <t xml:space="preserve">?</t>
    </r>
  </si>
  <si>
    <t xml:space="preserve">cards.9.asks.0</t>
  </si>
  <si>
    <r>
      <rPr>
        <sz val="10"/>
        <rFont val="Noto Sans CJK SC"/>
        <family val="2"/>
      </rPr>
      <t xml:space="preserve">요즘은 사람들과 어울리기보다 혼자 있는 시간이 더 편하게 느껴지나요</t>
    </r>
    <r>
      <rPr>
        <sz val="10"/>
        <rFont val="Malgun Gothic"/>
        <family val="0"/>
        <charset val="1"/>
      </rPr>
      <t xml:space="preserve">?</t>
    </r>
  </si>
  <si>
    <t xml:space="preserve">cards.9.asks.1</t>
  </si>
  <si>
    <r>
      <rPr>
        <sz val="10"/>
        <rFont val="Noto Sans CJK SC"/>
        <family val="2"/>
      </rPr>
      <t xml:space="preserve">혼자 생각이 깊어지다 같은 결론만 반복하게 되는 날이 있지 않나요</t>
    </r>
    <r>
      <rPr>
        <sz val="10"/>
        <rFont val="Malgun Gothic"/>
        <family val="0"/>
        <charset val="1"/>
      </rPr>
      <t xml:space="preserve">?</t>
    </r>
  </si>
  <si>
    <t xml:space="preserve">cards.9.reversed.asks.0</t>
  </si>
  <si>
    <r>
      <rPr>
        <sz val="10"/>
        <rFont val="Noto Sans CJK SC"/>
        <family val="2"/>
      </rPr>
      <t xml:space="preserve">혼자 있는 시간이 쉼이 되기보다 마음을 더 무겁게 할 때가 있나요</t>
    </r>
    <r>
      <rPr>
        <sz val="10"/>
        <rFont val="Malgun Gothic"/>
        <family val="0"/>
        <charset val="1"/>
      </rPr>
      <t xml:space="preserve">?</t>
    </r>
  </si>
  <si>
    <t xml:space="preserve">cards.9.reversed.asks.1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</si>
  <si>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어차피 아무도 모를 거야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생각에 하고 싶던 말을 삼킨 적 있나요</t>
    </r>
    <r>
      <rPr>
        <sz val="10"/>
        <rFont val="Malgun Gothic"/>
        <family val="0"/>
        <charset val="1"/>
      </rPr>
      <t xml:space="preserve">?</t>
    </r>
  </si>
  <si>
    <t xml:space="preserve">cards.10.asks.0</t>
  </si>
  <si>
    <r>
      <rPr>
        <sz val="10"/>
        <rFont val="Noto Sans CJK SC"/>
        <family val="2"/>
      </rPr>
      <t xml:space="preserve">생각지 못한 변화 앞에서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왜 하필 지금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이라는 마음이 든 적 있나요</t>
    </r>
    <r>
      <rPr>
        <sz val="10"/>
        <rFont val="Malgun Gothic"/>
        <family val="0"/>
        <charset val="1"/>
      </rPr>
      <t xml:space="preserve">?</t>
    </r>
  </si>
  <si>
    <t xml:space="preserve">cards.10.asks.1</t>
  </si>
  <si>
    <r>
      <rPr>
        <sz val="10"/>
        <rFont val="Noto Sans CJK SC"/>
        <family val="2"/>
      </rPr>
      <t xml:space="preserve">지금의 힘든 상태가 계속될 것만 같아 마음이 무겁진 않으세요</t>
    </r>
    <r>
      <rPr>
        <sz val="10"/>
        <rFont val="Malgun Gothic"/>
        <family val="0"/>
        <charset val="1"/>
      </rPr>
      <t xml:space="preserve">?</t>
    </r>
  </si>
  <si>
    <t xml:space="preserve">cards.10.reversed.asks.0</t>
  </si>
  <si>
    <r>
      <rPr>
        <sz val="10"/>
        <rFont val="Noto Sans CJK SC"/>
        <family val="2"/>
      </rPr>
      <t xml:space="preserve">바뀐 상황이 아직 낯설어 예전 방식만 붙잡고 있진 않나요</t>
    </r>
    <r>
      <rPr>
        <sz val="10"/>
        <rFont val="Malgun Gothic"/>
        <family val="0"/>
        <charset val="1"/>
      </rPr>
      <t xml:space="preserve">?</t>
    </r>
  </si>
  <si>
    <t xml:space="preserve">cards.10.reversed.asks.1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</si>
  <si>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예전이 좋았는데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생각이 하루에도 여러 번 떠오르나요</t>
    </r>
    <r>
      <rPr>
        <sz val="10"/>
        <rFont val="Malgun Gothic"/>
        <family val="0"/>
        <charset val="1"/>
      </rPr>
      <t xml:space="preserve">?</t>
    </r>
  </si>
  <si>
    <t xml:space="preserve">cards.11.asks.0</t>
  </si>
  <si>
    <r>
      <rPr>
        <sz val="10"/>
        <rFont val="Noto Sans CJK SC"/>
        <family val="2"/>
      </rPr>
      <t xml:space="preserve">누가 더 잘못했는지 머릿속으로 계속 따져 보게 되나요</t>
    </r>
    <r>
      <rPr>
        <sz val="10"/>
        <rFont val="Malgun Gothic"/>
        <family val="0"/>
        <charset val="1"/>
      </rPr>
      <t xml:space="preserve">?</t>
    </r>
  </si>
  <si>
    <t xml:space="preserve">cards.11.asks.1</t>
  </si>
  <si>
    <r>
      <rPr>
        <sz val="10"/>
        <rFont val="Noto Sans CJK SC"/>
        <family val="2"/>
      </rPr>
      <t xml:space="preserve">남에게는 너그러운데 나에게만 유독 엄격하진 않나요</t>
    </r>
    <r>
      <rPr>
        <sz val="10"/>
        <rFont val="Malgun Gothic"/>
        <family val="0"/>
        <charset val="1"/>
      </rPr>
      <t xml:space="preserve">?</t>
    </r>
  </si>
  <si>
    <t xml:space="preserve">cards.11.reversed.asks.0</t>
  </si>
  <si>
    <r>
      <rPr>
        <sz val="10"/>
        <rFont val="Noto Sans CJK SC"/>
        <family val="2"/>
      </rPr>
      <t xml:space="preserve">남의 실수는 이해하면서 내 실수에는 유독 엄격하게 굴고 있진 않나요</t>
    </r>
    <r>
      <rPr>
        <sz val="10"/>
        <rFont val="Malgun Gothic"/>
        <family val="0"/>
        <charset val="1"/>
      </rPr>
      <t xml:space="preserve">?</t>
    </r>
  </si>
  <si>
    <t xml:space="preserve">cards.11.reversed.asks.1</t>
  </si>
  <si>
    <r>
      <rPr>
        <sz val="10"/>
        <rFont val="Noto Sans CJK SC"/>
        <family val="2"/>
      </rPr>
      <t xml:space="preserve">누가 옳은지 따지느라 마음이 쉬지 못한 밤이 있었나요</t>
    </r>
    <r>
      <rPr>
        <sz val="10"/>
        <rFont val="Malgun Gothic"/>
        <family val="0"/>
        <charset val="1"/>
      </rPr>
      <t xml:space="preserve">?</t>
    </r>
  </si>
  <si>
    <t xml:space="preserve">cards.12.asks.0</t>
  </si>
  <si>
    <r>
      <rPr>
        <sz val="10"/>
        <rFont val="Noto Sans CJK SC"/>
        <family val="2"/>
      </rPr>
      <t xml:space="preserve">쉬는 날에도 머릿속으로는 계속 일을 하고 있지 않나요</t>
    </r>
    <r>
      <rPr>
        <sz val="10"/>
        <rFont val="Malgun Gothic"/>
        <family val="0"/>
        <charset val="1"/>
      </rPr>
      <t xml:space="preserve">?</t>
    </r>
  </si>
  <si>
    <t xml:space="preserve">cards.12.asks.1</t>
  </si>
  <si>
    <r>
      <rPr>
        <sz val="10"/>
        <rFont val="Noto Sans CJK SC"/>
        <family val="2"/>
      </rPr>
      <t xml:space="preserve">열심히 하는데도 제자리인 것 같아 지쳐 있는 요즘인가요</t>
    </r>
    <r>
      <rPr>
        <sz val="10"/>
        <rFont val="Malgun Gothic"/>
        <family val="0"/>
        <charset val="1"/>
      </rPr>
      <t xml:space="preserve">?</t>
    </r>
  </si>
  <si>
    <t xml:space="preserve">cards.12.reversed.asks.0</t>
  </si>
  <si>
    <r>
      <rPr>
        <sz val="10"/>
        <rFont val="Noto Sans CJK SC"/>
        <family val="2"/>
      </rPr>
      <t xml:space="preserve">쉬는 날에도 개운하지 않아 오히려 자신을 탓한 적 있나요</t>
    </r>
    <r>
      <rPr>
        <sz val="10"/>
        <rFont val="Malgun Gothic"/>
        <family val="0"/>
        <charset val="1"/>
      </rPr>
      <t xml:space="preserve">?</t>
    </r>
  </si>
  <si>
    <t xml:space="preserve">cards.12.reversed.asks.1</t>
  </si>
  <si>
    <r>
      <rPr>
        <sz val="10"/>
        <rFont val="Noto Sans CJK SC"/>
        <family val="2"/>
      </rPr>
      <t xml:space="preserve">쉬어야 하는 걸 알면서도 마음 한쪽이 계속 불편하진 않나요</t>
    </r>
    <r>
      <rPr>
        <sz val="10"/>
        <rFont val="Malgun Gothic"/>
        <family val="0"/>
        <charset val="1"/>
      </rPr>
      <t xml:space="preserve">?</t>
    </r>
  </si>
  <si>
    <t xml:space="preserve">cards.13.asks.0</t>
  </si>
  <si>
    <r>
      <rPr>
        <sz val="10"/>
        <rFont val="Noto Sans CJK SC"/>
        <family val="2"/>
      </rPr>
      <t xml:space="preserve">이미 마음이 떠난 무언가를 익숙하다는 이유로 붙잡고 있진 않나요</t>
    </r>
    <r>
      <rPr>
        <sz val="10"/>
        <rFont val="Malgun Gothic"/>
        <family val="0"/>
        <charset val="1"/>
      </rPr>
      <t xml:space="preserve">?</t>
    </r>
  </si>
  <si>
    <t xml:space="preserve">cards.13.asks.1</t>
  </si>
  <si>
    <r>
      <rPr>
        <sz val="10"/>
        <rFont val="Noto Sans CJK SC"/>
        <family val="2"/>
      </rPr>
      <t xml:space="preserve">끝을 인정하면 실패한 것 같아 마무리를 미루고 있는 일이 있나요</t>
    </r>
    <r>
      <rPr>
        <sz val="10"/>
        <rFont val="Malgun Gothic"/>
        <family val="0"/>
        <charset val="1"/>
      </rPr>
      <t xml:space="preserve">?</t>
    </r>
  </si>
  <si>
    <t xml:space="preserve">cards.13.reversed.asks.0</t>
  </si>
  <si>
    <r>
      <rPr>
        <sz val="10"/>
        <rFont val="Noto Sans CJK SC"/>
        <family val="2"/>
      </rPr>
      <t xml:space="preserve">떠나야 할 것 같으면서도 익숙함 때문에 붙잡고 있는 무언가가 있나요</t>
    </r>
    <r>
      <rPr>
        <sz val="10"/>
        <rFont val="Malgun Gothic"/>
        <family val="0"/>
        <charset val="1"/>
      </rPr>
      <t xml:space="preserve">?</t>
    </r>
  </si>
  <si>
    <t xml:space="preserve">cards.13.reversed.asks.1</t>
  </si>
  <si>
    <r>
      <rPr>
        <sz val="10"/>
        <rFont val="Noto Sans CJK SC"/>
        <family val="2"/>
      </rPr>
      <t xml:space="preserve">끝을 인정하는 게 실패처럼 느껴져 정리를 미루고 있진 않나요</t>
    </r>
    <r>
      <rPr>
        <sz val="10"/>
        <rFont val="Malgun Gothic"/>
        <family val="0"/>
        <charset val="1"/>
      </rPr>
      <t xml:space="preserve">?</t>
    </r>
  </si>
  <si>
    <t xml:space="preserve">cards.14.asks.0</t>
  </si>
  <si>
    <r>
      <rPr>
        <sz val="10"/>
        <rFont val="Noto Sans CJK SC"/>
        <family val="2"/>
      </rPr>
      <t xml:space="preserve">일과 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나와 남 사이에서 한쪽으로 많이 기울어 있다고 느끼나요</t>
    </r>
    <r>
      <rPr>
        <sz val="10"/>
        <rFont val="Malgun Gothic"/>
        <family val="0"/>
        <charset val="1"/>
      </rPr>
      <t xml:space="preserve">?</t>
    </r>
  </si>
  <si>
    <t xml:space="preserve">cards.14.asks.1</t>
  </si>
  <si>
    <r>
      <rPr>
        <sz val="10"/>
        <rFont val="Noto Sans CJK SC"/>
        <family val="2"/>
      </rPr>
      <t xml:space="preserve">둘 중 하나를 골라야 한다는 생각에 아무것도 고르지 못하고 있진 않나요</t>
    </r>
    <r>
      <rPr>
        <sz val="10"/>
        <rFont val="Malgun Gothic"/>
        <family val="0"/>
        <charset val="1"/>
      </rPr>
      <t xml:space="preserve">?</t>
    </r>
  </si>
  <si>
    <t xml:space="preserve">cards.14.reversed.asks.0</t>
  </si>
  <si>
    <r>
      <rPr>
        <sz val="10"/>
        <rFont val="Noto Sans CJK SC"/>
        <family val="2"/>
      </rPr>
      <t xml:space="preserve">일이든 관계든 한쪽에만 너무 많은 마음을 쓰고 있다고 느끼나요</t>
    </r>
    <r>
      <rPr>
        <sz val="10"/>
        <rFont val="Malgun Gothic"/>
        <family val="0"/>
        <charset val="1"/>
      </rPr>
      <t xml:space="preserve">?</t>
    </r>
  </si>
  <si>
    <t xml:space="preserve">cards.14.reversed.asks.1</t>
  </si>
  <si>
    <r>
      <rPr>
        <sz val="10"/>
        <rFont val="Noto Sans CJK SC"/>
        <family val="2"/>
      </rPr>
      <t xml:space="preserve">둘 다 지키고 싶어서 결국 어느 쪽도 고르지 못한 채 지치고 있진 않나요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</si>
  <si>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습관이 있는데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습관이 있다고 전제함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불안할 때마다 반복하게 되는 습관이 있는데 멈추기 어렵지 않나요</t>
    </r>
    <r>
      <rPr>
        <sz val="10"/>
        <rFont val="Malgun Gothic"/>
        <family val="0"/>
        <charset val="1"/>
      </rPr>
      <t xml:space="preserve">?)</t>
    </r>
  </si>
  <si>
    <t xml:space="preserve">cards.15.asks.1</t>
  </si>
  <si>
    <r>
      <rPr>
        <sz val="10"/>
        <rFont val="Noto Sans CJK SC"/>
        <family val="2"/>
      </rPr>
      <t xml:space="preserve">상처받지 않으려고 먼저 날을 세우게 되는 순간이 있진 않으세요</t>
    </r>
    <r>
      <rPr>
        <sz val="10"/>
        <rFont val="Malgun Gothic"/>
        <family val="0"/>
        <charset val="1"/>
      </rPr>
      <t xml:space="preserve">?</t>
    </r>
  </si>
  <si>
    <t xml:space="preserve">cards.15.reversed.asks.0</t>
  </si>
  <si>
    <r>
      <rPr>
        <sz val="10"/>
        <rFont val="Noto Sans CJK SC"/>
        <family val="2"/>
      </rPr>
      <t xml:space="preserve">예전 같으면 크게 반응했을 일에 조금 덜 흔들린 순간이 최근에 있었나요</t>
    </r>
    <r>
      <rPr>
        <sz val="10"/>
        <rFont val="Malgun Gothic"/>
        <family val="0"/>
        <charset val="1"/>
      </rPr>
      <t xml:space="preserve">?</t>
    </r>
  </si>
  <si>
    <t xml:space="preserve">cards.15.reversed.asks.1</t>
  </si>
  <si>
    <r>
      <rPr>
        <sz val="10"/>
        <rFont val="Noto Sans CJK SC"/>
        <family val="2"/>
      </rPr>
      <t xml:space="preserve">익숙한 습관을 내려놓으려다 다시 그 자리로 돌아갈까 걱정되진 않나요</t>
    </r>
    <r>
      <rPr>
        <sz val="10"/>
        <rFont val="Malgun Gothic"/>
        <family val="0"/>
        <charset val="1"/>
      </rPr>
      <t xml:space="preserve">?</t>
    </r>
  </si>
  <si>
    <t xml:space="preserve">cards.16.asks.0</t>
  </si>
  <si>
    <r>
      <rPr>
        <sz val="10"/>
        <rFont val="Noto Sans CJK SC"/>
        <family val="2"/>
      </rPr>
      <t xml:space="preserve">믿어 온 계획이 흔들려서 어디서부터 다시 해야 할지 막막한가요</t>
    </r>
    <r>
      <rPr>
        <sz val="10"/>
        <rFont val="Malgun Gothic"/>
        <family val="0"/>
        <charset val="1"/>
      </rPr>
      <t xml:space="preserve">?</t>
    </r>
  </si>
  <si>
    <t xml:space="preserve">cards.16.asks.1</t>
  </si>
  <si>
    <r>
      <rPr>
        <sz val="10"/>
        <rFont val="Noto Sans CJK SC"/>
        <family val="2"/>
      </rPr>
      <t xml:space="preserve">무너진 것만 보느라 아직 남아 있는 것을 놓치고 있진 않나요</t>
    </r>
    <r>
      <rPr>
        <sz val="10"/>
        <rFont val="Malgun Gothic"/>
        <family val="0"/>
        <charset val="1"/>
      </rPr>
      <t xml:space="preserve">?</t>
    </r>
  </si>
  <si>
    <t xml:space="preserve">cards.16.reversed.asks.0</t>
  </si>
  <si>
    <r>
      <rPr>
        <sz val="10"/>
        <rFont val="Noto Sans CJK SC"/>
        <family val="2"/>
      </rPr>
      <t xml:space="preserve">흔들리는 걸 들키지 않으려 괜찮은 척 버티고 있진 않나요</t>
    </r>
    <r>
      <rPr>
        <sz val="10"/>
        <rFont val="Malgun Gothic"/>
        <family val="0"/>
        <charset val="1"/>
      </rPr>
      <t xml:space="preserve">?</t>
    </r>
  </si>
  <si>
    <t xml:space="preserve">cards.16.reversed.asks.1</t>
  </si>
  <si>
    <r>
      <rPr>
        <sz val="10"/>
        <rFont val="Noto Sans CJK SC"/>
        <family val="2"/>
      </rPr>
      <t xml:space="preserve">다시 시작하고 싶어도 또 무너질까 봐 손을 대지 못하고 있나요</t>
    </r>
    <r>
      <rPr>
        <sz val="10"/>
        <rFont val="Malgun Gothic"/>
        <family val="0"/>
        <charset val="1"/>
      </rPr>
      <t xml:space="preserve">?</t>
    </r>
  </si>
  <si>
    <t xml:space="preserve">cards.17.asks.0</t>
  </si>
  <si>
    <r>
      <rPr>
        <sz val="10"/>
        <rFont val="Noto Sans CJK SC"/>
        <family val="2"/>
      </rPr>
      <t xml:space="preserve">나아지고 있는데도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예전 같지 않다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며 스스로를 재촉하고 있나요</t>
    </r>
    <r>
      <rPr>
        <sz val="10"/>
        <rFont val="Malgun Gothic"/>
        <family val="0"/>
        <charset val="1"/>
      </rPr>
      <t xml:space="preserve">?</t>
    </r>
  </si>
  <si>
    <t xml:space="preserve">cards.17.asks.1</t>
  </si>
  <si>
    <r>
      <rPr>
        <sz val="10"/>
        <rFont val="Noto Sans CJK SC"/>
        <family val="2"/>
      </rPr>
      <t xml:space="preserve">작은 회복은 별것 아니라며 그냥 지나치고 있진 않으세요</t>
    </r>
    <r>
      <rPr>
        <sz val="10"/>
        <rFont val="Malgun Gothic"/>
        <family val="0"/>
        <charset val="1"/>
      </rPr>
      <t xml:space="preserve">?</t>
    </r>
  </si>
  <si>
    <t xml:space="preserve">cards.17.reversed.asks.0</t>
  </si>
  <si>
    <r>
      <rPr>
        <sz val="10"/>
        <rFont val="Noto Sans CJK SC"/>
        <family val="2"/>
      </rPr>
      <t xml:space="preserve">조금씩 나아지고 있는데도 스스로는 잘 느껴지지 않아 답답한가요</t>
    </r>
    <r>
      <rPr>
        <sz val="10"/>
        <rFont val="Malgun Gothic"/>
        <family val="0"/>
        <charset val="1"/>
      </rPr>
      <t xml:space="preserve">?</t>
    </r>
  </si>
  <si>
    <t xml:space="preserve">cards.17.reversed.asks.1</t>
  </si>
  <si>
    <r>
      <rPr>
        <sz val="10"/>
        <rFont val="Noto Sans CJK SC"/>
        <family val="2"/>
      </rPr>
      <t xml:space="preserve">회복이 생각보다 느리다고 자신을 재촉하고 있진 않나요</t>
    </r>
    <r>
      <rPr>
        <sz val="10"/>
        <rFont val="Malgun Gothic"/>
        <family val="0"/>
        <charset val="1"/>
      </rPr>
      <t xml:space="preserve">?</t>
    </r>
  </si>
  <si>
    <t xml:space="preserve">cards.18.asks.0</t>
  </si>
  <si>
    <r>
      <rPr>
        <sz val="10"/>
        <rFont val="Noto Sans CJK SC"/>
        <family val="2"/>
      </rPr>
      <t xml:space="preserve">아직 일어나지 않은 일을 떠올리며 밤에 생각이 꼬리를 무는 날이 있나요</t>
    </r>
    <r>
      <rPr>
        <sz val="10"/>
        <rFont val="Malgun Gothic"/>
        <family val="0"/>
        <charset val="1"/>
      </rPr>
      <t xml:space="preserve">?</t>
    </r>
  </si>
  <si>
    <t xml:space="preserve">cards.18.asks.1</t>
  </si>
  <si>
    <r>
      <rPr>
        <sz val="10"/>
        <rFont val="Noto Sans CJK SC"/>
        <family val="2"/>
      </rPr>
      <t xml:space="preserve">확실해질 때까지 기다리느라 아무것도 시작하지 못하고 있진 않나요</t>
    </r>
    <r>
      <rPr>
        <sz val="10"/>
        <rFont val="Malgun Gothic"/>
        <family val="0"/>
        <charset val="1"/>
      </rPr>
      <t xml:space="preserve">?</t>
    </r>
  </si>
  <si>
    <t xml:space="preserve">cards.18.reversed.asks.0</t>
  </si>
  <si>
    <r>
      <rPr>
        <sz val="10"/>
        <rFont val="Noto Sans CJK SC"/>
        <family val="2"/>
      </rPr>
      <t xml:space="preserve">막연하던 걱정 가운데 무엇이 진짜 걱정인지 조금씩 보이기 시작했나요</t>
    </r>
    <r>
      <rPr>
        <sz val="10"/>
        <rFont val="Malgun Gothic"/>
        <family val="0"/>
        <charset val="1"/>
      </rPr>
      <t xml:space="preserve">?</t>
    </r>
  </si>
  <si>
    <t xml:space="preserve">cards.18.reversed.asks.1</t>
  </si>
  <si>
    <r>
      <rPr>
        <sz val="10"/>
        <rFont val="Noto Sans CJK SC"/>
        <family val="2"/>
      </rPr>
      <t xml:space="preserve">작은 변수 하나에도 마음이 크게 출렁인 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이번 주에 있었나요</t>
    </r>
    <r>
      <rPr>
        <sz val="10"/>
        <rFont val="Malgun Gothic"/>
        <family val="0"/>
        <charset val="1"/>
      </rPr>
      <t xml:space="preserve">?</t>
    </r>
  </si>
  <si>
    <t xml:space="preserve">cards.19.asks.0</t>
  </si>
  <si>
    <r>
      <rPr>
        <sz val="10"/>
        <rFont val="Noto Sans CJK SC"/>
        <family val="2"/>
      </rPr>
      <t xml:space="preserve">좋은 일이 생겨도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이러다 또 안 좋아지겠지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하며 마음껏 기뻐하지 못하나요</t>
    </r>
    <r>
      <rPr>
        <sz val="10"/>
        <rFont val="Malgun Gothic"/>
        <family val="0"/>
        <charset val="1"/>
      </rPr>
      <t xml:space="preserve">?</t>
    </r>
  </si>
  <si>
    <t xml:space="preserve">cards.19.asks.1</t>
  </si>
  <si>
    <r>
      <rPr>
        <sz val="10"/>
        <rFont val="Noto Sans CJK SC"/>
        <family val="2"/>
      </rPr>
      <t xml:space="preserve">웃었던 순간은 금방 잊고 힘든 일만 오래 기억하고 있진 않으세요</t>
    </r>
    <r>
      <rPr>
        <sz val="10"/>
        <rFont val="Malgun Gothic"/>
        <family val="0"/>
        <charset val="1"/>
      </rPr>
      <t xml:space="preserve">?</t>
    </r>
  </si>
  <si>
    <t xml:space="preserve">cards.19.reversed.asks.0</t>
  </si>
  <si>
    <r>
      <rPr>
        <sz val="10"/>
        <rFont val="Noto Sans CJK SC"/>
        <family val="2"/>
      </rPr>
      <t xml:space="preserve">좋은 일이 있어도 마음껏 기뻐하지 못하고 그냥 지나친 적 있나요</t>
    </r>
    <r>
      <rPr>
        <sz val="10"/>
        <rFont val="Malgun Gothic"/>
        <family val="0"/>
        <charset val="1"/>
      </rPr>
      <t xml:space="preserve">?</t>
    </r>
  </si>
  <si>
    <t xml:space="preserve">cards.19.reversed.asks.1</t>
  </si>
  <si>
    <r>
      <rPr>
        <sz val="10"/>
        <rFont val="Noto Sans CJK SC"/>
        <family val="2"/>
      </rPr>
      <t xml:space="preserve">웃을 일이 줄어든 것 같다고 느낀 건 언제부터인가요</t>
    </r>
    <r>
      <rPr>
        <sz val="10"/>
        <rFont val="Malgun Gothic"/>
        <family val="0"/>
        <charset val="1"/>
      </rPr>
      <t xml:space="preserve">?</t>
    </r>
  </si>
  <si>
    <t xml:space="preserve">cards.20.asks.0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</si>
  <si>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나는 정말 무엇을 원하지</t>
    </r>
    <r>
      <rPr>
        <sz val="10"/>
        <rFont val="Malgun Gothic"/>
        <family val="0"/>
        <charset val="1"/>
      </rPr>
      <t xml:space="preserve">?'</t>
    </r>
    <r>
      <rPr>
        <sz val="10"/>
        <rFont val="Noto Sans CJK SC"/>
        <family val="2"/>
      </rPr>
      <t xml:space="preserve">라는 질문이 요즘 자꾸 떠오르나요</t>
    </r>
    <r>
      <rPr>
        <sz val="10"/>
        <rFont val="Malgun Gothic"/>
        <family val="0"/>
        <charset val="1"/>
      </rPr>
      <t xml:space="preserve">?</t>
    </r>
  </si>
  <si>
    <t xml:space="preserve">cards.20.asks.1</t>
  </si>
  <si>
    <r>
      <rPr>
        <sz val="10"/>
        <rFont val="Noto Sans CJK SC"/>
        <family val="2"/>
      </rPr>
      <t xml:space="preserve">지난 선택에 대한 후회 때문에 새로운 시도를 망설이고 있진 않나요</t>
    </r>
    <r>
      <rPr>
        <sz val="10"/>
        <rFont val="Malgun Gothic"/>
        <family val="0"/>
        <charset val="1"/>
      </rPr>
      <t xml:space="preserve">?</t>
    </r>
  </si>
  <si>
    <t xml:space="preserve">cards.20.reversed.asks.0</t>
  </si>
  <si>
    <r>
      <rPr>
        <sz val="10"/>
        <rFont val="Noto Sans CJK SC"/>
        <family val="2"/>
      </rPr>
      <t xml:space="preserve">뭔가 바꿔야 할 것 같은데 그게 무엇인지 몰라 답답하진 않나요</t>
    </r>
    <r>
      <rPr>
        <sz val="10"/>
        <rFont val="Malgun Gothic"/>
        <family val="0"/>
        <charset val="1"/>
      </rPr>
      <t xml:space="preserve">?</t>
    </r>
  </si>
  <si>
    <t xml:space="preserve">cards.20.reversed.asks.1</t>
  </si>
  <si>
    <r>
      <rPr>
        <sz val="10"/>
        <rFont val="Noto Sans CJK SC"/>
        <family val="2"/>
      </rPr>
      <t xml:space="preserve">기준을 너무 높게 잡아서 새로운 시작을 계속 미루고 있진 않나요</t>
    </r>
    <r>
      <rPr>
        <sz val="10"/>
        <rFont val="Malgun Gothic"/>
        <family val="0"/>
        <charset val="1"/>
      </rPr>
      <t xml:space="preserve">?</t>
    </r>
  </si>
  <si>
    <t xml:space="preserve">cards.21.asks.0</t>
  </si>
  <si>
    <r>
      <rPr>
        <sz val="10"/>
        <rFont val="Noto Sans CJK SC"/>
        <family val="2"/>
      </rPr>
      <t xml:space="preserve">무언가를 끝내 가면서도 다음 목표에 쫓겨 스스로를 인정해 주지 못하고 있나요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</si>
  <si>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같은 카드 </t>
    </r>
    <r>
      <rPr>
        <sz val="10"/>
        <rFont val="Malgun Gothic"/>
        <family val="0"/>
        <charset val="1"/>
      </rPr>
      <t xml:space="preserve">asks.0('</t>
    </r>
    <r>
      <rPr>
        <sz val="10"/>
        <rFont val="Noto Sans CJK SC"/>
        <family val="2"/>
      </rPr>
      <t xml:space="preserve">다음 목표에 쫓겨 스스로를 인정해 주지 못하고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과 내용이 거의 겹침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지나온 시간을 돌아볼 여유 없이 바로 다음으로 넘어가고 있진 않으세요</t>
    </r>
    <r>
      <rPr>
        <sz val="10"/>
        <rFont val="Malgun Gothic"/>
        <family val="0"/>
        <charset val="1"/>
      </rPr>
      <t xml:space="preserve">?)</t>
    </r>
  </si>
  <si>
    <t xml:space="preserve">cards.21.reversed.asks.0</t>
  </si>
  <si>
    <r>
      <rPr>
        <sz val="10"/>
        <rFont val="Noto Sans CJK SC"/>
        <family val="2"/>
      </rPr>
      <t xml:space="preserve">거의 다 왔는데 마지막 한 걸음만 유난히 무겁게 느껴지나요</t>
    </r>
    <r>
      <rPr>
        <sz val="10"/>
        <rFont val="Malgun Gothic"/>
        <family val="0"/>
        <charset val="1"/>
      </rPr>
      <t xml:space="preserve">?</t>
    </r>
  </si>
  <si>
    <t xml:space="preserve">cards.21.reversed.asks.1</t>
  </si>
  <si>
    <r>
      <rPr>
        <sz val="10"/>
        <rFont val="Noto Sans CJK SC"/>
        <family val="2"/>
      </rPr>
      <t xml:space="preserve">완벽하게 끝내고 싶어서 마무리를 자꾸 뒤로 미루고 있진 않나요</t>
    </r>
    <r>
      <rPr>
        <sz val="10"/>
        <rFont val="Malgun Gothic"/>
        <family val="0"/>
        <charset val="1"/>
      </rPr>
      <t xml:space="preserve">?</t>
    </r>
  </si>
  <si>
    <t xml:space="preserve">cards.0.closing</t>
  </si>
  <si>
    <t xml:space="preserve">세 번째 카드일 때 마무리 문장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</si>
  <si>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완벽한 준비보다 작은 첫 물장구가 길을 연다는 점이에요</t>
    </r>
    <r>
      <rPr>
        <sz val="10"/>
        <rFont val="Malgun Gothic"/>
        <family val="0"/>
        <charset val="1"/>
      </rPr>
      <t xml:space="preserve">.</t>
    </r>
  </si>
  <si>
    <t xml:space="preserve">cards.0.reversed.closing</t>
  </si>
  <si>
    <r>
      <rPr>
        <sz val="10"/>
        <rFont val="Noto Sans CJK SC"/>
        <family val="2"/>
      </rPr>
      <t xml:space="preserve">세 번째 카드일 때 마무리 문장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역방향</t>
    </r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</si>
  <si>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망설이는 시간도 준비의 일부이고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발끝 하나를 담그는 작은 시도면 충분하다는 점이에요</t>
    </r>
    <r>
      <rPr>
        <sz val="10"/>
        <rFont val="Malgun Gothic"/>
        <family val="0"/>
        <charset val="1"/>
      </rPr>
      <t xml:space="preserve">.</t>
    </r>
  </si>
  <si>
    <t xml:space="preserve">cards.1.closing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</si>
  <si>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필요한 것은 새로운 무언가보다 이미 내 손에 있는 것을 알아보는 눈이라는 점이에요</t>
    </r>
    <r>
      <rPr>
        <sz val="10"/>
        <rFont val="Malgun Gothic"/>
        <family val="0"/>
        <charset val="1"/>
      </rPr>
      <t xml:space="preserve">.</t>
    </r>
  </si>
  <si>
    <t xml:space="preserve">cards.1.reversed.closing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</si>
  <si>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모든 손에 힘을 주지 않아도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가장 필요한 한 손에 힘을 모을 때 길이 보인다는 점이에요</t>
    </r>
    <r>
      <rPr>
        <sz val="10"/>
        <rFont val="Malgun Gothic"/>
        <family val="0"/>
        <charset val="1"/>
      </rPr>
      <t xml:space="preserve">.</t>
    </r>
  </si>
  <si>
    <t xml:space="preserve">cards.2.closing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</si>
  <si>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답은 바깥보다 고요해진 내 안에서 먼저 들린다는 점이에요</t>
    </r>
    <r>
      <rPr>
        <sz val="10"/>
        <rFont val="Malgun Gothic"/>
        <family val="0"/>
        <charset val="1"/>
      </rPr>
      <t xml:space="preserve">.</t>
    </r>
  </si>
  <si>
    <t xml:space="preserve">cards.2.reversed.closing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</si>
  <si>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바깥의 소리를 잠시 줄이면 내 안의 목소리가 다시 들리기 시작한다는 점이에요</t>
    </r>
    <r>
      <rPr>
        <sz val="10"/>
        <rFont val="Malgun Gothic"/>
        <family val="0"/>
        <charset val="1"/>
      </rPr>
      <t xml:space="preserve">.</t>
    </r>
  </si>
  <si>
    <t xml:space="preserve">cards.3.closing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</si>
  <si>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다른 사람을 돌보는 만큼 나를 돌보는 일도 소중한 책임이라는 점이에요</t>
    </r>
    <r>
      <rPr>
        <sz val="10"/>
        <rFont val="Malgun Gothic"/>
        <family val="0"/>
        <charset val="1"/>
      </rPr>
      <t xml:space="preserve">.</t>
    </r>
  </si>
  <si>
    <t xml:space="preserve">cards.3.reversed.closing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</si>
  <si>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남을 품는 만큼 나도 품어질 자격이 있고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돌봄이 다시 나눌 힘이 된다는 점이에요</t>
    </r>
    <r>
      <rPr>
        <sz val="10"/>
        <rFont val="Malgun Gothic"/>
        <family val="0"/>
        <charset val="1"/>
      </rPr>
      <t xml:space="preserve">.</t>
    </r>
  </si>
  <si>
    <t xml:space="preserve">cards.4.closing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</si>
  <si>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작은 질서 하나가 흔들리는 마음에 든든한 자리를 만들어 준다는 점이에요</t>
    </r>
    <r>
      <rPr>
        <sz val="10"/>
        <rFont val="Malgun Gothic"/>
        <family val="0"/>
        <charset val="1"/>
      </rPr>
      <t xml:space="preserve">.</t>
    </r>
  </si>
  <si>
    <t xml:space="preserve">cards.4.reversed.closing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</si>
  <si>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모든 걸 붙잡지 않아도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지키기 쉬운 작은 질서 하나가 나를 받쳐 줄 수 있다는 점이에요</t>
    </r>
    <r>
      <rPr>
        <sz val="10"/>
        <rFont val="Malgun Gothic"/>
        <family val="0"/>
        <charset val="1"/>
      </rPr>
      <t xml:space="preserve">.</t>
    </r>
  </si>
  <si>
    <t xml:space="preserve">cards.5.closing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</si>
  <si>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혼자 답을 찾지 않아도 기댈 수 있는 지혜가 곁에 있다는 점이에요</t>
    </r>
    <r>
      <rPr>
        <sz val="10"/>
        <rFont val="Malgun Gothic"/>
        <family val="0"/>
        <charset val="1"/>
      </rPr>
      <t xml:space="preserve">.</t>
    </r>
  </si>
  <si>
    <t xml:space="preserve">cards.5.reversed.closing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</si>
  <si>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혼자 답을 찾느라 애쓰지 않아도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기댈 수 있는 지혜에 손을 뻗어도 괜찮다는 점이에요</t>
    </r>
    <r>
      <rPr>
        <sz val="10"/>
        <rFont val="Malgun Gothic"/>
        <family val="0"/>
        <charset val="1"/>
      </rPr>
      <t xml:space="preserve">.</t>
    </r>
  </si>
  <si>
    <t xml:space="preserve">cards.6.closing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</si>
  <si>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내가 소중히 여기는 것을 알 때 연결도 선택도 한결 편안해진다는 점이에요</t>
    </r>
    <r>
      <rPr>
        <sz val="10"/>
        <rFont val="Malgun Gothic"/>
        <family val="0"/>
        <charset val="1"/>
      </rPr>
      <t xml:space="preserve">.</t>
    </r>
  </si>
  <si>
    <t xml:space="preserve">cards.6.reversed.closing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</si>
  <si>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상대의 마음을 확인하기 전에 내 마음을 먼저 알아줄 때 연결도 편안해진다는 점이에요</t>
    </r>
    <r>
      <rPr>
        <sz val="10"/>
        <rFont val="Malgun Gothic"/>
        <family val="0"/>
        <charset val="1"/>
      </rPr>
      <t xml:space="preserve">.</t>
    </r>
  </si>
  <si>
    <t xml:space="preserve">cards.7.closing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</si>
  <si>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힘껏 거스르기보다 흐름을 타고 한 방향으로 나아갈 때 멀리 갈 수 있다는 점이에요</t>
    </r>
    <r>
      <rPr>
        <sz val="10"/>
        <rFont val="Malgun Gothic"/>
        <family val="0"/>
        <charset val="1"/>
      </rPr>
      <t xml:space="preserve">.</t>
    </r>
  </si>
  <si>
    <t xml:space="preserve">cards.7.reversed.closing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</si>
  <si>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속도보다 방향을 다시 정할 때 같은 힘으로도 더 멀리 갈 수 있다는 점이에요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</si>
  <si>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불편함을 품는 시간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상황을 견디라는 뜻으로 읽힐 수 있음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불편함을 품는 시간이 나를 단단하게 만드는 진주가 될 수 있다는 점이에요</t>
    </r>
    <r>
      <rPr>
        <sz val="10"/>
        <rFont val="Malgun Gothic"/>
        <family val="0"/>
        <charset val="1"/>
      </rPr>
      <t xml:space="preserve">.)</t>
    </r>
  </si>
  <si>
    <t xml:space="preserve">cards.8.reversed.closing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</si>
  <si>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참는 것만이 강함이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마음을 꺼내 놓는 것도 나를 지키는 힘이라는 점이에요</t>
    </r>
    <r>
      <rPr>
        <sz val="10"/>
        <rFont val="Malgun Gothic"/>
        <family val="0"/>
        <charset val="1"/>
      </rPr>
      <t xml:space="preserve">.</t>
    </r>
  </si>
  <si>
    <t xml:space="preserve">cards.9.closing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</si>
  <si>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혼자 있는 시간에도 등불 하나와 연결 하나면 길을 잃지 않는다는 점이에요</t>
    </r>
    <r>
      <rPr>
        <sz val="10"/>
        <rFont val="Malgun Gothic"/>
        <family val="0"/>
        <charset val="1"/>
      </rPr>
      <t xml:space="preserve">.</t>
    </r>
  </si>
  <si>
    <t xml:space="preserve">cards.9.reversed.closing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</si>
  <si>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혼자의 시간이 무거워질 때는 작은 온기 하나가 다시 길을 비춰 줄 수 있다는 점이에요</t>
    </r>
    <r>
      <rPr>
        <sz val="10"/>
        <rFont val="Malgun Gothic"/>
        <family val="0"/>
        <charset val="1"/>
      </rPr>
      <t xml:space="preserve">.</t>
    </r>
  </si>
  <si>
    <t xml:space="preserve">cards.10.closing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</si>
  <si>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지금의 물살도 지나가고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안에서도 고를 수 있는 움직임이 있다는 점이에요</t>
    </r>
    <r>
      <rPr>
        <sz val="10"/>
        <rFont val="Malgun Gothic"/>
        <family val="0"/>
        <charset val="1"/>
      </rPr>
      <t xml:space="preserve">.</t>
    </r>
  </si>
  <si>
    <t xml:space="preserve">cards.10.reversed.closing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</si>
  <si>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흐름에 맞서기보다 그 안에서 고를 수 있는 작은 움직임을 찾을 때 마음이 가벼워진다는 점이에요</t>
    </r>
    <r>
      <rPr>
        <sz val="10"/>
        <rFont val="Malgun Gothic"/>
        <family val="0"/>
        <charset val="1"/>
      </rPr>
      <t xml:space="preserve">.</t>
    </r>
  </si>
  <si>
    <t xml:space="preserve">cards.11.closing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</si>
  <si>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남에게 그러듯 나에게도 공정한 저울을 내밀어도 괜찮다는 점이에요</t>
    </r>
    <r>
      <rPr>
        <sz val="10"/>
        <rFont val="Malgun Gothic"/>
        <family val="0"/>
        <charset val="1"/>
      </rPr>
      <t xml:space="preserve">.</t>
    </r>
  </si>
  <si>
    <t xml:space="preserve">cards.11.reversed.closing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</si>
  <si>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기울어진 저울을 탓하기보다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나에게도 공정한 시선을 건넬 때 균형이 돌아온다는 점이에요</t>
    </r>
    <r>
      <rPr>
        <sz val="10"/>
        <rFont val="Malgun Gothic"/>
        <family val="0"/>
        <charset val="1"/>
      </rPr>
      <t xml:space="preserve">.</t>
    </r>
  </si>
  <si>
    <t xml:space="preserve">cards.12.closing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</si>
  <si>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잠시 멈추는 것이 뒤처지는 게 아니라 다르게 보기 위한 시간이라는 점이에요</t>
    </r>
    <r>
      <rPr>
        <sz val="10"/>
        <rFont val="Malgun Gothic"/>
        <family val="0"/>
        <charset val="1"/>
      </rPr>
      <t xml:space="preserve">.</t>
    </r>
  </si>
  <si>
    <t xml:space="preserve">cards.12.reversed.closing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</si>
  <si>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죄책감 없는 짧은 쉼이 정체처럼 느껴지던 시간을 다시 숨 쉬게 한다는 점이에요</t>
    </r>
    <r>
      <rPr>
        <sz val="10"/>
        <rFont val="Malgun Gothic"/>
        <family val="0"/>
        <charset val="1"/>
      </rPr>
      <t xml:space="preserve">.</t>
    </r>
  </si>
  <si>
    <t xml:space="preserve">cards.13.closing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</si>
  <si>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맞지 않는 껍데기를 내려놓을 때 새 집으로 옮겨 갈 수 있다는 점이에요</t>
    </r>
    <r>
      <rPr>
        <sz val="10"/>
        <rFont val="Malgun Gothic"/>
        <family val="0"/>
        <charset val="1"/>
      </rPr>
      <t xml:space="preserve">.</t>
    </r>
  </si>
  <si>
    <t xml:space="preserve">cards.13.reversed.closing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</si>
  <si>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당장 떠나지 않아도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내려놓을 것에 이름을 붙이는 데서 변화가 시작된다는 점이에요</t>
    </r>
    <r>
      <rPr>
        <sz val="10"/>
        <rFont val="Malgun Gothic"/>
        <family val="0"/>
        <charset val="1"/>
      </rPr>
      <t xml:space="preserve">.</t>
    </r>
  </si>
  <si>
    <t xml:space="preserve">cards.14.closing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</si>
  <si>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둘 중 하나를 고르기보다 알맞게 섞어 내 삶의 균형을 찾을 수 있다는 점이에요</t>
    </r>
    <r>
      <rPr>
        <sz val="10"/>
        <rFont val="Malgun Gothic"/>
        <family val="0"/>
        <charset val="1"/>
      </rPr>
      <t xml:space="preserve">.</t>
    </r>
  </si>
  <si>
    <t xml:space="preserve">cards.14.reversed.closing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</si>
  <si>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한쪽으로 기울어진 마음도 한 칸씩 옮기다 보면 다시 알맞은 자리를 찾을 수 있다는 점이에요</t>
    </r>
    <r>
      <rPr>
        <sz val="10"/>
        <rFont val="Malgun Gothic"/>
        <family val="0"/>
        <charset val="1"/>
      </rPr>
      <t xml:space="preserve">.</t>
    </r>
  </si>
  <si>
    <t xml:space="preserve">cards.15.closing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</si>
  <si>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나를 지키려던 가시를 알아차리는 순간 마음이 조금씩 풀려난다는 점이에요</t>
    </r>
    <r>
      <rPr>
        <sz val="10"/>
        <rFont val="Malgun Gothic"/>
        <family val="0"/>
        <charset val="1"/>
      </rPr>
      <t xml:space="preserve">.</t>
    </r>
  </si>
  <si>
    <t xml:space="preserve">cards.15.reversed.closing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</si>
  <si>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나를 묶던 가시가 풀리기 시작한 지금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작은 새 습관 하나가 그 흐름을 이어 준다는 점이에요</t>
    </r>
    <r>
      <rPr>
        <sz val="10"/>
        <rFont val="Malgun Gothic"/>
        <family val="0"/>
        <charset val="1"/>
      </rPr>
      <t xml:space="preserve">.</t>
    </r>
  </si>
  <si>
    <t xml:space="preserve">cards.16.closing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</si>
  <si>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무너진 자리에서도 오늘 쌓을 나뭇가지 하나면 충분하다는 점이에요</t>
    </r>
    <r>
      <rPr>
        <sz val="10"/>
        <rFont val="Malgun Gothic"/>
        <family val="0"/>
        <charset val="1"/>
      </rPr>
      <t xml:space="preserve">.</t>
    </r>
  </si>
  <si>
    <t xml:space="preserve">cards.16.reversed.closing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</si>
  <si>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다시 무너질까 두려워도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오늘 쌓는 나뭇가지 하나가 새 둑의 시작이 된다는 점이에요</t>
    </r>
    <r>
      <rPr>
        <sz val="10"/>
        <rFont val="Malgun Gothic"/>
        <family val="0"/>
        <charset val="1"/>
      </rPr>
      <t xml:space="preserve">.</t>
    </r>
  </si>
  <si>
    <t xml:space="preserve">cards.17.closing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</si>
  <si>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회복은 천천히 오지만 작은 빛을 알아볼 때 조금씩 자란다는 점이에요</t>
    </r>
    <r>
      <rPr>
        <sz val="10"/>
        <rFont val="Malgun Gothic"/>
        <family val="0"/>
        <charset val="1"/>
      </rPr>
      <t xml:space="preserve">.</t>
    </r>
  </si>
  <si>
    <t xml:space="preserve">cards.17.reversed.closing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</si>
  <si>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희미해 보이는 빛도 하나씩 알아볼 때 조금씩 밝아진다는 점이에요</t>
    </r>
    <r>
      <rPr>
        <sz val="10"/>
        <rFont val="Malgun Gothic"/>
        <family val="0"/>
        <charset val="1"/>
      </rPr>
      <t xml:space="preserve">.</t>
    </r>
  </si>
  <si>
    <t xml:space="preserve">cards.18.closing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</si>
  <si>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 보이지 않아도 다음 한 걸음을 비출 빛은 이미 있다는 점이에요</t>
    </r>
    <r>
      <rPr>
        <sz val="10"/>
        <rFont val="Malgun Gothic"/>
        <family val="0"/>
        <charset val="1"/>
      </rPr>
      <t xml:space="preserve">.</t>
    </r>
  </si>
  <si>
    <t xml:space="preserve">cards.18.reversed.closing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</si>
  <si>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안개가 다 걷히지 않아도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보이는 한 걸음이 다음 길을 열어 준다는 점이에요</t>
    </r>
    <r>
      <rPr>
        <sz val="10"/>
        <rFont val="Malgun Gothic"/>
        <family val="0"/>
        <charset val="1"/>
      </rPr>
      <t xml:space="preserve">.</t>
    </r>
  </si>
  <si>
    <t xml:space="preserve">cards.19.closing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</si>
  <si>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여기의 작은 기쁨을 누리는 것이 다음 걸음의 힘이 된다는 점이에요</t>
    </r>
    <r>
      <rPr>
        <sz val="10"/>
        <rFont val="Malgun Gothic"/>
        <family val="0"/>
        <charset val="1"/>
      </rPr>
      <t xml:space="preserve">.</t>
    </r>
  </si>
  <si>
    <t xml:space="preserve">cards.19.reversed.closing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</si>
  <si>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가려진 기쁨도 잠시 머물러 바라볼 때 다시 마음을 데워 준다는 점이에요</t>
    </r>
    <r>
      <rPr>
        <sz val="10"/>
        <rFont val="Malgun Gothic"/>
        <family val="0"/>
        <charset val="1"/>
      </rPr>
      <t xml:space="preserve">.</t>
    </r>
  </si>
  <si>
    <t xml:space="preserve">cards.20.closing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</si>
  <si>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 깊은 곳의 부름에 작은 행동으로 답할 때가 되었다는 점이에요</t>
    </r>
    <r>
      <rPr>
        <sz val="10"/>
        <rFont val="Malgun Gothic"/>
        <family val="0"/>
        <charset val="1"/>
      </rPr>
      <t xml:space="preserve">.</t>
    </r>
  </si>
  <si>
    <t xml:space="preserve">cards.20.reversed.closing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</si>
  <si>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흐릿한 부름이라도 한 줄로 적어 볼 때 조금씩 또렷해진다는 점이에요</t>
    </r>
    <r>
      <rPr>
        <sz val="10"/>
        <rFont val="Malgun Gothic"/>
        <family val="0"/>
        <charset val="1"/>
      </rPr>
      <t xml:space="preserve">.</t>
    </r>
  </si>
  <si>
    <t xml:space="preserve">cards.21.closing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</si>
  <si>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지금까지 걸어온 여정 전체가 이미 충분히 의미 있다는 점이에요</t>
    </r>
    <r>
      <rPr>
        <sz val="10"/>
        <rFont val="Malgun Gothic"/>
        <family val="0"/>
        <charset val="1"/>
      </rPr>
      <t xml:space="preserve">.</t>
    </r>
  </si>
  <si>
    <t xml:space="preserve">cards.21.reversed.closing</t>
  </si>
  <si>
    <r>
      <rPr>
        <sz val="10"/>
        <rFont val="Noto Sans CJK SC"/>
        <family val="2"/>
      </rPr>
      <t xml:space="preserve">이 세 장이 함께 말하는 한 가지는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완벽한 끝보다 충분한 마무리가 다음 여정을 가볍게 열어 준다는 점이에요</t>
    </r>
    <r>
      <rPr>
        <sz val="10"/>
        <rFont val="Malgun Gothic"/>
        <family val="0"/>
        <charset val="1"/>
      </rPr>
      <t xml:space="preserve">.</t>
    </r>
  </si>
  <si>
    <t xml:space="preserve">cards.0.practices.0.title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</si>
  <si>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1 · </t>
    </r>
    <r>
      <rPr>
        <sz val="10"/>
        <rFont val="Noto Sans CJK SC"/>
        <family val="2"/>
      </rPr>
      <t xml:space="preserve">제목</t>
    </r>
  </si>
  <si>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분만 시작하기</t>
    </r>
  </si>
  <si>
    <t xml:space="preserve">cards.0.practices.0.how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</si>
  <si>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1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</si>
  <si>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미뤄 둔 일을 딱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분만 해 보고</t>
    </r>
    <r>
      <rPr>
        <sz val="10"/>
        <rFont val="Malgun Gothic"/>
        <family val="0"/>
        <charset val="1"/>
      </rPr>
      <t xml:space="preserve">, 5</t>
    </r>
    <r>
      <rPr>
        <sz val="10"/>
        <rFont val="Noto Sans CJK SC"/>
        <family val="2"/>
      </rPr>
      <t xml:space="preserve">분이 지나면 멈춰도 괜찮다고 스스로에게 허락해요</t>
    </r>
    <r>
      <rPr>
        <sz val="10"/>
        <rFont val="Malgun Gothic"/>
        <family val="0"/>
        <charset val="1"/>
      </rPr>
      <t xml:space="preserve">.</t>
    </r>
  </si>
  <si>
    <t xml:space="preserve">cards.0.practices.0.time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</si>
  <si>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1 · </t>
    </r>
    <r>
      <rPr>
        <sz val="10"/>
        <rFont val="Noto Sans CJK SC"/>
        <family val="2"/>
      </rPr>
      <t xml:space="preserve">걸리는 시간</t>
    </r>
  </si>
  <si>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분</t>
    </r>
  </si>
  <si>
    <t xml:space="preserve">cards.0.practices.0.why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</si>
  <si>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1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</si>
  <si>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시작의 문턱을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분으로 낮추면 미루게 만들던 부담이 줄고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일단 움직였다는 감각이 다음 걸음을 데려와요</t>
    </r>
    <r>
      <rPr>
        <sz val="10"/>
        <rFont val="Malgun Gothic"/>
        <family val="0"/>
        <charset val="1"/>
      </rPr>
      <t xml:space="preserve">.</t>
    </r>
  </si>
  <si>
    <t xml:space="preserve">cards.0.practices.1.title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</si>
  <si>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2 · </t>
    </r>
    <r>
      <rPr>
        <sz val="10"/>
        <rFont val="Noto Sans CJK SC"/>
        <family val="2"/>
      </rPr>
      <t xml:space="preserve">제목</t>
    </r>
  </si>
  <si>
    <t xml:space="preserve">호기심 메모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</si>
  <si>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2 · </t>
    </r>
    <r>
      <rPr>
        <sz val="10"/>
        <rFont val="Noto Sans CJK SC"/>
        <family val="2"/>
      </rPr>
      <t xml:space="preserve">방법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</si>
  <si>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하나를 적고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그중 하나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를 고르라고 해서 앞뒤가 맞지 않음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오늘 궁금했던 것 하나를 메모장에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그중 하나를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분만 찾아봐요</t>
    </r>
    <r>
      <rPr>
        <sz val="10"/>
        <rFont val="Malgun Gothic"/>
        <family val="0"/>
        <charset val="1"/>
      </rPr>
      <t xml:space="preserve">.)</t>
    </r>
  </si>
  <si>
    <t xml:space="preserve">cards.0.practices.1.time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</si>
  <si>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2 · </t>
    </r>
    <r>
      <rPr>
        <sz val="10"/>
        <rFont val="Noto Sans CJK SC"/>
        <family val="2"/>
      </rPr>
      <t xml:space="preserve">걸리는 시간</t>
    </r>
  </si>
  <si>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</t>
    </r>
  </si>
  <si>
    <t xml:space="preserve">cards.0.practices.1.why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</si>
  <si>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2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</si>
  <si>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호기심은 결과에 대한 걱정보다 가볍게 마음을 움직여서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새로운 시도를 덜 무섭게 만들어 줘요</t>
    </r>
    <r>
      <rPr>
        <sz val="10"/>
        <rFont val="Malgun Gothic"/>
        <family val="0"/>
        <charset val="1"/>
      </rPr>
      <t xml:space="preserve">.</t>
    </r>
  </si>
  <si>
    <t xml:space="preserve">cards.0.practices.2.title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</si>
  <si>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3 · </t>
    </r>
    <r>
      <rPr>
        <sz val="10"/>
        <rFont val="Noto Sans CJK SC"/>
        <family val="2"/>
      </rPr>
      <t xml:space="preserve">제목</t>
    </r>
  </si>
  <si>
    <t xml:space="preserve">서툴러도 되는 일 정하기</t>
  </si>
  <si>
    <t xml:space="preserve">cards.0.practices.2.how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</si>
  <si>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3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</si>
  <si>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이번 주에 잘하지 않아도 되는 일 하나를 정해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연습 중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이라고 이름 붙여요</t>
    </r>
    <r>
      <rPr>
        <sz val="10"/>
        <rFont val="Malgun Gothic"/>
        <family val="0"/>
        <charset val="1"/>
      </rPr>
      <t xml:space="preserve">.</t>
    </r>
  </si>
  <si>
    <t xml:space="preserve">cards.0.practices.2.time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</si>
  <si>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3 · </t>
    </r>
    <r>
      <rPr>
        <sz val="10"/>
        <rFont val="Noto Sans CJK SC"/>
        <family val="2"/>
      </rPr>
      <t xml:space="preserve">걸리는 시간</t>
    </r>
  </si>
  <si>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분</t>
    </r>
  </si>
  <si>
    <t xml:space="preserve">cards.0.practices.2.why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</si>
  <si>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3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</si>
  <si>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연습 중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이라고 이름 붙이면 잘해야 한다는 압박이 줄어 실수를 배움으로 받아들이기 쉬워져요</t>
    </r>
    <r>
      <rPr>
        <sz val="10"/>
        <rFont val="Malgun Gothic"/>
        <family val="0"/>
        <charset val="1"/>
      </rPr>
      <t xml:space="preserve">.</t>
    </r>
  </si>
  <si>
    <t xml:space="preserve">cards.1.practices.0.title</t>
  </si>
  <si>
    <t xml:space="preserve">자원 지도 그리기</t>
  </si>
  <si>
    <t xml:space="preserve">cards.1.practices.0.how</t>
  </si>
  <si>
    <r>
      <rPr>
        <sz val="10"/>
        <rFont val="Noto Sans CJK SC"/>
        <family val="2"/>
      </rPr>
      <t xml:space="preserve">종이 가운데 고민을 쓰고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둘레에 쓸 수 있는 자원 여덟 가지를 적어요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사람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경험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물건 모두 괜찮아요</t>
    </r>
    <r>
      <rPr>
        <sz val="10"/>
        <rFont val="Malgun Gothic"/>
        <family val="0"/>
        <charset val="1"/>
      </rPr>
      <t xml:space="preserve">.</t>
    </r>
  </si>
  <si>
    <t xml:space="preserve">cards.1.practices.0.time</t>
  </si>
  <si>
    <t xml:space="preserve">cards.1.practices.0.why</t>
  </si>
  <si>
    <r>
      <rPr>
        <sz val="10"/>
        <rFont val="Noto Sans CJK SC"/>
        <family val="2"/>
      </rPr>
      <t xml:space="preserve">없는 것 대신 가진 것을 눈으로 확인하면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막막함이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쓸 수 있는 것이 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감각으로 바뀌어요</t>
    </r>
    <r>
      <rPr>
        <sz val="10"/>
        <rFont val="Malgun Gothic"/>
        <family val="0"/>
        <charset val="1"/>
      </rPr>
      <t xml:space="preserve">.</t>
    </r>
  </si>
  <si>
    <t xml:space="preserve">cards.1.practices.1.title</t>
  </si>
  <si>
    <t xml:space="preserve">강점 하나 새롭게 쓰기</t>
  </si>
  <si>
    <t xml:space="preserve">cards.1.practices.1.how</t>
  </si>
  <si>
    <r>
      <rPr>
        <sz val="10"/>
        <rFont val="Noto Sans CJK SC"/>
        <family val="2"/>
      </rPr>
      <t xml:space="preserve">내가 잘하는 것 하나를 골라 오늘 평소와 다른 자리에서 써 봐요</t>
    </r>
    <r>
      <rPr>
        <sz val="10"/>
        <rFont val="Malgun Gothic"/>
        <family val="0"/>
        <charset val="1"/>
      </rPr>
      <t xml:space="preserve">.</t>
    </r>
  </si>
  <si>
    <t xml:space="preserve">cards.1.practices.1.time</t>
  </si>
  <si>
    <t xml:space="preserve">하루 중 한 번</t>
  </si>
  <si>
    <t xml:space="preserve">cards.1.practices.1.why</t>
  </si>
  <si>
    <r>
      <rPr>
        <sz val="10"/>
        <rFont val="Noto Sans CJK SC"/>
        <family val="2"/>
      </rPr>
      <t xml:space="preserve">익숙한 강점을 새 자리에서 써 보면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나도 할 수 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감각이 커지고 하루의 만족감도 함께 올라가요</t>
    </r>
    <r>
      <rPr>
        <sz val="10"/>
        <rFont val="Malgun Gothic"/>
        <family val="0"/>
        <charset val="1"/>
      </rPr>
      <t xml:space="preserve">.</t>
    </r>
  </si>
  <si>
    <t xml:space="preserve">cards.1.practices.2.title</t>
  </si>
  <si>
    <t xml:space="preserve">오늘은 한 손만</t>
  </si>
  <si>
    <t xml:space="preserve">cards.1.practices.2.how</t>
  </si>
  <si>
    <r>
      <rPr>
        <sz val="10"/>
        <rFont val="Noto Sans CJK SC"/>
        <family val="2"/>
      </rPr>
      <t xml:space="preserve">할 일 목록에서 오늘 끝낼 일 하나만 고르고 나머지는 내일 칸으로 옮겨요</t>
    </r>
    <r>
      <rPr>
        <sz val="10"/>
        <rFont val="Malgun Gothic"/>
        <family val="0"/>
        <charset val="1"/>
      </rPr>
      <t xml:space="preserve">.</t>
    </r>
  </si>
  <si>
    <t xml:space="preserve">cards.1.practices.2.time</t>
  </si>
  <si>
    <t xml:space="preserve">cards.1.practices.2.why</t>
  </si>
  <si>
    <r>
      <rPr>
        <sz val="10"/>
        <rFont val="Noto Sans CJK SC"/>
        <family val="2"/>
      </rPr>
      <t xml:space="preserve">할 일을 하나로 좁히면 힘이 흩어지지 않아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끝냈다는 감각이 다음 일을 시작할 힘이 돼요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</si>
  <si>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호흡 공간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기법명 직역투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3</t>
    </r>
    <r>
      <rPr>
        <sz val="10"/>
        <rFont val="Noto Sans CJK SC"/>
        <family val="2"/>
      </rPr>
      <t xml:space="preserve">분 호흡 공간</t>
    </r>
    <r>
      <rPr>
        <sz val="10"/>
        <rFont val="Malgun Gothic"/>
        <family val="0"/>
        <charset val="1"/>
      </rPr>
      <t xml:space="preserve">)</t>
    </r>
  </si>
  <si>
    <t xml:space="preserve">cards.2.practices.0.how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</si>
  <si>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분은 지금 떠오르는 생각과 감정을</t>
    </r>
    <r>
      <rPr>
        <sz val="10"/>
        <rFont val="Malgun Gothic"/>
        <family val="0"/>
        <charset val="1"/>
      </rPr>
      <t xml:space="preserve">, 1</t>
    </r>
    <r>
      <rPr>
        <sz val="10"/>
        <rFont val="Noto Sans CJK SC"/>
        <family val="2"/>
      </rPr>
      <t xml:space="preserve">분은 숨을</t>
    </r>
    <r>
      <rPr>
        <sz val="10"/>
        <rFont val="Malgun Gothic"/>
        <family val="0"/>
        <charset val="1"/>
      </rPr>
      <t xml:space="preserve">, 1</t>
    </r>
    <r>
      <rPr>
        <sz val="10"/>
        <rFont val="Noto Sans CJK SC"/>
        <family val="2"/>
      </rPr>
      <t xml:space="preserve">분은 몸 전체를 차례로 알아차려요</t>
    </r>
    <r>
      <rPr>
        <sz val="10"/>
        <rFont val="Malgun Gothic"/>
        <family val="0"/>
        <charset val="1"/>
      </rPr>
      <t xml:space="preserve">.</t>
    </r>
  </si>
  <si>
    <t xml:space="preserve">cards.2.practices.0.time</t>
  </si>
  <si>
    <t xml:space="preserve">cards.2.practices.0.why</t>
  </si>
  <si>
    <r>
      <rPr>
        <sz val="10"/>
        <rFont val="Noto Sans CJK SC"/>
        <family val="2"/>
      </rPr>
      <t xml:space="preserve">잠깐 멈춰 지금을 알아차리면 자동으로 돌던 생각에서 한 걸음 떨어져 내 마음을 들을 틈이 생겨요</t>
    </r>
    <r>
      <rPr>
        <sz val="10"/>
        <rFont val="Malgun Gothic"/>
        <family val="0"/>
        <charset val="1"/>
      </rPr>
      <t xml:space="preserve">.</t>
    </r>
  </si>
  <si>
    <t xml:space="preserve">cards.2.practices.1.title</t>
  </si>
  <si>
    <t xml:space="preserve">몸의 신호 적기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</si>
  <si>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선택지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무엇인지 앞에 설명이 없어 갑작스러움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선택지를 하나씩 떠올리며 몸이 조여지는지 풀리는지 한 줄씩 적어요</t>
    </r>
    <r>
      <rPr>
        <sz val="10"/>
        <rFont val="Malgun Gothic"/>
        <family val="0"/>
        <charset val="1"/>
      </rPr>
      <t xml:space="preserve">.)</t>
    </r>
  </si>
  <si>
    <t xml:space="preserve">cards.2.practices.1.time</t>
  </si>
  <si>
    <t xml:space="preserve">cards.2.practices.1.why</t>
  </si>
  <si>
    <r>
      <rPr>
        <sz val="10"/>
        <rFont val="Noto Sans CJK SC"/>
        <family val="2"/>
      </rPr>
      <t xml:space="preserve">몸은 생각보다 먼저 반응하기 때문에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조여지고 풀리는 느낌이 내가 정말 원하는 쪽을 알려 줄 수 있어요</t>
    </r>
    <r>
      <rPr>
        <sz val="10"/>
        <rFont val="Malgun Gothic"/>
        <family val="0"/>
        <charset val="1"/>
      </rPr>
      <t xml:space="preserve">.</t>
    </r>
  </si>
  <si>
    <t xml:space="preserve">cards.2.practices.2.title</t>
  </si>
  <si>
    <t xml:space="preserve">저녁 한 줄 일기</t>
  </si>
  <si>
    <t xml:space="preserve">cards.2.practices.2.how</t>
  </si>
  <si>
    <r>
      <rPr>
        <sz val="10"/>
        <rFont val="Noto Sans CJK SC"/>
        <family val="2"/>
      </rPr>
      <t xml:space="preserve">자기 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오늘 내 마음이 가장 크게 움직인 순간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 한 줄로 적어요</t>
    </r>
    <r>
      <rPr>
        <sz val="10"/>
        <rFont val="Malgun Gothic"/>
        <family val="0"/>
        <charset val="1"/>
      </rPr>
      <t xml:space="preserve">.</t>
    </r>
  </si>
  <si>
    <t xml:space="preserve">cards.2.practices.2.time</t>
  </si>
  <si>
    <t xml:space="preserve">cards.2.practices.2.why</t>
  </si>
  <si>
    <r>
      <rPr>
        <sz val="10"/>
        <rFont val="Noto Sans CJK SC"/>
        <family val="2"/>
      </rPr>
      <t xml:space="preserve">하루 한 줄씩 쌓인 기록은 흘려보냈던 내 마음의 결을 보여 주는 지도가 돼요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</si>
  <si>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자기자비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이론 용어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자기자비 쉼표</t>
    </r>
    <r>
      <rPr>
        <sz val="10"/>
        <rFont val="Malgun Gothic"/>
        <family val="0"/>
        <charset val="1"/>
      </rPr>
      <t xml:space="preserve">)</t>
    </r>
  </si>
  <si>
    <t xml:space="preserve">cards.3.practices.0.how</t>
  </si>
  <si>
    <r>
      <rPr>
        <sz val="10"/>
        <rFont val="Noto Sans CJK SC"/>
        <family val="2"/>
      </rPr>
      <t xml:space="preserve">힘든 순간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지금 힘들구나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누구나 이럴 때가 있어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나에게 친절하자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세 문장을 속으로 말해요</t>
    </r>
    <r>
      <rPr>
        <sz val="10"/>
        <rFont val="Malgun Gothic"/>
        <family val="0"/>
        <charset val="1"/>
      </rPr>
      <t xml:space="preserve">.</t>
    </r>
  </si>
  <si>
    <t xml:space="preserve">cards.3.practices.0.time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</si>
  <si>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분</t>
    </r>
  </si>
  <si>
    <t xml:space="preserve">cards.3.practices.0.why</t>
  </si>
  <si>
    <r>
      <rPr>
        <sz val="10"/>
        <rFont val="Noto Sans CJK SC"/>
        <family val="2"/>
      </rPr>
      <t xml:space="preserve">힘든 마음을 탓하지 않고 알아봐 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긴장한 몸이 조금씩 풀리는 데 도움이 돼요</t>
    </r>
    <r>
      <rPr>
        <sz val="10"/>
        <rFont val="Malgun Gothic"/>
        <family val="0"/>
        <charset val="1"/>
      </rPr>
      <t xml:space="preserve">.</t>
    </r>
  </si>
  <si>
    <t xml:space="preserve">cards.3.practices.1.title</t>
  </si>
  <si>
    <r>
      <rPr>
        <sz val="10"/>
        <rFont val="Noto Sans CJK SC"/>
        <family val="2"/>
      </rPr>
      <t xml:space="preserve">나를 위한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 예약</t>
    </r>
  </si>
  <si>
    <t xml:space="preserve">cards.3.practices.1.how</t>
  </si>
  <si>
    <r>
      <rPr>
        <sz val="10"/>
        <rFont val="Noto Sans CJK SC"/>
        <family val="2"/>
      </rPr>
      <t xml:space="preserve">오늘 일정표에 나만을 위한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분을 적어 두고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다른 일로 바꾸지 않아요</t>
    </r>
    <r>
      <rPr>
        <sz val="10"/>
        <rFont val="Malgun Gothic"/>
        <family val="0"/>
        <charset val="1"/>
      </rPr>
      <t xml:space="preserve">.</t>
    </r>
  </si>
  <si>
    <t xml:space="preserve">cards.3.practices.1.time</t>
  </si>
  <si>
    <t xml:space="preserve">cards.3.practices.1.why</t>
  </si>
  <si>
    <r>
      <rPr>
        <sz val="10"/>
        <rFont val="Noto Sans CJK SC"/>
        <family val="2"/>
      </rPr>
      <t xml:space="preserve">쉼을 의지에 맡기지 않고 일정으로 만들어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죄책감 없이 쉬는 연습이 쉬워져요</t>
    </r>
    <r>
      <rPr>
        <sz val="10"/>
        <rFont val="Malgun Gothic"/>
        <family val="0"/>
        <charset val="1"/>
      </rPr>
      <t xml:space="preserve">.</t>
    </r>
  </si>
  <si>
    <t xml:space="preserve">cards.3.practices.2.title</t>
  </si>
  <si>
    <t xml:space="preserve">따뜻한 손 얹기</t>
  </si>
  <si>
    <t xml:space="preserve">cards.3.practices.2.how</t>
  </si>
  <si>
    <r>
      <rPr>
        <sz val="10"/>
        <rFont val="Noto Sans CJK SC"/>
        <family val="2"/>
      </rPr>
      <t xml:space="preserve">가슴이나 배에 손을 얹고 손의 온기를 느끼며 천천히 세 번 숨 쉬어요</t>
    </r>
    <r>
      <rPr>
        <sz val="10"/>
        <rFont val="Malgun Gothic"/>
        <family val="0"/>
        <charset val="1"/>
      </rPr>
      <t xml:space="preserve">.</t>
    </r>
  </si>
  <si>
    <t xml:space="preserve">cards.3.practices.2.time</t>
  </si>
  <si>
    <t xml:space="preserve">cards.3.practices.2.why</t>
  </si>
  <si>
    <r>
      <rPr>
        <sz val="10"/>
        <rFont val="Noto Sans CJK SC"/>
        <family val="2"/>
      </rPr>
      <t xml:space="preserve">손의 온기와 느린 호흡은 몸에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이제 괜찮다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신호를 보내 마음을 가라앉히는 데 도움을 줘요</t>
    </r>
    <r>
      <rPr>
        <sz val="10"/>
        <rFont val="Malgun Gothic"/>
        <family val="0"/>
        <charset val="1"/>
      </rPr>
      <t xml:space="preserve">.</t>
    </r>
  </si>
  <si>
    <t xml:space="preserve">cards.4.practices.0.title</t>
  </si>
  <si>
    <t xml:space="preserve">두 개의 원 그리기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</si>
  <si>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원 두 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안쪽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바깥이 무엇인지 모호함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원 두 개를 그리고 안쪽에는 내가 바꿀 수 있는 것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바깥에는 바꿀 수 없는 것을 적어요</t>
    </r>
    <r>
      <rPr>
        <sz val="10"/>
        <rFont val="Malgun Gothic"/>
        <family val="0"/>
        <charset val="1"/>
      </rPr>
      <t xml:space="preserve">.)</t>
    </r>
  </si>
  <si>
    <t xml:space="preserve">cards.4.practices.0.time</t>
  </si>
  <si>
    <t xml:space="preserve">cards.4.practices.0.why</t>
  </si>
  <si>
    <r>
      <rPr>
        <sz val="10"/>
        <rFont val="Noto Sans CJK SC"/>
        <family val="2"/>
      </rPr>
      <t xml:space="preserve">바꿀 수 있는 것과 없는 것을 나누면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쥐고 있지 않아도 되는 걱정을 내려놓을 근거가 생겨요</t>
    </r>
    <r>
      <rPr>
        <sz val="10"/>
        <rFont val="Malgun Gothic"/>
        <family val="0"/>
        <charset val="1"/>
      </rPr>
      <t xml:space="preserve">.</t>
    </r>
  </si>
  <si>
    <t xml:space="preserve">cards.4.practices.1.title</t>
  </si>
  <si>
    <t xml:space="preserve">하루 기둥 하나 세우기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</si>
  <si>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잠자리를 해요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읽혀 뜻이 어색함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성관계로도 읽힘</t>
    </r>
    <r>
      <rPr>
        <sz val="10"/>
        <rFont val="Malgun Gothic"/>
        <family val="0"/>
        <charset val="1"/>
      </rPr>
      <t xml:space="preserve">), '</t>
    </r>
    <r>
      <rPr>
        <sz val="10"/>
        <rFont val="Noto Sans CJK SC"/>
        <family val="2"/>
      </rPr>
      <t xml:space="preserve">이번 주는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도 어색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기상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잠자리 중 하나를 골라 이번 주는 같은 시간에 해요</t>
    </r>
    <r>
      <rPr>
        <sz val="10"/>
        <rFont val="Malgun Gothic"/>
        <family val="0"/>
        <charset val="1"/>
      </rPr>
      <t xml:space="preserve">.)</t>
    </r>
  </si>
  <si>
    <t xml:space="preserve">cards.4.practices.1.time</t>
  </si>
  <si>
    <t xml:space="preserve">이번 주</t>
  </si>
  <si>
    <t xml:space="preserve">cards.4.practices.1.why</t>
  </si>
  <si>
    <r>
      <rPr>
        <sz val="10"/>
        <rFont val="Noto Sans CJK SC"/>
        <family val="2"/>
      </rPr>
      <t xml:space="preserve">작은 규칙 하나가 하루의 중심을 잡아 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흔들리는 날에도 돌아올 자리가 생겨요</t>
    </r>
    <r>
      <rPr>
        <sz val="10"/>
        <rFont val="Malgun Gothic"/>
        <family val="0"/>
        <charset val="1"/>
      </rPr>
      <t xml:space="preserve">.</t>
    </r>
  </si>
  <si>
    <t xml:space="preserve">cards.4.practices.2.title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</si>
  <si>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3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</si>
  <si>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한 가지 부탁하기</t>
  </si>
  <si>
    <t xml:space="preserve">cards.4.practices.2.how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</si>
  <si>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3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</si>
  <si>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혼자 맡아 온 일 하나를 골라 함께할 사람에게 짧게 부탁해요</t>
    </r>
    <r>
      <rPr>
        <sz val="10"/>
        <rFont val="Malgun Gothic"/>
        <family val="0"/>
        <charset val="1"/>
      </rPr>
      <t xml:space="preserve">.</t>
    </r>
  </si>
  <si>
    <t xml:space="preserve">cards.4.practices.2.time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</si>
  <si>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3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걸리는 시간</t>
    </r>
  </si>
  <si>
    <t xml:space="preserve">cards.4.practices.2.why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</si>
  <si>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3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</si>
  <si>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짐을 나누는 경험은 혼자 다 지지 않아도 괜찮다는 믿음을 몸으로 익히게 해 줘요</t>
    </r>
    <r>
      <rPr>
        <sz val="10"/>
        <rFont val="Malgun Gothic"/>
        <family val="0"/>
        <charset val="1"/>
      </rPr>
      <t xml:space="preserve">.</t>
    </r>
  </si>
  <si>
    <t xml:space="preserve">cards.5.practices.0.title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</si>
  <si>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1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</si>
  <si>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질문 하나 보내기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</si>
  <si>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1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</si>
  <si>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비슷한 경험이 있는 사람에게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혹시 이럴 때 어떻게 했어요</t>
    </r>
    <r>
      <rPr>
        <sz val="10"/>
        <rFont val="Malgun Gothic"/>
        <family val="0"/>
        <charset val="1"/>
      </rPr>
      <t xml:space="preserve">?' </t>
    </r>
    <r>
      <rPr>
        <sz val="10"/>
        <rFont val="Noto Sans CJK SC"/>
        <family val="2"/>
      </rPr>
      <t xml:space="preserve">한 줄을 보내요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</si>
  <si>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다가가기형으로 분류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문장 유지</t>
    </r>
    <r>
      <rPr>
        <sz val="10"/>
        <rFont val="Malgun Gothic"/>
        <family val="0"/>
        <charset val="1"/>
      </rPr>
      <t xml:space="preserve">)] </t>
    </r>
    <r>
      <rPr>
        <sz val="10"/>
        <rFont val="Noto Sans CJK SC"/>
        <family val="2"/>
      </rPr>
      <t xml:space="preserve">다가가기형이 아닌데 다른 사람에게 메시지를 보내라고 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폭력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통제 신호가 있어도 빠지지 않음</t>
    </r>
    <r>
      <rPr>
        <sz val="10"/>
        <rFont val="Malgun Gothic"/>
        <family val="0"/>
        <charset val="1"/>
      </rPr>
      <t xml:space="preserve">)</t>
    </r>
  </si>
  <si>
    <t xml:space="preserve">cards.5.practices.0.time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</si>
  <si>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1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걸리는 시간</t>
    </r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</si>
  <si>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1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</si>
  <si>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먼저 지나간 사람의 경험은 혼자 맴돌던 생각에 새 길을 열어 주고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묻는 것 자체가 외로움을 덜어 줘요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</si>
  <si>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다가가기형으로 분류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문장 유지</t>
    </r>
    <r>
      <rPr>
        <sz val="10"/>
        <rFont val="Malgun Gothic"/>
        <family val="0"/>
        <charset val="1"/>
      </rPr>
      <t xml:space="preserve">)] '</t>
    </r>
    <r>
      <rPr>
        <sz val="10"/>
        <rFont val="Noto Sans CJK SC"/>
        <family val="2"/>
      </rPr>
      <t xml:space="preserve">묻는 것 자체가 외로움을 덜어 줘요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연락을 전제로 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다가가기형 아님</t>
    </r>
    <r>
      <rPr>
        <sz val="10"/>
        <rFont val="Malgun Gothic"/>
        <family val="0"/>
        <charset val="1"/>
      </rPr>
      <t xml:space="preserve">)</t>
    </r>
  </si>
  <si>
    <t xml:space="preserve">cards.5.practices.1.title</t>
  </si>
  <si>
    <t xml:space="preserve">지혜의 문장 지니기</t>
  </si>
  <si>
    <t xml:space="preserve">cards.5.practices.1.how</t>
  </si>
  <si>
    <r>
      <rPr>
        <sz val="10"/>
        <rFont val="Noto Sans CJK SC"/>
        <family val="2"/>
      </rPr>
      <t xml:space="preserve">마음에 남는 문장 하나를 골라 휴대폰 잠금 화면이나 메모에 일주일 동안 두어요</t>
    </r>
    <r>
      <rPr>
        <sz val="10"/>
        <rFont val="Malgun Gothic"/>
        <family val="0"/>
        <charset val="1"/>
      </rPr>
      <t xml:space="preserve">.</t>
    </r>
  </si>
  <si>
    <t xml:space="preserve">cards.5.practices.1.time</t>
  </si>
  <si>
    <t xml:space="preserve">cards.5.practices.1.why</t>
  </si>
  <si>
    <r>
      <rPr>
        <sz val="10"/>
        <rFont val="Noto Sans CJK SC"/>
        <family val="2"/>
      </rPr>
      <t xml:space="preserve">마음에 닿는 문장을 자주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흔들리는 순간에 꺼내 쓸 수 있는 생각의 닻이 돼요</t>
    </r>
    <r>
      <rPr>
        <sz val="10"/>
        <rFont val="Malgun Gothic"/>
        <family val="0"/>
        <charset val="1"/>
      </rPr>
      <t xml:space="preserve">.</t>
    </r>
  </si>
  <si>
    <t xml:space="preserve">cards.5.practices.2.title</t>
  </si>
  <si>
    <t xml:space="preserve">친구에게 쓰는 조언</t>
  </si>
  <si>
    <t xml:space="preserve">cards.5.practices.2.how</t>
  </si>
  <si>
    <r>
      <rPr>
        <sz val="10"/>
        <rFont val="Noto Sans CJK SC"/>
        <family val="2"/>
      </rPr>
      <t xml:space="preserve">같은 고민을 가진 친구가 있다면 무슨 말을 해 줄지 다섯 줄로 적어요</t>
    </r>
    <r>
      <rPr>
        <sz val="10"/>
        <rFont val="Malgun Gothic"/>
        <family val="0"/>
        <charset val="1"/>
      </rPr>
      <t xml:space="preserve">.</t>
    </r>
  </si>
  <si>
    <t xml:space="preserve">cards.5.practices.2.time</t>
  </si>
  <si>
    <t xml:space="preserve">cards.5.practices.2.why</t>
  </si>
  <si>
    <r>
      <rPr>
        <sz val="10"/>
        <rFont val="Noto Sans CJK SC"/>
        <family val="2"/>
      </rPr>
      <t xml:space="preserve">남에게 하는 조언은 나에게 하는 말보다 너그러워서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 고민을 한 발 떨어져 보게 해 줘요</t>
    </r>
    <r>
      <rPr>
        <sz val="10"/>
        <rFont val="Malgun Gothic"/>
        <family val="0"/>
        <charset val="1"/>
      </rPr>
      <t xml:space="preserve">.</t>
    </r>
  </si>
  <si>
    <t xml:space="preserve">cards.6.practices.0.title</t>
  </si>
  <si>
    <t xml:space="preserve">가치 카드 세 장</t>
  </si>
  <si>
    <t xml:space="preserve">cards.6.practices.0.how</t>
  </si>
  <si>
    <r>
      <rPr>
        <sz val="10"/>
        <rFont val="Noto Sans CJK SC"/>
        <family val="2"/>
      </rPr>
      <t xml:space="preserve">관계에서 내가 가장 소중히 여기는 가치 세 가지를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가치에 맞는 행동을 하나씩 붙여 봐요</t>
    </r>
    <r>
      <rPr>
        <sz val="10"/>
        <rFont val="Malgun Gothic"/>
        <family val="0"/>
        <charset val="1"/>
      </rPr>
      <t xml:space="preserve">.</t>
    </r>
  </si>
  <si>
    <t xml:space="preserve">cards.6.practices.0.time</t>
  </si>
  <si>
    <t xml:space="preserve">cards.6.practices.0.why</t>
  </si>
  <si>
    <r>
      <rPr>
        <sz val="10"/>
        <rFont val="Noto Sans CJK SC"/>
        <family val="2"/>
      </rPr>
      <t xml:space="preserve">내가 소중히 여기는 것이 분명해지면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상대의 반응에 덜 흔들리고 나다운 선택을 하기 쉬워져요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</si>
  <si>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2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</si>
  <si>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나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이론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기법명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전문 용어</t>
    </r>
    <r>
      <rPr>
        <sz val="10"/>
        <rFont val="Malgun Gothic"/>
        <family val="0"/>
        <charset val="1"/>
      </rPr>
      <t xml:space="preserve">) 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나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전달법 한 문장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</si>
  <si>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2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</si>
  <si>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누구에게 전하는지 빠져 있음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서운함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갈등을 상대에게 직접 말하게 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폭력 신호를 밝히지 않은 사용자에게는 위험할 수 있음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'</t>
    </r>
    <r>
      <rPr>
        <sz val="10"/>
        <rFont val="Noto Sans CJK SC"/>
        <family val="2"/>
      </rPr>
      <t xml:space="preserve">나는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할 때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하게 느껴져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라는 형식으로 내 마음 하나를 전해요</t>
    </r>
    <r>
      <rPr>
        <sz val="10"/>
        <rFont val="Malgun Gothic"/>
        <family val="0"/>
        <charset val="1"/>
      </rPr>
      <t xml:space="preserve">.)</t>
    </r>
  </si>
  <si>
    <t xml:space="preserve">cards.6.practices.1.time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</si>
  <si>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2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걸리는 시간</t>
    </r>
  </si>
  <si>
    <t xml:space="preserve">cards.6.practices.1.why</t>
  </si>
  <si>
    <r>
      <rPr>
        <sz val="10"/>
        <rFont val="Noto Sans CJK SC"/>
        <family val="2"/>
      </rPr>
      <t xml:space="preserve">실천 </t>
    </r>
    <r>
      <rPr>
        <sz val="10"/>
        <rFont val="Malgun Gothic"/>
        <family val="0"/>
        <charset val="1"/>
      </rPr>
      <t xml:space="preserve">2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</si>
  <si>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상대를 탓하는 대신 내 마음을 설명하면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방어 대신 이해가 오갈 자리가 생겨요</t>
    </r>
    <r>
      <rPr>
        <sz val="10"/>
        <rFont val="Malgun Gothic"/>
        <family val="0"/>
        <charset val="1"/>
      </rPr>
      <t xml:space="preserve">.</t>
    </r>
  </si>
  <si>
    <t xml:space="preserve">cards.6.practices.2.title</t>
  </si>
  <si>
    <t xml:space="preserve">작은 다가감</t>
  </si>
  <si>
    <t xml:space="preserve">cards.6.practices.2.how</t>
  </si>
  <si>
    <r>
      <rPr>
        <sz val="10"/>
        <rFont val="Noto Sans CJK SC"/>
        <family val="2"/>
      </rPr>
      <t xml:space="preserve">고마운 사람에게 구체적인 이유를 담은 짧은 메시지를 보내요</t>
    </r>
    <r>
      <rPr>
        <sz val="10"/>
        <rFont val="Malgun Gothic"/>
        <family val="0"/>
        <charset val="1"/>
      </rPr>
      <t xml:space="preserve">.</t>
    </r>
  </si>
  <si>
    <t xml:space="preserve">cards.6.practices.2.time</t>
  </si>
  <si>
    <t xml:space="preserve">cards.6.practices.2.why</t>
  </si>
  <si>
    <r>
      <rPr>
        <sz val="10"/>
        <rFont val="Noto Sans CJK SC"/>
        <family val="2"/>
      </rPr>
      <t xml:space="preserve">구체적인 고마움을 전하는 작은 행동은 관계에 따뜻한 연결의 경험을 하나씩 쌓아 줘요</t>
    </r>
    <r>
      <rPr>
        <sz val="10"/>
        <rFont val="Malgun Gothic"/>
        <family val="0"/>
        <charset val="1"/>
      </rPr>
      <t xml:space="preserve">.</t>
    </r>
  </si>
  <si>
    <t xml:space="preserve">cards.7.practices.0.title</t>
  </si>
  <si>
    <t xml:space="preserve">이번 주 방향 한 줄</t>
  </si>
  <si>
    <t xml:space="preserve">cards.7.practices.0.how</t>
  </si>
  <si>
    <r>
      <rPr>
        <sz val="10"/>
        <rFont val="Noto Sans CJK SC"/>
        <family val="2"/>
      </rPr>
      <t xml:space="preserve">이번 주에 가장 중요한 목표 하나를 한 문장으로 적어 눈에 보이는 곳에 붙여요</t>
    </r>
    <r>
      <rPr>
        <sz val="10"/>
        <rFont val="Malgun Gothic"/>
        <family val="0"/>
        <charset val="1"/>
      </rPr>
      <t xml:space="preserve">.</t>
    </r>
  </si>
  <si>
    <t xml:space="preserve">cards.7.practices.0.time</t>
  </si>
  <si>
    <t xml:space="preserve">cards.7.practices.0.why</t>
  </si>
  <si>
    <r>
      <rPr>
        <sz val="10"/>
        <rFont val="Noto Sans CJK SC"/>
        <family val="2"/>
      </rPr>
      <t xml:space="preserve">방향이 한 줄로 정리되면 여러 기대 사이에서 힘이 흩어지지 않고 한쪽으로 모여요</t>
    </r>
    <r>
      <rPr>
        <sz val="10"/>
        <rFont val="Malgun Gothic"/>
        <family val="0"/>
        <charset val="1"/>
      </rPr>
      <t xml:space="preserve">.</t>
    </r>
  </si>
  <si>
    <t xml:space="preserve">cards.7.practices.1.title</t>
  </si>
  <si>
    <r>
      <rPr>
        <sz val="10"/>
        <rFont val="Noto Sans CJK SC"/>
        <family val="2"/>
      </rPr>
      <t xml:space="preserve">만약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그러면 계획</t>
    </r>
  </si>
  <si>
    <t xml:space="preserve">cards.7.practices.1.how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</si>
  <si>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만약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한 상황이 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나는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를 한다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문장을 하나 만들어 둬요</t>
    </r>
    <r>
      <rPr>
        <sz val="10"/>
        <rFont val="Malgun Gothic"/>
        <family val="0"/>
        <charset val="1"/>
      </rPr>
      <t xml:space="preserve">.</t>
    </r>
  </si>
  <si>
    <t xml:space="preserve">cards.7.practices.1.time</t>
  </si>
  <si>
    <t xml:space="preserve">cards.7.practices.1.why</t>
  </si>
  <si>
    <r>
      <rPr>
        <sz val="10"/>
        <rFont val="Noto Sans CJK SC"/>
        <family val="2"/>
      </rPr>
      <t xml:space="preserve">상황과 행동을 미리 짝지어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막상 그 순간이 왔을 때 고민 없이 움직이기 쉬워져요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</si>
  <si>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잘되다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잘 된 흐름 찾기</t>
    </r>
    <r>
      <rPr>
        <sz val="10"/>
        <rFont val="Malgun Gothic"/>
        <family val="0"/>
        <charset val="1"/>
      </rPr>
      <t xml:space="preserve">)</t>
    </r>
  </si>
  <si>
    <t xml:space="preserve">cards.7.practices.2.how</t>
  </si>
  <si>
    <r>
      <rPr>
        <sz val="10"/>
        <rFont val="Noto Sans CJK SC"/>
        <family val="2"/>
      </rPr>
      <t xml:space="preserve">최근 잘 풀린 일 하나와 그때 도움이 된 조건을 적어요</t>
    </r>
    <r>
      <rPr>
        <sz val="10"/>
        <rFont val="Malgun Gothic"/>
        <family val="0"/>
        <charset val="1"/>
      </rPr>
      <t xml:space="preserve">.</t>
    </r>
  </si>
  <si>
    <t xml:space="preserve">cards.7.practices.2.time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</si>
  <si>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잘되다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이미 잘 된 경험에서 조건을 찾으면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새로 애쓰기보다 그 흐름을 다시 만들 수 있어요</t>
    </r>
    <r>
      <rPr>
        <sz val="10"/>
        <rFont val="Malgun Gothic"/>
        <family val="0"/>
        <charset val="1"/>
      </rPr>
      <t xml:space="preserve">.)</t>
    </r>
  </si>
  <si>
    <t xml:space="preserve">cards.8.practices.0.title</t>
  </si>
  <si>
    <t xml:space="preserve">감정에 이름 붙이기</t>
  </si>
  <si>
    <t xml:space="preserve">cards.8.practices.0.how</t>
  </si>
  <si>
    <r>
      <rPr>
        <sz val="10"/>
        <rFont val="Noto Sans CJK SC"/>
        <family val="2"/>
      </rPr>
      <t xml:space="preserve">지금 느끼는 감정을 한 단어로 이름 붙이고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나는 지금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를 느끼고 있구나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라고 말해요</t>
    </r>
    <r>
      <rPr>
        <sz val="10"/>
        <rFont val="Malgun Gothic"/>
        <family val="0"/>
        <charset val="1"/>
      </rPr>
      <t xml:space="preserve">.</t>
    </r>
  </si>
  <si>
    <t xml:space="preserve">cards.8.practices.0.time</t>
  </si>
  <si>
    <t xml:space="preserve">cards.8.practices.0.why</t>
  </si>
  <si>
    <r>
      <rPr>
        <sz val="10"/>
        <rFont val="Noto Sans CJK SC"/>
        <family val="2"/>
      </rPr>
      <t xml:space="preserve">감정에 이름을 붙이면 그 감정의 세기가 한결 누그러지는 것으로 알려져 있어요</t>
    </r>
    <r>
      <rPr>
        <sz val="10"/>
        <rFont val="Malgun Gothic"/>
        <family val="0"/>
        <charset val="1"/>
      </rPr>
      <t xml:space="preserve">.</t>
    </r>
  </si>
  <si>
    <t xml:space="preserve">cards.8.practices.1.title</t>
  </si>
  <si>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분 감정 바라보기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</si>
  <si>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그 감정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가리키는 대상이 이 문장만으로는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따로 보이면 어색</t>
    </r>
    <r>
      <rPr>
        <sz val="10"/>
        <rFont val="Malgun Gothic"/>
        <family val="0"/>
        <charset val="1"/>
      </rPr>
      <t xml:space="preserve">) 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그 감정이 몸 어디에서 느껴지는지 찾아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분 동안 바꾸려 하지 않고 바라봐요</t>
    </r>
    <r>
      <rPr>
        <sz val="10"/>
        <rFont val="Malgun Gothic"/>
        <family val="0"/>
        <charset val="1"/>
      </rPr>
      <t xml:space="preserve">.)</t>
    </r>
  </si>
  <si>
    <t xml:space="preserve">cards.8.practices.1.time</t>
  </si>
  <si>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분</t>
    </r>
  </si>
  <si>
    <t xml:space="preserve">cards.8.practices.1.why</t>
  </si>
  <si>
    <r>
      <rPr>
        <sz val="10"/>
        <rFont val="Noto Sans CJK SC"/>
        <family val="2"/>
      </rPr>
      <t xml:space="preserve">감정을 밀어내지 않고 바라보면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파도처럼 올라왔다 가라앉는 흐름을 직접 경험하게 돼요</t>
    </r>
    <r>
      <rPr>
        <sz val="10"/>
        <rFont val="Malgun Gothic"/>
        <family val="0"/>
        <charset val="1"/>
      </rPr>
      <t xml:space="preserve">.</t>
    </r>
  </si>
  <si>
    <t xml:space="preserve">cards.8.practices.2.title</t>
  </si>
  <si>
    <t xml:space="preserve">견뎌 낸 것 목록</t>
  </si>
  <si>
    <t xml:space="preserve">cards.8.practices.2.how</t>
  </si>
  <si>
    <r>
      <rPr>
        <sz val="10"/>
        <rFont val="Noto Sans CJK SC"/>
        <family val="2"/>
      </rPr>
      <t xml:space="preserve">지금까지 잘 견뎌 낸 일 세 가지를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그때 나를 버티게 한 것을 옆에 써요</t>
    </r>
    <r>
      <rPr>
        <sz val="10"/>
        <rFont val="Malgun Gothic"/>
        <family val="0"/>
        <charset val="1"/>
      </rPr>
      <t xml:space="preserve">.</t>
    </r>
  </si>
  <si>
    <t xml:space="preserve">cards.8.practices.2.time</t>
  </si>
  <si>
    <t xml:space="preserve">cards.8.practices.2.why</t>
  </si>
  <si>
    <r>
      <rPr>
        <sz val="10"/>
        <rFont val="Noto Sans CJK SC"/>
        <family val="2"/>
      </rPr>
      <t xml:space="preserve">이미 견뎌 낸 일을 떠올리면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지금의 불편함도 지나갈 수 있다는 믿음이 단단해져요</t>
    </r>
    <r>
      <rPr>
        <sz val="10"/>
        <rFont val="Malgun Gothic"/>
        <family val="0"/>
        <charset val="1"/>
      </rPr>
      <t xml:space="preserve">.</t>
    </r>
  </si>
  <si>
    <t xml:space="preserve">cards.9.practices.0.title</t>
  </si>
  <si>
    <t xml:space="preserve">휴대폰 없는 산책</t>
  </si>
  <si>
    <t xml:space="preserve">cards.9.practices.0.how</t>
  </si>
  <si>
    <r>
      <rPr>
        <sz val="10"/>
        <rFont val="Malgun Gothic"/>
        <family val="0"/>
        <charset val="1"/>
      </rPr>
      <t xml:space="preserve">20</t>
    </r>
    <r>
      <rPr>
        <sz val="10"/>
        <rFont val="Noto Sans CJK SC"/>
        <family val="2"/>
      </rPr>
      <t xml:space="preserve">분 동안 휴대폰을 두고 걸으며 떠오르는 생각을 그냥 흘려보내요</t>
    </r>
    <r>
      <rPr>
        <sz val="10"/>
        <rFont val="Malgun Gothic"/>
        <family val="0"/>
        <charset val="1"/>
      </rPr>
      <t xml:space="preserve">.</t>
    </r>
  </si>
  <si>
    <t xml:space="preserve">cards.9.practices.0.time</t>
  </si>
  <si>
    <r>
      <rPr>
        <sz val="10"/>
        <rFont val="Malgun Gothic"/>
        <family val="0"/>
        <charset val="1"/>
      </rPr>
      <t xml:space="preserve">20</t>
    </r>
    <r>
      <rPr>
        <sz val="10"/>
        <rFont val="Noto Sans CJK SC"/>
        <family val="2"/>
      </rPr>
      <t xml:space="preserve">분</t>
    </r>
  </si>
  <si>
    <t xml:space="preserve">cards.9.practices.0.why</t>
  </si>
  <si>
    <r>
      <rPr>
        <sz val="10"/>
        <rFont val="Noto Sans CJK SC"/>
        <family val="2"/>
      </rPr>
      <t xml:space="preserve">자극 없이 걷는 시간은 생각이 스스로 정리될 여백을 만들어 줘요</t>
    </r>
    <r>
      <rPr>
        <sz val="10"/>
        <rFont val="Malgun Gothic"/>
        <family val="0"/>
        <charset val="1"/>
      </rPr>
      <t xml:space="preserve">.</t>
    </r>
  </si>
  <si>
    <t xml:space="preserve">cards.9.practices.1.title</t>
  </si>
  <si>
    <t xml:space="preserve">한 질문 일기</t>
  </si>
  <si>
    <t xml:space="preserve">cards.9.practices.1.how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</si>
  <si>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요즘 나에게 가장 중요한 것은</t>
    </r>
    <r>
      <rPr>
        <sz val="10"/>
        <rFont val="Malgun Gothic"/>
        <family val="0"/>
        <charset val="1"/>
      </rPr>
      <t xml:space="preserve">?' </t>
    </r>
    <r>
      <rPr>
        <sz val="10"/>
        <rFont val="Noto Sans CJK SC"/>
        <family val="2"/>
      </rPr>
      <t xml:space="preserve">한 질문에만 답을 적어요</t>
    </r>
    <r>
      <rPr>
        <sz val="10"/>
        <rFont val="Malgun Gothic"/>
        <family val="0"/>
        <charset val="1"/>
      </rPr>
      <t xml:space="preserve">.</t>
    </r>
  </si>
  <si>
    <t xml:space="preserve">cards.9.practices.1.time</t>
  </si>
  <si>
    <t xml:space="preserve">cards.9.practices.1.why</t>
  </si>
  <si>
    <r>
      <rPr>
        <sz val="10"/>
        <rFont val="Noto Sans CJK SC"/>
        <family val="2"/>
      </rPr>
      <t xml:space="preserve">질문 하나에만 답하다 보면 흩어져 있던 생각이 나에게 중요한 것 쪽으로 모여요</t>
    </r>
    <r>
      <rPr>
        <sz val="10"/>
        <rFont val="Malgun Gothic"/>
        <family val="0"/>
        <charset val="1"/>
      </rPr>
      <t xml:space="preserve">.</t>
    </r>
  </si>
  <si>
    <t xml:space="preserve">cards.9.practices.2.title</t>
  </si>
  <si>
    <t xml:space="preserve">등불 한 사람</t>
  </si>
  <si>
    <t xml:space="preserve">cards.9.practices.2.how</t>
  </si>
  <si>
    <r>
      <rPr>
        <sz val="10"/>
        <rFont val="Noto Sans CJK SC"/>
        <family val="2"/>
      </rPr>
      <t xml:space="preserve">안부를 묻고 싶은 사람 한 명에게 짧은 연락을 보내요</t>
    </r>
    <r>
      <rPr>
        <sz val="10"/>
        <rFont val="Malgun Gothic"/>
        <family val="0"/>
        <charset val="1"/>
      </rPr>
      <t xml:space="preserve">.</t>
    </r>
  </si>
  <si>
    <t xml:space="preserve">cards.9.practices.2.time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</si>
  <si>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'~</t>
    </r>
    <r>
      <rPr>
        <sz val="10"/>
        <rFont val="Noto Sans CJK SC"/>
        <family val="2"/>
      </rPr>
      <t xml:space="preserve">면 </t>
    </r>
    <r>
      <rPr>
        <sz val="10"/>
        <rFont val="Malgun Gothic"/>
        <family val="0"/>
        <charset val="1"/>
      </rPr>
      <t xml:space="preserve">... </t>
    </r>
    <r>
      <rPr>
        <sz val="10"/>
        <rFont val="Noto Sans CJK SC"/>
        <family val="2"/>
      </rPr>
      <t xml:space="preserve">지켜 줘요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주어가 없어 문장이 맞지 않음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혼자만의 시간에도 연결 하나를 이어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고독이 고립으로 바뀌지 않게 지켜 줘요</t>
    </r>
    <r>
      <rPr>
        <sz val="10"/>
        <rFont val="Malgun Gothic"/>
        <family val="0"/>
        <charset val="1"/>
      </rPr>
      <t xml:space="preserve">.)</t>
    </r>
  </si>
  <si>
    <t xml:space="preserve">cards.10.practices.0.title</t>
  </si>
  <si>
    <t xml:space="preserve">지나간 파도 떠올리기</t>
  </si>
  <si>
    <t xml:space="preserve">cards.10.practices.0.how</t>
  </si>
  <si>
    <r>
      <rPr>
        <sz val="10"/>
        <rFont val="Noto Sans CJK SC"/>
        <family val="2"/>
      </rPr>
      <t xml:space="preserve">예전에 지나간 힘든 시기 하나와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그때 도움이 됐던 것을 적어요</t>
    </r>
    <r>
      <rPr>
        <sz val="10"/>
        <rFont val="Malgun Gothic"/>
        <family val="0"/>
        <charset val="1"/>
      </rPr>
      <t xml:space="preserve">.</t>
    </r>
  </si>
  <si>
    <t xml:space="preserve">cards.10.practices.0.time</t>
  </si>
  <si>
    <t xml:space="preserve">cards.10.practices.0.why</t>
  </si>
  <si>
    <r>
      <rPr>
        <sz val="10"/>
        <rFont val="Noto Sans CJK SC"/>
        <family val="2"/>
      </rPr>
      <t xml:space="preserve">힘든 시기를 지나온 기억은 지금의 물살도 지나갈 수 있다는 가장 가까운 증거가 돼요</t>
    </r>
    <r>
      <rPr>
        <sz val="10"/>
        <rFont val="Malgun Gothic"/>
        <family val="0"/>
        <charset val="1"/>
      </rPr>
      <t xml:space="preserve">.</t>
    </r>
  </si>
  <si>
    <t xml:space="preserve">cards.10.practices.1.title</t>
  </si>
  <si>
    <t xml:space="preserve">오늘 고를 수 있는 것 세 가지</t>
  </si>
  <si>
    <t xml:space="preserve">cards.10.practices.1.how</t>
  </si>
  <si>
    <r>
      <rPr>
        <sz val="10"/>
        <rFont val="Noto Sans CJK SC"/>
        <family val="2"/>
      </rPr>
      <t xml:space="preserve">오늘 하루 중 내가 고를 수 있는 것 세 가지를 적고 하나를 골라 해요</t>
    </r>
    <r>
      <rPr>
        <sz val="10"/>
        <rFont val="Malgun Gothic"/>
        <family val="0"/>
        <charset val="1"/>
      </rPr>
      <t xml:space="preserve">.</t>
    </r>
  </si>
  <si>
    <t xml:space="preserve">cards.10.practices.1.time</t>
  </si>
  <si>
    <t xml:space="preserve">cards.10.practices.1.why</t>
  </si>
  <si>
    <r>
      <rPr>
        <sz val="10"/>
        <rFont val="Noto Sans CJK SC"/>
        <family val="2"/>
      </rPr>
      <t xml:space="preserve">바꿀 수 없는 흐름 속에서도 고를 수 있는 것을 찾으면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휩쓸리는 느낌 대신 방향 감각이 돌아와요</t>
    </r>
    <r>
      <rPr>
        <sz val="10"/>
        <rFont val="Malgun Gothic"/>
        <family val="0"/>
        <charset val="1"/>
      </rPr>
      <t xml:space="preserve">.</t>
    </r>
  </si>
  <si>
    <t xml:space="preserve">cards.10.practices.2.title</t>
  </si>
  <si>
    <t xml:space="preserve">일주일 마음 날씨</t>
  </si>
  <si>
    <t xml:space="preserve">cards.10.practices.2.how</t>
  </si>
  <si>
    <r>
      <rPr>
        <sz val="10"/>
        <rFont val="Noto Sans CJK SC"/>
        <family val="2"/>
      </rPr>
      <t xml:space="preserve">일주일 동안 하루 한 번 마음 날씨를 맑음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흐림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비로 기록해요</t>
    </r>
    <r>
      <rPr>
        <sz val="10"/>
        <rFont val="Malgun Gothic"/>
        <family val="0"/>
        <charset val="1"/>
      </rPr>
      <t xml:space="preserve">.</t>
    </r>
  </si>
  <si>
    <t xml:space="preserve">cards.10.practices.2.time</t>
  </si>
  <si>
    <t xml:space="preserve">cards.10.practices.2.why</t>
  </si>
  <si>
    <r>
      <rPr>
        <sz val="10"/>
        <rFont val="Noto Sans CJK SC"/>
        <family val="2"/>
      </rPr>
      <t xml:space="preserve">마음 날씨를 기록하면 기분도 날씨처럼 바뀌고 지나간다는 걸 눈으로 확인할 수 있어요</t>
    </r>
    <r>
      <rPr>
        <sz val="10"/>
        <rFont val="Malgun Gothic"/>
        <family val="0"/>
        <charset val="1"/>
      </rPr>
      <t xml:space="preserve">.</t>
    </r>
  </si>
  <si>
    <t xml:space="preserve">cards.11.practices.0.title</t>
  </si>
  <si>
    <t xml:space="preserve">사실과 해석 나누기</t>
  </si>
  <si>
    <t xml:space="preserve">cards.11.practices.0.how</t>
  </si>
  <si>
    <r>
      <rPr>
        <sz val="10"/>
        <rFont val="Noto Sans CJK SC"/>
        <family val="2"/>
      </rPr>
      <t xml:space="preserve">종이를 반으로 나눠 왼쪽엔 실제로 일어난 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오른쪽엔 내 해석을 적어요</t>
    </r>
    <r>
      <rPr>
        <sz val="10"/>
        <rFont val="Malgun Gothic"/>
        <family val="0"/>
        <charset val="1"/>
      </rPr>
      <t xml:space="preserve">.</t>
    </r>
  </si>
  <si>
    <t xml:space="preserve">cards.11.practices.0.time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</si>
  <si>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무겁게 하던 것이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일어난 일이 아니라 내 해석이었음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이라고 단정 — 실제로 힘든 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폭력 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겪는 사람에게 상처가 될 수 있음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사실과 해석을 떼어 놓으면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마음을 무겁게 하던 것이 일어난 일이 아니라 내 해석이었음을 알아차리기 쉬워져요</t>
    </r>
    <r>
      <rPr>
        <sz val="10"/>
        <rFont val="Malgun Gothic"/>
        <family val="0"/>
        <charset val="1"/>
      </rPr>
      <t xml:space="preserve">.)</t>
    </r>
  </si>
  <si>
    <t xml:space="preserve">cards.11.practices.1.title</t>
  </si>
  <si>
    <t xml:space="preserve">친구의 저울</t>
  </si>
  <si>
    <t xml:space="preserve">cards.11.practices.1.how</t>
  </si>
  <si>
    <r>
      <rPr>
        <sz val="10"/>
        <rFont val="Noto Sans CJK SC"/>
        <family val="2"/>
      </rPr>
      <t xml:space="preserve">친한 친구가 같은 일을 겪었다면 어떻게 판단해 줄지 적어 봐요</t>
    </r>
    <r>
      <rPr>
        <sz val="10"/>
        <rFont val="Malgun Gothic"/>
        <family val="0"/>
        <charset val="1"/>
      </rPr>
      <t xml:space="preserve">.</t>
    </r>
  </si>
  <si>
    <t xml:space="preserve">cards.11.practices.1.time</t>
  </si>
  <si>
    <t xml:space="preserve">cards.11.practices.1.why</t>
  </si>
  <si>
    <r>
      <rPr>
        <sz val="10"/>
        <rFont val="Noto Sans CJK SC"/>
        <family val="2"/>
      </rPr>
      <t xml:space="preserve">친구를 대하듯 나를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나에게만 엄격했던 기준이 조금 공정해져요</t>
    </r>
    <r>
      <rPr>
        <sz val="10"/>
        <rFont val="Malgun Gothic"/>
        <family val="0"/>
        <charset val="1"/>
      </rPr>
      <t xml:space="preserve">.</t>
    </r>
  </si>
  <si>
    <t xml:space="preserve">cards.11.practices.2.title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</si>
  <si>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그리고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문장 하나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</si>
  <si>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'~</t>
    </r>
    <r>
      <rPr>
        <sz val="10"/>
        <rFont val="Noto Sans CJK SC"/>
        <family val="2"/>
      </rPr>
      <t xml:space="preserve">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그리고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연결이 겹침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'~</t>
    </r>
    <r>
      <rPr>
        <sz val="10"/>
        <rFont val="Noto Sans CJK SC"/>
        <family val="2"/>
      </rPr>
      <t xml:space="preserve">이긴 하지만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Malgun Gothic"/>
        <family val="0"/>
        <charset val="1"/>
      </rPr>
      <t xml:space="preserve">'~</t>
    </r>
    <r>
      <rPr>
        <sz val="10"/>
        <rFont val="Noto Sans CJK SC"/>
        <family val="2"/>
      </rPr>
      <t xml:space="preserve">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그리고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이기도 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바꿔 한 문장을 써요</t>
    </r>
    <r>
      <rPr>
        <sz val="10"/>
        <rFont val="Malgun Gothic"/>
        <family val="0"/>
        <charset val="1"/>
      </rPr>
      <t xml:space="preserve">.)</t>
    </r>
  </si>
  <si>
    <t xml:space="preserve">cards.11.practices.2.time</t>
  </si>
  <si>
    <t xml:space="preserve">cards.11.practices.2.why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</si>
  <si>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하지만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그리고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이으면 두 사실이 함께 있을 수 있어서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흑백으로 판단하던 마음이 누그러져요</t>
    </r>
    <r>
      <rPr>
        <sz val="10"/>
        <rFont val="Malgun Gothic"/>
        <family val="0"/>
        <charset val="1"/>
      </rPr>
      <t xml:space="preserve">.</t>
    </r>
  </si>
  <si>
    <t xml:space="preserve">cards.12.practices.0.title</t>
  </si>
  <si>
    <r>
      <rPr>
        <sz val="10"/>
        <rFont val="Noto Sans CJK SC"/>
        <family val="2"/>
      </rPr>
      <t xml:space="preserve">아무것도 안 하는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분</t>
    </r>
  </si>
  <si>
    <t xml:space="preserve">cards.12.practices.0.how</t>
  </si>
  <si>
    <r>
      <rPr>
        <sz val="10"/>
        <rFont val="Noto Sans CJK SC"/>
        <family val="2"/>
      </rPr>
      <t xml:space="preserve">생산적인 일을 하지 않는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분을 정해 두고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시간에는 쉬는 것만 해요</t>
    </r>
    <r>
      <rPr>
        <sz val="10"/>
        <rFont val="Malgun Gothic"/>
        <family val="0"/>
        <charset val="1"/>
      </rPr>
      <t xml:space="preserve">.</t>
    </r>
  </si>
  <si>
    <t xml:space="preserve">cards.12.practices.0.time</t>
  </si>
  <si>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분</t>
    </r>
  </si>
  <si>
    <t xml:space="preserve">cards.12.practices.0.why</t>
  </si>
  <si>
    <r>
      <rPr>
        <sz val="10"/>
        <rFont val="Noto Sans CJK SC"/>
        <family val="2"/>
      </rPr>
      <t xml:space="preserve">목적 없는 쉼은 일에서 마음을 떼어 놓는 연습이 되어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짧아도 회복을 도와줘요</t>
    </r>
    <r>
      <rPr>
        <sz val="10"/>
        <rFont val="Malgun Gothic"/>
        <family val="0"/>
        <charset val="1"/>
      </rPr>
      <t xml:space="preserve">.</t>
    </r>
  </si>
  <si>
    <t xml:space="preserve">cards.12.practices.1.title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</si>
  <si>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년 뒤에서 보기</t>
    </r>
  </si>
  <si>
    <t xml:space="preserve">cards.12.practices.1.how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</si>
  <si>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일이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년 뒤의 나에게는 어떤 의미일까</t>
    </r>
    <r>
      <rPr>
        <sz val="10"/>
        <rFont val="Malgun Gothic"/>
        <family val="0"/>
        <charset val="1"/>
      </rPr>
      <t xml:space="preserve">?'</t>
    </r>
    <r>
      <rPr>
        <sz val="10"/>
        <rFont val="Noto Sans CJK SC"/>
        <family val="2"/>
      </rPr>
      <t xml:space="preserve">에 세 줄로 답해요</t>
    </r>
    <r>
      <rPr>
        <sz val="10"/>
        <rFont val="Malgun Gothic"/>
        <family val="0"/>
        <charset val="1"/>
      </rPr>
      <t xml:space="preserve">.</t>
    </r>
  </si>
  <si>
    <t xml:space="preserve">cards.12.practices.1.time</t>
  </si>
  <si>
    <t xml:space="preserve">cards.12.practices.1.why</t>
  </si>
  <si>
    <r>
      <rPr>
        <sz val="10"/>
        <rFont val="Noto Sans CJK SC"/>
        <family val="2"/>
      </rPr>
      <t xml:space="preserve">시간을 멀리 두고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크게 느껴지는 일의 무게가 알맞은 크기로 돌아와요</t>
    </r>
    <r>
      <rPr>
        <sz val="10"/>
        <rFont val="Malgun Gothic"/>
        <family val="0"/>
        <charset val="1"/>
      </rPr>
      <t xml:space="preserve">.</t>
    </r>
  </si>
  <si>
    <t xml:space="preserve">cards.12.practices.2.title</t>
  </si>
  <si>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</rPr>
      <t xml:space="preserve">분 일찍 눕기</t>
    </r>
  </si>
  <si>
    <t xml:space="preserve">cards.12.practices.2.how</t>
  </si>
  <si>
    <r>
      <rPr>
        <sz val="10"/>
        <rFont val="Noto Sans CJK SC"/>
        <family val="2"/>
      </rPr>
      <t xml:space="preserve">오늘은 평소보다 </t>
    </r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</rPr>
      <t xml:space="preserve">분 일찍 불을 끄고 누워요</t>
    </r>
    <r>
      <rPr>
        <sz val="10"/>
        <rFont val="Malgun Gothic"/>
        <family val="0"/>
        <charset val="1"/>
      </rPr>
      <t xml:space="preserve">.</t>
    </r>
  </si>
  <si>
    <t xml:space="preserve">cards.12.practices.2.time</t>
  </si>
  <si>
    <t xml:space="preserve">오늘 밤</t>
  </si>
  <si>
    <t xml:space="preserve">cards.12.practices.2.why</t>
  </si>
  <si>
    <r>
      <rPr>
        <sz val="10"/>
        <rFont val="Noto Sans CJK SC"/>
        <family val="2"/>
      </rPr>
      <t xml:space="preserve">충분한 잠은 감정을 다스리고 회복하는 바탕이라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작은 수면 변화가 다음 날의 여유를 만들어 줘요</t>
    </r>
    <r>
      <rPr>
        <sz val="10"/>
        <rFont val="Malgun Gothic"/>
        <family val="0"/>
        <charset val="1"/>
      </rPr>
      <t xml:space="preserve">.</t>
    </r>
  </si>
  <si>
    <t xml:space="preserve">cards.13.practices.0.title</t>
  </si>
  <si>
    <t xml:space="preserve">고마움과 작별 편지</t>
  </si>
  <si>
    <t xml:space="preserve">cards.13.practices.0.how</t>
  </si>
  <si>
    <r>
      <rPr>
        <sz val="10"/>
        <rFont val="Noto Sans CJK SC"/>
        <family val="2"/>
      </rPr>
      <t xml:space="preserve">끝나 가는 것에게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고마웠던 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이제 내려놓을 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 담은 짧은 편지를 써요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보내지 않아도 돼요</t>
    </r>
    <r>
      <rPr>
        <sz val="10"/>
        <rFont val="Malgun Gothic"/>
        <family val="0"/>
        <charset val="1"/>
      </rPr>
      <t xml:space="preserve">.</t>
    </r>
  </si>
  <si>
    <t xml:space="preserve">cards.13.practices.0.time</t>
  </si>
  <si>
    <t xml:space="preserve">cards.13.practices.0.why</t>
  </si>
  <si>
    <r>
      <rPr>
        <sz val="10"/>
        <rFont val="Noto Sans CJK SC"/>
        <family val="2"/>
      </rPr>
      <t xml:space="preserve">끝나는 것에 고마움과 작별을 함께 전하면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아쉬움을 억누르지 않고 정리할 수 있어요</t>
    </r>
    <r>
      <rPr>
        <sz val="10"/>
        <rFont val="Malgun Gothic"/>
        <family val="0"/>
        <charset val="1"/>
      </rPr>
      <t xml:space="preserve">.</t>
    </r>
  </si>
  <si>
    <t xml:space="preserve">cards.13.practices.1.title</t>
  </si>
  <si>
    <t xml:space="preserve">두 개의 목록</t>
  </si>
  <si>
    <t xml:space="preserve">cards.13.practices.1.how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</si>
  <si>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가져갈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두고 갈 것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두 목록을 나란히 적어요</t>
    </r>
    <r>
      <rPr>
        <sz val="10"/>
        <rFont val="Malgun Gothic"/>
        <family val="0"/>
        <charset val="1"/>
      </rPr>
      <t xml:space="preserve">.</t>
    </r>
  </si>
  <si>
    <t xml:space="preserve">cards.13.practices.1.time</t>
  </si>
  <si>
    <t xml:space="preserve">cards.13.practices.1.why</t>
  </si>
  <si>
    <r>
      <rPr>
        <sz val="10"/>
        <rFont val="Noto Sans CJK SC"/>
        <family val="2"/>
      </rPr>
      <t xml:space="preserve">가져갈 것과 두고 갈 것을 나누면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끝이 전부를 잃는 일이 아니라는 걸 확인할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</si>
  <si>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새 집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방법</t>
    </r>
    <r>
      <rPr>
        <sz val="10"/>
        <rFont val="Malgun Gothic"/>
        <family val="0"/>
        <charset val="1"/>
      </rPr>
      <t xml:space="preserve">(6</t>
    </r>
    <r>
      <rPr>
        <sz val="10"/>
        <rFont val="Noto Sans CJK SC"/>
        <family val="2"/>
      </rPr>
      <t xml:space="preserve">개월 뒤의 평범한 하루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과 맞지 않아 이사로 읽힘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새 집의 하루</t>
    </r>
    <r>
      <rPr>
        <sz val="10"/>
        <rFont val="Malgun Gothic"/>
        <family val="0"/>
        <charset val="1"/>
      </rPr>
      <t xml:space="preserve">)</t>
    </r>
  </si>
  <si>
    <t xml:space="preserve">cards.13.practices.2.how</t>
  </si>
  <si>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개월 뒤 나의 평범한 하루를 다섯 문장으로 그려 봐요</t>
    </r>
    <r>
      <rPr>
        <sz val="10"/>
        <rFont val="Malgun Gothic"/>
        <family val="0"/>
        <charset val="1"/>
      </rPr>
      <t xml:space="preserve">.</t>
    </r>
  </si>
  <si>
    <t xml:space="preserve">cards.13.practices.2.time</t>
  </si>
  <si>
    <t xml:space="preserve">cards.13.practices.2.why</t>
  </si>
  <si>
    <r>
      <rPr>
        <sz val="10"/>
        <rFont val="Noto Sans CJK SC"/>
        <family val="2"/>
      </rPr>
      <t xml:space="preserve">구체적으로 그려 본 앞날은 막연한 두려움 대신 걸어 들어갈 수 있는 장면이 되어 줘요</t>
    </r>
    <r>
      <rPr>
        <sz val="10"/>
        <rFont val="Malgun Gothic"/>
        <family val="0"/>
        <charset val="1"/>
      </rPr>
      <t xml:space="preserve">.</t>
    </r>
  </si>
  <si>
    <t xml:space="preserve">cards.14.practices.0.title</t>
  </si>
  <si>
    <t xml:space="preserve">이번 주 비율 정하기</t>
  </si>
  <si>
    <t xml:space="preserve">cards.14.practices.0.how</t>
  </si>
  <si>
    <r>
      <rPr>
        <sz val="10"/>
        <rFont val="Noto Sans CJK SC"/>
        <family val="2"/>
      </rPr>
      <t xml:space="preserve">이번 주 일과 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나와 남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의 비율을 숫자로 정하고 하루 끝에 맞았는지 체크해요</t>
    </r>
    <r>
      <rPr>
        <sz val="10"/>
        <rFont val="Malgun Gothic"/>
        <family val="0"/>
        <charset val="1"/>
      </rPr>
      <t xml:space="preserve">.</t>
    </r>
  </si>
  <si>
    <t xml:space="preserve">cards.14.practices.0.time</t>
  </si>
  <si>
    <t xml:space="preserve">cards.14.practices.0.why</t>
  </si>
  <si>
    <r>
      <rPr>
        <sz val="10"/>
        <rFont val="Noto Sans CJK SC"/>
        <family val="2"/>
      </rPr>
      <t xml:space="preserve">전부 아니면 전무 대신 비율로 정하면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양쪽을 모두 챙길 수 있는 현실적인 균형이 생겨요</t>
    </r>
    <r>
      <rPr>
        <sz val="10"/>
        <rFont val="Malgun Gothic"/>
        <family val="0"/>
        <charset val="1"/>
      </rPr>
      <t xml:space="preserve">.</t>
    </r>
  </si>
  <si>
    <t xml:space="preserve">cards.14.practices.1.title</t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</si>
  <si>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그리고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잇기</t>
    </r>
  </si>
  <si>
    <t xml:space="preserve">cards.14.practices.1.how</t>
  </si>
  <si>
    <r>
      <rPr>
        <sz val="10"/>
        <rFont val="Noto Sans CJK SC"/>
        <family val="2"/>
      </rPr>
      <t xml:space="preserve">서로 부딪히는 두 마음을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그리고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이어 한 문장으로 써요</t>
    </r>
    <r>
      <rPr>
        <sz val="10"/>
        <rFont val="Malgun Gothic"/>
        <family val="0"/>
        <charset val="1"/>
      </rPr>
      <t xml:space="preserve">.</t>
    </r>
  </si>
  <si>
    <t xml:space="preserve">cards.14.practices.1.time</t>
  </si>
  <si>
    <t xml:space="preserve">cards.14.practices.1.why</t>
  </si>
  <si>
    <r>
      <rPr>
        <sz val="10"/>
        <rFont val="Noto Sans CJK SC"/>
        <family val="2"/>
      </rPr>
      <t xml:space="preserve">부딪히는 두 마음을 함께 인정하면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하나를 고르느라 지치던 긴장이 줄어들어요</t>
    </r>
    <r>
      <rPr>
        <sz val="10"/>
        <rFont val="Malgun Gothic"/>
        <family val="0"/>
        <charset val="1"/>
      </rPr>
      <t xml:space="preserve">.</t>
    </r>
  </si>
  <si>
    <t xml:space="preserve">cards.14.practices.2.title</t>
  </si>
  <si>
    <t xml:space="preserve">중간 길 세 개</t>
  </si>
  <si>
    <t xml:space="preserve">cards.14.practices.2.how</t>
  </si>
  <si>
    <r>
      <rPr>
        <sz val="10"/>
        <rFont val="Noto Sans CJK SC"/>
        <family val="2"/>
      </rPr>
      <t xml:space="preserve">양 끝 선택지 사이에 들어갈 중간 선택지 세 개를 적어요</t>
    </r>
    <r>
      <rPr>
        <sz val="10"/>
        <rFont val="Malgun Gothic"/>
        <family val="0"/>
        <charset val="1"/>
      </rPr>
      <t xml:space="preserve">.</t>
    </r>
  </si>
  <si>
    <t xml:space="preserve">cards.14.practices.2.time</t>
  </si>
  <si>
    <t xml:space="preserve">cards.14.practices.2.why</t>
  </si>
  <si>
    <r>
      <rPr>
        <sz val="10"/>
        <rFont val="Noto Sans CJK SC"/>
        <family val="2"/>
      </rPr>
      <t xml:space="preserve">양 끝 사이의 선택지를 늘리면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막다른 길처럼 느껴지던 고민에 숨 쉴 틈이 생겨요</t>
    </r>
    <r>
      <rPr>
        <sz val="10"/>
        <rFont val="Malgun Gothic"/>
        <family val="0"/>
        <charset val="1"/>
      </rPr>
      <t xml:space="preserve">.</t>
    </r>
  </si>
  <si>
    <t xml:space="preserve">cards.15.practices.0.title</t>
  </si>
  <si>
    <t xml:space="preserve">습관 알아차림 세 칸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</si>
  <si>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그 습관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무엇인지 앞에 설명이 없음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그 습관이 나온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직전의 마음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하고 난 뒤의 기분을 세 칸에 기록해요</t>
    </r>
    <r>
      <rPr>
        <sz val="10"/>
        <rFont val="Malgun Gothic"/>
        <family val="0"/>
        <charset val="1"/>
      </rPr>
      <t xml:space="preserve">.)</t>
    </r>
  </si>
  <si>
    <t xml:space="preserve">cards.15.practices.0.time</t>
  </si>
  <si>
    <r>
      <rPr>
        <sz val="10"/>
        <rFont val="Noto Sans CJK SC"/>
        <family val="2"/>
      </rPr>
      <t xml:space="preserve">하루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분</t>
    </r>
  </si>
  <si>
    <t xml:space="preserve">cards.15.practices.0.why</t>
  </si>
  <si>
    <r>
      <rPr>
        <sz val="10"/>
        <rFont val="Noto Sans CJK SC"/>
        <family val="2"/>
      </rPr>
      <t xml:space="preserve">습관이 나오는 순간과 그 직전 마음을 기록하면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자동으로 일어나던 일이 눈에 보이는 패턴이 돼요</t>
    </r>
    <r>
      <rPr>
        <sz val="10"/>
        <rFont val="Malgun Gothic"/>
        <family val="0"/>
        <charset val="1"/>
      </rPr>
      <t xml:space="preserve">.</t>
    </r>
  </si>
  <si>
    <t xml:space="preserve">cards.15.practices.1.title</t>
  </si>
  <si>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초 멈춤</t>
    </r>
  </si>
  <si>
    <t xml:space="preserve">cards.15.practices.1.how</t>
  </si>
  <si>
    <r>
      <rPr>
        <sz val="10"/>
        <rFont val="Noto Sans CJK SC"/>
        <family val="2"/>
      </rPr>
      <t xml:space="preserve">습관이 시작되려 할 때 멈추고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걸음 물러서 숨을 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지금을 살피고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고른 뒤 움직여요</t>
    </r>
    <r>
      <rPr>
        <sz val="10"/>
        <rFont val="Malgun Gothic"/>
        <family val="0"/>
        <charset val="1"/>
      </rPr>
      <t xml:space="preserve">.</t>
    </r>
  </si>
  <si>
    <t xml:space="preserve">cards.15.practices.1.time</t>
  </si>
  <si>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초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</si>
  <si>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습관과 행동 사이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뜻이 겹침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습관도 행동</t>
    </r>
    <r>
      <rPr>
        <sz val="10"/>
        <rFont val="Malgun Gothic"/>
        <family val="0"/>
        <charset val="1"/>
      </rPr>
      <t xml:space="preserve">) 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습관과 행동 사이에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초의 틈을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늘 하던 반응 대신 고를 수 있는 여지가 생겨요</t>
    </r>
    <r>
      <rPr>
        <sz val="10"/>
        <rFont val="Malgun Gothic"/>
        <family val="0"/>
        <charset val="1"/>
      </rPr>
      <t xml:space="preserve">.)</t>
    </r>
  </si>
  <si>
    <t xml:space="preserve">cards.15.practices.2.title</t>
  </si>
  <si>
    <t xml:space="preserve">대신할 행동 하나</t>
  </si>
  <si>
    <t xml:space="preserve">cards.15.practices.2.how</t>
  </si>
  <si>
    <r>
      <rPr>
        <sz val="10"/>
        <rFont val="Noto Sans CJK SC"/>
        <family val="2"/>
      </rPr>
      <t xml:space="preserve">그 습관 대신 할 수 있는 작은 행동 하나를 정해 두어요</t>
    </r>
    <r>
      <rPr>
        <sz val="10"/>
        <rFont val="Malgun Gothic"/>
        <family val="0"/>
        <charset val="1"/>
      </rPr>
      <t xml:space="preserve">.</t>
    </r>
  </si>
  <si>
    <t xml:space="preserve">cards.15.practices.2.time</t>
  </si>
  <si>
    <t xml:space="preserve">cards.15.practices.2.why</t>
  </si>
  <si>
    <r>
      <rPr>
        <sz val="10"/>
        <rFont val="Noto Sans CJK SC"/>
        <family val="2"/>
      </rPr>
      <t xml:space="preserve">없애려고만 하기보다 대신할 행동을 정해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습관이 빠진 자리를 건강한 행동이 채워요</t>
    </r>
    <r>
      <rPr>
        <sz val="10"/>
        <rFont val="Malgun Gothic"/>
        <family val="0"/>
        <charset val="1"/>
      </rPr>
      <t xml:space="preserve">.</t>
    </r>
  </si>
  <si>
    <t xml:space="preserve">cards.16.practices.0.title</t>
  </si>
  <si>
    <t xml:space="preserve">남은 기둥 다섯 개</t>
  </si>
  <si>
    <t xml:space="preserve">cards.16.practices.0.how</t>
  </si>
  <si>
    <r>
      <rPr>
        <sz val="10"/>
        <rFont val="Noto Sans CJK SC"/>
        <family val="2"/>
      </rPr>
      <t xml:space="preserve">이번 일로도 무너지지 않은 것 다섯 가지를 적어요</t>
    </r>
    <r>
      <rPr>
        <sz val="10"/>
        <rFont val="Malgun Gothic"/>
        <family val="0"/>
        <charset val="1"/>
      </rPr>
      <t xml:space="preserve">.</t>
    </r>
  </si>
  <si>
    <t xml:space="preserve">cards.16.practices.0.time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</si>
  <si>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처음부터 다시가 아니라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어색함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무너지지 않은 것을 세어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처음부터 다시가 아니라 이어서 쌓으면 된다는 걸 알게 돼요</t>
    </r>
    <r>
      <rPr>
        <sz val="10"/>
        <rFont val="Malgun Gothic"/>
        <family val="0"/>
        <charset val="1"/>
      </rPr>
      <t xml:space="preserve">.)</t>
    </r>
  </si>
  <si>
    <t xml:space="preserve">cards.16.practices.1.title</t>
  </si>
  <si>
    <t xml:space="preserve">한 조각 계획</t>
  </si>
  <si>
    <t xml:space="preserve">cards.16.practices.1.how</t>
  </si>
  <si>
    <r>
      <rPr>
        <sz val="10"/>
        <rFont val="Noto Sans CJK SC"/>
        <family val="2"/>
      </rPr>
      <t xml:space="preserve">오늘 할 수 있는 가장 작은 회복 행동 하나를 정하고 해요</t>
    </r>
    <r>
      <rPr>
        <sz val="10"/>
        <rFont val="Malgun Gothic"/>
        <family val="0"/>
        <charset val="1"/>
      </rPr>
      <t xml:space="preserve">.</t>
    </r>
  </si>
  <si>
    <t xml:space="preserve">cards.16.practices.1.time</t>
  </si>
  <si>
    <t xml:space="preserve">cards.16.practices.1.why</t>
  </si>
  <si>
    <r>
      <rPr>
        <sz val="10"/>
        <rFont val="Noto Sans CJK SC"/>
        <family val="2"/>
      </rPr>
      <t xml:space="preserve">가장 작은 회복 행동은 무력감을 덜어 주고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다시 움직일 수 있다는 감각을 되찾게 해 줘요</t>
    </r>
    <r>
      <rPr>
        <sz val="10"/>
        <rFont val="Malgun Gothic"/>
        <family val="0"/>
        <charset val="1"/>
      </rPr>
      <t xml:space="preserve">.</t>
    </r>
  </si>
  <si>
    <t xml:space="preserve">cards.16.practices.2.title</t>
  </si>
  <si>
    <t xml:space="preserve">함께 쌓을 사람</t>
  </si>
  <si>
    <t xml:space="preserve">cards.16.practices.2.how</t>
  </si>
  <si>
    <r>
      <rPr>
        <sz val="10"/>
        <rFont val="Noto Sans CJK SC"/>
        <family val="2"/>
      </rPr>
      <t xml:space="preserve">도움을 청할 수 있는 사람 한 명을 떠올리고 무엇을 부탁할지 한 줄로 적어요</t>
    </r>
    <r>
      <rPr>
        <sz val="10"/>
        <rFont val="Malgun Gothic"/>
        <family val="0"/>
        <charset val="1"/>
      </rPr>
      <t xml:space="preserve">.</t>
    </r>
  </si>
  <si>
    <t xml:space="preserve">cards.16.practices.2.time</t>
  </si>
  <si>
    <t xml:space="preserve">cards.16.practices.2.why</t>
  </si>
  <si>
    <r>
      <rPr>
        <sz val="10"/>
        <rFont val="Noto Sans CJK SC"/>
        <family val="2"/>
      </rPr>
      <t xml:space="preserve">도움을 청할 사람을 떠올리기만 해도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혼자 감당해야 한다는 무게가 가벼워져요</t>
    </r>
    <r>
      <rPr>
        <sz val="10"/>
        <rFont val="Malgun Gothic"/>
        <family val="0"/>
        <charset val="1"/>
      </rPr>
      <t xml:space="preserve">.</t>
    </r>
  </si>
  <si>
    <t xml:space="preserve">cards.17.practices.0.title</t>
  </si>
  <si>
    <t xml:space="preserve">세 가지 좋은 일</t>
  </si>
  <si>
    <t xml:space="preserve">cards.17.practices.0.how</t>
  </si>
  <si>
    <r>
      <rPr>
        <sz val="10"/>
        <rFont val="Noto Sans CJK SC"/>
        <family val="2"/>
      </rPr>
      <t xml:space="preserve">자기 전 오늘 좋았던 일 세 가지와 그 일이 일어난 이유를 적어요</t>
    </r>
    <r>
      <rPr>
        <sz val="10"/>
        <rFont val="Malgun Gothic"/>
        <family val="0"/>
        <charset val="1"/>
      </rPr>
      <t xml:space="preserve">.</t>
    </r>
  </si>
  <si>
    <t xml:space="preserve">cards.17.practices.0.time</t>
  </si>
  <si>
    <t xml:space="preserve">cards.17.practices.0.why</t>
  </si>
  <si>
    <r>
      <rPr>
        <sz val="10"/>
        <rFont val="Noto Sans CJK SC"/>
        <family val="2"/>
      </rPr>
      <t xml:space="preserve">하루의 좋은 일을 세어 보는 습관은 작게 반짝이는 순간을 알아보는 눈을 길러 줘요</t>
    </r>
    <r>
      <rPr>
        <sz val="10"/>
        <rFont val="Malgun Gothic"/>
        <family val="0"/>
        <charset val="1"/>
      </rPr>
      <t xml:space="preserve">.</t>
    </r>
  </si>
  <si>
    <t xml:space="preserve">cards.17.practices.1.title</t>
  </si>
  <si>
    <t xml:space="preserve">희망 지도</t>
  </si>
  <si>
    <t xml:space="preserve">cards.17.practices.1.how</t>
  </si>
  <si>
    <r>
      <rPr>
        <sz val="10"/>
        <rFont val="Noto Sans CJK SC"/>
        <family val="2"/>
      </rPr>
      <t xml:space="preserve">바라는 것 하나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그곳에 가는 길 두 가지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첫걸음 하나를 적어요</t>
    </r>
    <r>
      <rPr>
        <sz val="10"/>
        <rFont val="Malgun Gothic"/>
        <family val="0"/>
        <charset val="1"/>
      </rPr>
      <t xml:space="preserve">.</t>
    </r>
  </si>
  <si>
    <t xml:space="preserve">cards.17.practices.1.time</t>
  </si>
  <si>
    <t xml:space="preserve">cards.17.practices.1.why</t>
  </si>
  <si>
    <r>
      <rPr>
        <sz val="10"/>
        <rFont val="Noto Sans CJK SC"/>
        <family val="2"/>
      </rPr>
      <t xml:space="preserve">바라는 것과 갈 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첫걸음을 함께 적으면 막연한 희망이 걸을 수 있는 길로 바뀌어요</t>
    </r>
    <r>
      <rPr>
        <sz val="10"/>
        <rFont val="Malgun Gothic"/>
        <family val="0"/>
        <charset val="1"/>
      </rPr>
      <t xml:space="preserve">.</t>
    </r>
  </si>
  <si>
    <t xml:space="preserve">cards.17.practices.2.title</t>
  </si>
  <si>
    <t xml:space="preserve">회복 눈금 기록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</si>
  <si>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방법은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오늘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인데 걸리는 시간은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이번 주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맞지 않음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오늘의 컨디션을 </t>
    </r>
    <r>
      <rPr>
        <sz val="10"/>
        <rFont val="Malgun Gothic"/>
        <family val="0"/>
        <charset val="1"/>
      </rPr>
      <t xml:space="preserve">0~10</t>
    </r>
    <r>
      <rPr>
        <sz val="10"/>
        <rFont val="Noto Sans CJK SC"/>
        <family val="2"/>
      </rPr>
      <t xml:space="preserve">으로 적고</t>
    </r>
    <r>
      <rPr>
        <sz val="10"/>
        <rFont val="Malgun Gothic"/>
        <family val="0"/>
        <charset val="1"/>
      </rPr>
      <t xml:space="preserve">, 1</t>
    </r>
    <r>
      <rPr>
        <sz val="10"/>
        <rFont val="Noto Sans CJK SC"/>
        <family val="2"/>
      </rPr>
      <t xml:space="preserve">이라도 오른 날엔 무엇이 도왔는지 써요</t>
    </r>
    <r>
      <rPr>
        <sz val="10"/>
        <rFont val="Malgun Gothic"/>
        <family val="0"/>
        <charset val="1"/>
      </rPr>
      <t xml:space="preserve">.)</t>
    </r>
  </si>
  <si>
    <t xml:space="preserve">cards.17.practices.2.time</t>
  </si>
  <si>
    <t xml:space="preserve">cards.17.practices.2.why</t>
  </si>
  <si>
    <r>
      <rPr>
        <sz val="10"/>
        <rFont val="Noto Sans CJK SC"/>
        <family val="2"/>
      </rPr>
      <t xml:space="preserve">작은 변화도 숫자로 남기면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느리게 오는 회복을 눈으로 확인할 수 있어요</t>
    </r>
    <r>
      <rPr>
        <sz val="10"/>
        <rFont val="Malgun Gothic"/>
        <family val="0"/>
        <charset val="1"/>
      </rPr>
      <t xml:space="preserve">.</t>
    </r>
  </si>
  <si>
    <t xml:space="preserve">cards.18.practices.0.title</t>
  </si>
  <si>
    <t xml:space="preserve">걱정 시간 정하기</t>
  </si>
  <si>
    <t xml:space="preserve">cards.18.practices.0.how</t>
  </si>
  <si>
    <r>
      <rPr>
        <sz val="10"/>
        <rFont val="Noto Sans CJK SC"/>
        <family val="2"/>
      </rPr>
      <t xml:space="preserve">하루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분을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걱정 시간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정하고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밖의 시간에 떠오른 걱정은 메모해 두었다가 그때 꺼내요</t>
    </r>
    <r>
      <rPr>
        <sz val="10"/>
        <rFont val="Malgun Gothic"/>
        <family val="0"/>
        <charset val="1"/>
      </rPr>
      <t xml:space="preserve">.</t>
    </r>
  </si>
  <si>
    <t xml:space="preserve">cards.18.practices.0.time</t>
  </si>
  <si>
    <t xml:space="preserve">cards.18.practices.0.why</t>
  </si>
  <si>
    <r>
      <rPr>
        <sz val="10"/>
        <rFont val="Noto Sans CJK SC"/>
        <family val="2"/>
      </rPr>
      <t xml:space="preserve">걱정할 시간을 따로 정해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하루 종일 따라다니던 걱정이 정해진 자리로 모여요</t>
    </r>
    <r>
      <rPr>
        <sz val="10"/>
        <rFont val="Malgun Gothic"/>
        <family val="0"/>
        <charset val="1"/>
      </rPr>
      <t xml:space="preserve">.</t>
    </r>
  </si>
  <si>
    <t xml:space="preserve">cards.18.practices.1.title</t>
  </si>
  <si>
    <t xml:space="preserve">확률 물어보기</t>
  </si>
  <si>
    <t xml:space="preserve">cards.18.practices.1.how</t>
  </si>
  <si>
    <r>
      <rPr>
        <sz val="10"/>
        <rFont val="Noto Sans CJK SC"/>
        <family val="2"/>
      </rPr>
      <t xml:space="preserve">가장 큰 걱정 하나를 적고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실제로 일어날 확률은 몇 </t>
    </r>
    <r>
      <rPr>
        <sz val="10"/>
        <rFont val="Malgun Gothic"/>
        <family val="0"/>
        <charset val="1"/>
      </rPr>
      <t xml:space="preserve">%</t>
    </r>
    <r>
      <rPr>
        <sz val="10"/>
        <rFont val="Noto Sans CJK SC"/>
        <family val="2"/>
      </rPr>
      <t xml:space="preserve">일까</t>
    </r>
    <r>
      <rPr>
        <sz val="10"/>
        <rFont val="Malgun Gothic"/>
        <family val="0"/>
        <charset val="1"/>
      </rPr>
      <t xml:space="preserve">?'</t>
    </r>
    <r>
      <rPr>
        <sz val="10"/>
        <rFont val="Noto Sans CJK SC"/>
        <family val="2"/>
      </rPr>
      <t xml:space="preserve">를 숫자로 적어요</t>
    </r>
    <r>
      <rPr>
        <sz val="10"/>
        <rFont val="Malgun Gothic"/>
        <family val="0"/>
        <charset val="1"/>
      </rPr>
      <t xml:space="preserve">.</t>
    </r>
  </si>
  <si>
    <t xml:space="preserve">cards.18.practices.1.time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</si>
  <si>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걱정이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실제보다 커져 있었음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 전제로 단정 — 실제 위험이 있는 상황에서 위험을 축소하게 할 수 있음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막연한 걱정을 숫자로 적으면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머릿속 시나리오가 실제보다 커져 있었음을 알아차리기 쉬워져요</t>
    </r>
    <r>
      <rPr>
        <sz val="10"/>
        <rFont val="Malgun Gothic"/>
        <family val="0"/>
        <charset val="1"/>
      </rPr>
      <t xml:space="preserve">.)</t>
    </r>
  </si>
  <si>
    <t xml:space="preserve">cards.18.practices.2.title</t>
  </si>
  <si>
    <r>
      <rPr>
        <sz val="10"/>
        <rFont val="Malgun Gothic"/>
        <family val="0"/>
        <charset val="1"/>
      </rPr>
      <t xml:space="preserve">5-4-3-2-1 </t>
    </r>
    <r>
      <rPr>
        <sz val="10"/>
        <rFont val="Noto Sans CJK SC"/>
        <family val="2"/>
      </rPr>
      <t xml:space="preserve">감각 닻</t>
    </r>
  </si>
  <si>
    <t xml:space="preserve">cards.18.practices.2.how</t>
  </si>
  <si>
    <r>
      <rPr>
        <sz val="10"/>
        <rFont val="Noto Sans CJK SC"/>
        <family val="2"/>
      </rPr>
      <t xml:space="preserve">보이는 것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들리는 것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닿는 것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냄새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맛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개를 차례로 찾아요</t>
    </r>
    <r>
      <rPr>
        <sz val="10"/>
        <rFont val="Malgun Gothic"/>
        <family val="0"/>
        <charset val="1"/>
      </rPr>
      <t xml:space="preserve">.</t>
    </r>
  </si>
  <si>
    <t xml:space="preserve">cards.18.practices.2.time</t>
  </si>
  <si>
    <t xml:space="preserve">cards.18.practices.2.why</t>
  </si>
  <si>
    <r>
      <rPr>
        <sz val="10"/>
        <rFont val="Noto Sans CJK SC"/>
        <family val="2"/>
      </rPr>
      <t xml:space="preserve">감각에 차례로 주의를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앞날로 달려가던 마음이 지금 이 자리로 돌아와요</t>
    </r>
    <r>
      <rPr>
        <sz val="10"/>
        <rFont val="Malgun Gothic"/>
        <family val="0"/>
        <charset val="1"/>
      </rPr>
      <t xml:space="preserve">.</t>
    </r>
  </si>
  <si>
    <t xml:space="preserve">cards.19.practices.0.title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</si>
  <si>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분 더 머물기</t>
    </r>
  </si>
  <si>
    <t xml:space="preserve">cards.19.practices.0.how</t>
  </si>
  <si>
    <r>
      <rPr>
        <sz val="10"/>
        <rFont val="Noto Sans CJK SC"/>
        <family val="2"/>
      </rPr>
      <t xml:space="preserve">좋은 순간이 오면 바로 넘기지 말고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분 동안 그 느낌에 머물러요</t>
    </r>
    <r>
      <rPr>
        <sz val="10"/>
        <rFont val="Malgun Gothic"/>
        <family val="0"/>
        <charset val="1"/>
      </rPr>
      <t xml:space="preserve">.</t>
    </r>
  </si>
  <si>
    <t xml:space="preserve">cards.19.practices.0.time</t>
  </si>
  <si>
    <t xml:space="preserve">cards.19.practices.0.why</t>
  </si>
  <si>
    <r>
      <rPr>
        <sz val="10"/>
        <rFont val="Noto Sans CJK SC"/>
        <family val="2"/>
      </rPr>
      <t xml:space="preserve">좋은 순간에 조금 더 머물면 그 기분이 마음에 오래 남아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힘든 날 꺼내 쓸 자원이 돼요</t>
    </r>
    <r>
      <rPr>
        <sz val="10"/>
        <rFont val="Malgun Gothic"/>
        <family val="0"/>
        <charset val="1"/>
      </rPr>
      <t xml:space="preserve">.</t>
    </r>
  </si>
  <si>
    <t xml:space="preserve">cards.19.practices.1.title</t>
  </si>
  <si>
    <t xml:space="preserve">구체적인 감사 메시지</t>
  </si>
  <si>
    <t xml:space="preserve">cards.19.practices.1.how</t>
  </si>
  <si>
    <r>
      <rPr>
        <sz val="10"/>
        <rFont val="Noto Sans CJK SC"/>
        <family val="2"/>
      </rPr>
      <t xml:space="preserve">고마운 사람에게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무엇이 왜 고마웠는지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구체적으로 담아 보내요</t>
    </r>
    <r>
      <rPr>
        <sz val="10"/>
        <rFont val="Malgun Gothic"/>
        <family val="0"/>
        <charset val="1"/>
      </rPr>
      <t xml:space="preserve">.</t>
    </r>
  </si>
  <si>
    <t xml:space="preserve">cards.19.practices.1.time</t>
  </si>
  <si>
    <t xml:space="preserve">cards.19.practices.1.why</t>
  </si>
  <si>
    <r>
      <rPr>
        <sz val="10"/>
        <rFont val="Noto Sans CJK SC"/>
        <family val="2"/>
      </rPr>
      <t xml:space="preserve">구체적인 감사는 주는 사람과 받는 사람 모두의 마음을 데워 연결을 두텁게 해 줘요</t>
    </r>
    <r>
      <rPr>
        <sz val="10"/>
        <rFont val="Malgun Gothic"/>
        <family val="0"/>
        <charset val="1"/>
      </rPr>
      <t xml:space="preserve">.</t>
    </r>
  </si>
  <si>
    <t xml:space="preserve">cards.19.practices.2.title</t>
  </si>
  <si>
    <r>
      <rPr>
        <sz val="10"/>
        <rFont val="Noto Sans CJK SC"/>
        <family val="2"/>
      </rPr>
      <t xml:space="preserve">햇볕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</t>
    </r>
  </si>
  <si>
    <t xml:space="preserve">cards.19.practices.2.how</t>
  </si>
  <si>
    <r>
      <rPr>
        <sz val="10"/>
        <rFont val="Noto Sans CJK SC"/>
        <family val="2"/>
      </rPr>
      <t xml:space="preserve">낮 시간에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 동안 햇볕을 쬐며 걸어요</t>
    </r>
    <r>
      <rPr>
        <sz val="10"/>
        <rFont val="Malgun Gothic"/>
        <family val="0"/>
        <charset val="1"/>
      </rPr>
      <t xml:space="preserve">.</t>
    </r>
  </si>
  <si>
    <t xml:space="preserve">cards.19.practices.2.time</t>
  </si>
  <si>
    <t xml:space="preserve">cards.19.practices.2.why</t>
  </si>
  <si>
    <r>
      <rPr>
        <sz val="10"/>
        <rFont val="Noto Sans CJK SC"/>
        <family val="2"/>
      </rPr>
      <t xml:space="preserve">햇볕을 쬐며 걷는 시간은 몸의 리듬을 깨우고 기분을 환기하는 데 도움이 돼요</t>
    </r>
    <r>
      <rPr>
        <sz val="10"/>
        <rFont val="Malgun Gothic"/>
        <family val="0"/>
        <charset val="1"/>
      </rPr>
      <t xml:space="preserve">.</t>
    </r>
  </si>
  <si>
    <t xml:space="preserve">cards.20.practices.0.title</t>
  </si>
  <si>
    <t xml:space="preserve">미래의 나에게서 온 편지</t>
  </si>
  <si>
    <t xml:space="preserve">cards.20.practices.0.how</t>
  </si>
  <si>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년 뒤의 내가 지금의 나에게 보내는 편지를 열 줄로 써요</t>
    </r>
    <r>
      <rPr>
        <sz val="10"/>
        <rFont val="Malgun Gothic"/>
        <family val="0"/>
        <charset val="1"/>
      </rPr>
      <t xml:space="preserve">.</t>
    </r>
  </si>
  <si>
    <t xml:space="preserve">cards.20.practices.0.time</t>
  </si>
  <si>
    <t xml:space="preserve">cards.20.practices.0.why</t>
  </si>
  <si>
    <r>
      <rPr>
        <sz val="10"/>
        <rFont val="Noto Sans CJK SC"/>
        <family val="2"/>
      </rPr>
      <t xml:space="preserve">앞날의 내 시선으로 지금을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눈앞의 걱정보다 내가 정말 소중히 여기는 것이 또렷해져요</t>
    </r>
    <r>
      <rPr>
        <sz val="10"/>
        <rFont val="Malgun Gothic"/>
        <family val="0"/>
        <charset val="1"/>
      </rPr>
      <t xml:space="preserve">.</t>
    </r>
  </si>
  <si>
    <t xml:space="preserve">cards.20.practices.1.title</t>
  </si>
  <si>
    <t xml:space="preserve">의미 있었던 순간 세 개</t>
  </si>
  <si>
    <t xml:space="preserve">cards.20.practices.1.how</t>
  </si>
  <si>
    <r>
      <rPr>
        <sz val="10"/>
        <rFont val="Noto Sans CJK SC"/>
        <family val="2"/>
      </rPr>
      <t xml:space="preserve">살면서 가장 의미 있었던 순간 세 개를 적고 공통점을 찾아요</t>
    </r>
    <r>
      <rPr>
        <sz val="10"/>
        <rFont val="Malgun Gothic"/>
        <family val="0"/>
        <charset val="1"/>
      </rPr>
      <t xml:space="preserve">.</t>
    </r>
  </si>
  <si>
    <t xml:space="preserve">cards.20.practices.1.time</t>
  </si>
  <si>
    <t xml:space="preserve">cards.20.practices.1.why</t>
  </si>
  <si>
    <r>
      <rPr>
        <sz val="10"/>
        <rFont val="Noto Sans CJK SC"/>
        <family val="2"/>
      </rPr>
      <t xml:space="preserve">의미 있었던 순간의 공통점은 내가 어떤 삶에 마음이 끌리는지 알려 주는 단서가 돼요</t>
    </r>
    <r>
      <rPr>
        <sz val="10"/>
        <rFont val="Malgun Gothic"/>
        <family val="0"/>
        <charset val="1"/>
      </rPr>
      <t xml:space="preserve">.</t>
    </r>
  </si>
  <si>
    <t xml:space="preserve">cards.20.practices.2.title</t>
  </si>
  <si>
    <t xml:space="preserve">가치에 맞는 행동 하나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</si>
  <si>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제목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인데 방법은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공통점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이라 연결이 약하고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앞 실천을 안 봤으면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찾은 공통점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모호함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찾은 공통점에 맞는 행동 하나를 이번 주 일정에 넣어요</t>
    </r>
    <r>
      <rPr>
        <sz val="10"/>
        <rFont val="Malgun Gothic"/>
        <family val="0"/>
        <charset val="1"/>
      </rPr>
      <t xml:space="preserve">.)</t>
    </r>
  </si>
  <si>
    <t xml:space="preserve">cards.20.practices.2.time</t>
  </si>
  <si>
    <t xml:space="preserve">cards.20.practices.2.why</t>
  </si>
  <si>
    <r>
      <rPr>
        <sz val="10"/>
        <rFont val="Noto Sans CJK SC"/>
        <family val="2"/>
      </rPr>
      <t xml:space="preserve">가치에 맞는 작은 행동은 큰 결심보다 먼저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 삶이 원하는 쪽으로 움직이고 있다는 감각을 줘요</t>
    </r>
    <r>
      <rPr>
        <sz val="10"/>
        <rFont val="Malgun Gothic"/>
        <family val="0"/>
        <charset val="1"/>
      </rPr>
      <t xml:space="preserve">.</t>
    </r>
  </si>
  <si>
    <t xml:space="preserve">cards.21.practices.0.title</t>
  </si>
  <si>
    <t xml:space="preserve">여정 지도</t>
  </si>
  <si>
    <t xml:space="preserve">cards.21.practices.0.how</t>
  </si>
  <si>
    <r>
      <rPr>
        <sz val="10"/>
        <rFont val="Noto Sans CJK SC"/>
        <family val="2"/>
      </rPr>
      <t xml:space="preserve">지난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년의 중요한 순간 다섯 개를 시간 순서대로 적어요</t>
    </r>
    <r>
      <rPr>
        <sz val="10"/>
        <rFont val="Malgun Gothic"/>
        <family val="0"/>
        <charset val="1"/>
      </rPr>
      <t xml:space="preserve">.</t>
    </r>
  </si>
  <si>
    <t xml:space="preserve">cards.21.practices.0.time</t>
  </si>
  <si>
    <t xml:space="preserve">cards.21.practices.0.why</t>
  </si>
  <si>
    <r>
      <rPr>
        <sz val="10"/>
        <rFont val="Noto Sans CJK SC"/>
        <family val="2"/>
      </rPr>
      <t xml:space="preserve">지나온 길을 한눈에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 목표에 쫓기느라 놓쳤던 성장이 보이기 시작해요</t>
    </r>
    <r>
      <rPr>
        <sz val="10"/>
        <rFont val="Malgun Gothic"/>
        <family val="0"/>
        <charset val="1"/>
      </rPr>
      <t xml:space="preserve">.</t>
    </r>
  </si>
  <si>
    <t xml:space="preserve">cards.21.practices.1.title</t>
  </si>
  <si>
    <t xml:space="preserve">고마운 사람 목록</t>
  </si>
  <si>
    <t xml:space="preserve">cards.21.practices.1.how</t>
  </si>
  <si>
    <r>
      <rPr>
        <sz val="10"/>
        <rFont val="Noto Sans CJK SC"/>
        <family val="2"/>
      </rPr>
      <t xml:space="preserve">이번 여정에서 고마웠던 사람과 그 이유를 적어요</t>
    </r>
    <r>
      <rPr>
        <sz val="10"/>
        <rFont val="Malgun Gothic"/>
        <family val="0"/>
        <charset val="1"/>
      </rPr>
      <t xml:space="preserve">.</t>
    </r>
  </si>
  <si>
    <t xml:space="preserve">cards.21.practices.1.time</t>
  </si>
  <si>
    <t xml:space="preserve">cards.21.practices.1.why</t>
  </si>
  <si>
    <r>
      <rPr>
        <sz val="10"/>
        <rFont val="Noto Sans CJK SC"/>
        <family val="2"/>
      </rPr>
      <t xml:space="preserve">함께해 준 사람을 떠올리면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여정이 혼자만의 싸움이 아니었다는 따뜻한 감각이 남아요</t>
    </r>
    <r>
      <rPr>
        <sz val="10"/>
        <rFont val="Malgun Gothic"/>
        <family val="0"/>
        <charset val="1"/>
      </rPr>
      <t xml:space="preserve">.</t>
    </r>
  </si>
  <si>
    <t xml:space="preserve">cards.21.practices.2.title</t>
  </si>
  <si>
    <t xml:space="preserve">작은 축하</t>
  </si>
  <si>
    <t xml:space="preserve">cards.21.practices.2.how</t>
  </si>
  <si>
    <r>
      <rPr>
        <sz val="10"/>
        <rFont val="Noto Sans CJK SC"/>
        <family val="2"/>
      </rPr>
      <t xml:space="preserve">한 바퀴를 돈 나에게 작은 선물이나 좋아하는 시간을 줘요</t>
    </r>
    <r>
      <rPr>
        <sz val="10"/>
        <rFont val="Malgun Gothic"/>
        <family val="0"/>
        <charset val="1"/>
      </rPr>
      <t xml:space="preserve">.</t>
    </r>
  </si>
  <si>
    <t xml:space="preserve">cards.21.practices.2.time</t>
  </si>
  <si>
    <t xml:space="preserve">cards.21.practices.2.why</t>
  </si>
  <si>
    <r>
      <rPr>
        <sz val="10"/>
        <rFont val="Noto Sans CJK SC"/>
        <family val="2"/>
      </rPr>
      <t xml:space="preserve">한 바퀴를 마친 나를 축하하는 일은 다음 여정을 시작할 힘을 채워 줘요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</si>
  <si>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prescriptions.by_domain_need.CAR_REST.title</t>
  </si>
  <si>
    <r>
      <rPr>
        <sz val="10"/>
        <rFont val="Noto Sans CJK SC"/>
        <family val="2"/>
      </rPr>
      <t xml:space="preserve">직업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커리어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쉼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</si>
  <si>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NEW-WORK-TRANSITION-01 · </t>
    </r>
    <r>
      <rPr>
        <sz val="10"/>
        <rFont val="Noto Sans CJK SC"/>
        <family val="2"/>
      </rPr>
      <t xml:space="preserve">제목</t>
    </r>
  </si>
  <si>
    <t xml:space="preserve">퇴근을 알리는 마지막 파일 닫기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</si>
  <si>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NEW-WORK-TRANSITION-01]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</si>
  <si>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prescriptions.by_domain_need.CAR_REST.how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</si>
  <si>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NEW-WORK-TRANSITION-01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</si>
  <si>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업무를 마칠 때 작업 파일을 정리하고 내일 첫 행동만 남겨두세요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</si>
  <si>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prescriptions.by_domain_need.CAR_REST.why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</si>
  <si>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NEW-WORK-TRANSITION-01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</si>
  <si>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일의 끝을 눈에 보이게 표시해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머리가 일하는 모드에서 쉬는 모드로 넘어가기 쉬워져요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</si>
  <si>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prescriptions.by_domain_need.CAR_START.title</t>
  </si>
  <si>
    <r>
      <rPr>
        <sz val="10"/>
        <rFont val="Noto Sans CJK SC"/>
        <family val="2"/>
      </rPr>
      <t xml:space="preserve">직업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커리어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시작할 용기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</si>
  <si>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NEW-WORK-FOCUS-05 · </t>
    </r>
    <r>
      <rPr>
        <sz val="10"/>
        <rFont val="Noto Sans CJK SC"/>
        <family val="2"/>
      </rPr>
      <t xml:space="preserve">제목</t>
    </r>
  </si>
  <si>
    <t xml:space="preserve">가장 작은 시작 문장 적기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</si>
  <si>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NEW-WORK-FOCUS-05]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</si>
  <si>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prescriptions.by_domain_need.CAR_START.how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</si>
  <si>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NEW-WORK-FOCUS-05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</si>
  <si>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미뤄둔 일이 있다면 첫 행동을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분 안에 시작할 수 있는 문장으로 바꿔보세요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</si>
  <si>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prescriptions.by_domain_need.CAR_START.why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</si>
  <si>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NEW-WORK-FOCUS-05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</si>
  <si>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시작이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분짜리로 작아지면 미루게 만들던 부담이 줄고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일단 손을 대는 순간 다음 걸음이 따라오기 쉬워요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</si>
  <si>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prescriptions.by_domain_need.CAR_CHOOSE.title</t>
  </si>
  <si>
    <r>
      <rPr>
        <sz val="10"/>
        <rFont val="Noto Sans CJK SC"/>
        <family val="2"/>
      </rPr>
      <t xml:space="preserve">직업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커리어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정리와 선택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</si>
  <si>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THX-PPT-22 · </t>
    </r>
    <r>
      <rPr>
        <sz val="10"/>
        <rFont val="Noto Sans CJK SC"/>
        <family val="2"/>
      </rPr>
      <t xml:space="preserve">제목</t>
    </r>
  </si>
  <si>
    <r>
      <rPr>
        <sz val="10"/>
        <rFont val="Noto Sans CJK SC"/>
        <family val="2"/>
      </rPr>
      <t xml:space="preserve">최선을 쓸 곳 한 곳과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충분히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둘 곳 한 곳 나누기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</si>
  <si>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THX-PPT-22] </t>
    </r>
    <r>
      <rPr>
        <sz val="10"/>
        <rFont val="Noto Sans CJK SC"/>
        <family val="2"/>
      </rPr>
      <t xml:space="preserve">원본 문장 그대로</t>
    </r>
  </si>
  <si>
    <t xml:space="preserve">prescriptions.by_domain_need.CAR_CHOOSE.how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</si>
  <si>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THX-PPT-22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</si>
  <si>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요즘 해야 할 일과 선택들을 떠올려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정말 최선을 쓰고 싶은 곳 한 곳과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정도면 충분해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둘 곳 한 곳을 골라 적어보세요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대충 하자는 게 아니라 에너지를 어디에 쓸지 정하는 일입니다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</si>
  <si>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prescriptions.by_domain_need.CAR_CHOOSE.why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</si>
  <si>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THX-PPT-22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</si>
  <si>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모든 곳에 최선을 쓰면 금방 지쳐요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대충이 아니라 정말 중요한 곳에 최선을 쓰도록 나눠봐요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</si>
  <si>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prescriptions.by_domain_need.CAR_CONNECT.title</t>
  </si>
  <si>
    <r>
      <rPr>
        <sz val="10"/>
        <rFont val="Noto Sans CJK SC"/>
        <family val="2"/>
      </rPr>
      <t xml:space="preserve">직업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커리어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</si>
  <si>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WORK-TALK-L1-01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</si>
  <si>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혼자 끌어안지 않고 가볍게라도 나눠보기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</si>
  <si>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WORK-TALK-L1-01]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</si>
  <si>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prescriptions.by_domain_need.CAR_CONNECT.how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</si>
  <si>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WORK-TALK-L1-01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</si>
  <si>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요즘 일에서 버거운 점 하나를 믿을 만한 동료나 가까운 사람에게 한두 문장으로 가볍게 나눠보세요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</si>
  <si>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prescriptions.by_domain_need.CAR_CONNECT.why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</si>
  <si>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WORK-TALK-L1-01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</si>
  <si>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혼자 끌어안은 고민은 실제보다 무겁게 느껴져서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말로 꺼내는 것만으로도 무게가 조금 나뉘어요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</si>
  <si>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prescriptions.by_domain_need.CAR_BOUNDARY.title</t>
  </si>
  <si>
    <r>
      <rPr>
        <sz val="10"/>
        <rFont val="Noto Sans CJK SC"/>
        <family val="2"/>
      </rPr>
      <t xml:space="preserve">직업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커리어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나를 지키는 선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</si>
  <si>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NEW-WORK-TRANSITION-08 · </t>
    </r>
    <r>
      <rPr>
        <sz val="10"/>
        <rFont val="Noto Sans CJK SC"/>
        <family val="2"/>
      </rPr>
      <t xml:space="preserve">제목</t>
    </r>
  </si>
  <si>
    <t xml:space="preserve">출근 전 오늘 꼭 지킬 경계 정하기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</si>
  <si>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NEW-WORK-TRANSITION-08]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</si>
  <si>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prescriptions.by_domain_need.CAR_BOUNDARY.how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</si>
  <si>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NEW-WORK-TRANSITION-08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</si>
  <si>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할 수 있는 범위에서 오늘만큼은 지키고 싶은 퇴근 후 행동 하나를 정해보세요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</si>
  <si>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prescriptions.by_domain_need.CAR_BOUNDARY.why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</si>
  <si>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NEW-WORK-TRANSITION-08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</si>
  <si>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지킬 선을 아침에 미리 정해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바쁜 하루 끝에도 나를 위한 시간을 덜 내주게 돼요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</si>
  <si>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prescriptions.by_domain_need.CAR_LETGO.title</t>
  </si>
  <si>
    <r>
      <rPr>
        <sz val="10"/>
        <rFont val="Noto Sans CJK SC"/>
        <family val="2"/>
      </rPr>
      <t xml:space="preserve">직업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커리어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놓아주기와 회복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</si>
  <si>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THX-REBT-17 · </t>
    </r>
    <r>
      <rPr>
        <sz val="10"/>
        <rFont val="Noto Sans CJK SC"/>
        <family val="2"/>
      </rPr>
      <t xml:space="preserve">제목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</si>
  <si>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나는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한 사람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이번 일은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로 바꿔 쓰기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</si>
  <si>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THX-REBT-17] </t>
    </r>
    <r>
      <rPr>
        <sz val="10"/>
        <rFont val="Noto Sans CJK SC"/>
        <family val="2"/>
      </rPr>
      <t xml:space="preserve">원본 문장 그대로</t>
    </r>
  </si>
  <si>
    <t xml:space="preserve">prescriptions.by_domain_need.CAR_LETGO.how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</si>
  <si>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THX-REBT-17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</si>
  <si>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아쉬웠던 일 하나를 떠올려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나는 부족한 사람이야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처럼 나 전체를 평가한 문장이 있으면 적어보세요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문장을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이번 발표는 준비가 짧았다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처럼 행동에 대한 평가로 바꿔 쓰고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다음에 달리해볼 점 하나를 덧붙입니다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행동 평가는 솔직하게 해도 괜찮아요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</si>
  <si>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prescriptions.by_domain_need.CAR_LETGO.why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</si>
  <si>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CAR_LETGO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THX-REBT-17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</si>
  <si>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이번 발표는 부족했다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나는 부족한 사람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달라서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일에 대한 평가와 나를 떼어 적어봐요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</si>
  <si>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prescriptions.by_domain_need.DIR_REST.title</t>
  </si>
  <si>
    <r>
      <rPr>
        <sz val="10"/>
        <rFont val="Noto Sans CJK SC"/>
        <family val="2"/>
      </rPr>
      <t xml:space="preserve">진로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쉼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</si>
  <si>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NEW-SELF-VALUES-10 · </t>
    </r>
    <r>
      <rPr>
        <sz val="10"/>
        <rFont val="Noto Sans CJK SC"/>
        <family val="2"/>
      </rPr>
      <t xml:space="preserve">제목</t>
    </r>
  </si>
  <si>
    <t xml:space="preserve">아직 답이 없는 질문 보관하기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</si>
  <si>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NEW-SELF-VALUES-10]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</si>
  <si>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prescriptions.by_domain_need.DIR_REST.how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</si>
  <si>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NEW-SELF-VALUES-10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</si>
  <si>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당장 결론을 내리지 않아도 되는 고민 하나를 적고 다시 생각할 날짜를 정해보세요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</si>
  <si>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prescriptions.by_domain_need.DIR_REST.why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</si>
  <si>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NEW-SELF-VALUES-10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</si>
  <si>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모든 질문에 지금 답할 필요는 없어서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잠시 보관해 두면 머리가 쉴 자리가 생겨요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</si>
  <si>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prescriptions.by_domain_need.DIR_START.title</t>
  </si>
  <si>
    <r>
      <rPr>
        <sz val="10"/>
        <rFont val="Noto Sans CJK SC"/>
        <family val="2"/>
      </rPr>
      <t xml:space="preserve">진로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시작할 용기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</si>
  <si>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THX-CBT-24 · </t>
    </r>
    <r>
      <rPr>
        <sz val="10"/>
        <rFont val="Noto Sans CJK SC"/>
        <family val="2"/>
      </rPr>
      <t xml:space="preserve">제목</t>
    </r>
  </si>
  <si>
    <r>
      <rPr>
        <sz val="10"/>
        <rFont val="Noto Sans CJK SC"/>
        <family val="2"/>
      </rPr>
      <t xml:space="preserve">해낼 자신이 </t>
    </r>
    <r>
      <rPr>
        <sz val="10"/>
        <rFont val="Malgun Gothic"/>
        <family val="0"/>
        <charset val="1"/>
      </rPr>
      <t xml:space="preserve">90%</t>
    </r>
    <r>
      <rPr>
        <sz val="10"/>
        <rFont val="Noto Sans CJK SC"/>
        <family val="2"/>
      </rPr>
      <t xml:space="preserve">가 될 때까지 계획 크기 줄이기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</si>
  <si>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THX-CBT-24] </t>
    </r>
    <r>
      <rPr>
        <sz val="10"/>
        <rFont val="Noto Sans CJK SC"/>
        <family val="2"/>
      </rPr>
      <t xml:space="preserve">원본 문장 그대로</t>
    </r>
  </si>
  <si>
    <t xml:space="preserve">prescriptions.by_domain_need.DIR_START.how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</si>
  <si>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THX-CBT-24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</si>
  <si>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이번 주 하려는 일 하나를 적고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해낼 수 있을 것 같은 정도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를 퍼센트로 매겨보세요</t>
    </r>
    <r>
      <rPr>
        <sz val="10"/>
        <rFont val="Malgun Gothic"/>
        <family val="0"/>
        <charset val="1"/>
      </rPr>
      <t xml:space="preserve">. 90%</t>
    </r>
    <r>
      <rPr>
        <sz val="10"/>
        <rFont val="Noto Sans CJK SC"/>
        <family val="2"/>
      </rPr>
      <t xml:space="preserve">가 안 되면 시간이나 분량을 줄여 다시 쓰고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그래도 못 한 날은 게으름이 아니라 크기를 조정할 정보로 봅니다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</si>
  <si>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prescriptions.by_domain_need.DIR_START.why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</si>
  <si>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THX-CBT-24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</si>
  <si>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계획이 너무 크면 못 한 날 자책만 남아서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해낼 수 있을 만큼 줄이고 못 한 날은 크기를 고쳐요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</si>
  <si>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prescriptions.by_domain_need.DIR_CHOOSE.title</t>
  </si>
  <si>
    <r>
      <rPr>
        <sz val="10"/>
        <rFont val="Noto Sans CJK SC"/>
        <family val="2"/>
      </rPr>
      <t xml:space="preserve">진로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정리와 선택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</si>
  <si>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THX-RBT-15 · </t>
    </r>
    <r>
      <rPr>
        <sz val="10"/>
        <rFont val="Noto Sans CJK SC"/>
        <family val="2"/>
      </rPr>
      <t xml:space="preserve">제목</t>
    </r>
  </si>
  <si>
    <r>
      <rPr>
        <sz val="10"/>
        <rFont val="Noto Sans CJK SC"/>
        <family val="2"/>
      </rPr>
      <t xml:space="preserve">붙들고 있는 목표에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누가 정한 기준</t>
    </r>
    <r>
      <rPr>
        <sz val="10"/>
        <rFont val="Malgun Gothic"/>
        <family val="0"/>
        <charset val="1"/>
      </rPr>
      <t xml:space="preserve">?' </t>
    </r>
    <r>
      <rPr>
        <sz val="10"/>
        <rFont val="Noto Sans CJK SC"/>
        <family val="2"/>
      </rPr>
      <t xml:space="preserve">묻고 내 말로 다시 쓰기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</si>
  <si>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THX-RBT-15] </t>
    </r>
    <r>
      <rPr>
        <sz val="10"/>
        <rFont val="Noto Sans CJK SC"/>
        <family val="2"/>
      </rPr>
      <t xml:space="preserve">원본 문장 그대로</t>
    </r>
  </si>
  <si>
    <t xml:space="preserve">prescriptions.by_domain_need.DIR_CHOOSE.how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</si>
  <si>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THX-RBT-15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</si>
  <si>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요즘 마음을 쓰는 목표 하나를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어디서 왔는지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부모님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회사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소셜 미디어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옆에 표시해보세요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목표를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내가 원하는 삶에서는 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이면 충분하다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처럼 내 말로 한 번 다시 써봅니다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목표를 바꾸지 않아도 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주인이 누구인지 확인하는 것만으로 충분해요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</si>
  <si>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prescriptions.by_domain_need.DIR_CHOOSE.why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</si>
  <si>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THX-RBT-15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</si>
  <si>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어떤 삶이 좋은지는 내가 정할 수 있어서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 목표의 기준이 누구 것인지부터 확인해봐요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</si>
  <si>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prescriptions.by_domain_need.DIR_CONNECT.title</t>
  </si>
  <si>
    <r>
      <rPr>
        <sz val="10"/>
        <rFont val="Noto Sans CJK SC"/>
        <family val="2"/>
      </rPr>
      <t xml:space="preserve">진로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</si>
  <si>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WORK-HELP-L1-05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</si>
  <si>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경험자의 시각을 가볍게 들어보기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</si>
  <si>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WORK-HELP-L1-05]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</si>
  <si>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prescriptions.by_domain_need.DIR_CONNECT.how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</si>
  <si>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WORK-HELP-L1-05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</si>
  <si>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관심 있는 길을 먼저 걸어간 사람의 이야기를 글이나 영상으로 찾아보거나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가능하다면 한 명에게 짧게 물어보세요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</si>
  <si>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prescriptions.by_domain_need.DIR_CONNECT.why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</si>
  <si>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WORK-HELP-L1-05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</si>
  <si>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실제 경험담은 막연한 두려움을 줄이고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혼자 고민한다는 외로움도 덜어 줘요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</si>
  <si>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prescriptions.by_domain_need.DIR_BOUNDARY.title</t>
  </si>
  <si>
    <r>
      <rPr>
        <sz val="10"/>
        <rFont val="Noto Sans CJK SC"/>
        <family val="2"/>
      </rPr>
      <t xml:space="preserve">진로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나를 지키는 선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</si>
  <si>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THX-RBT-12 · </t>
    </r>
    <r>
      <rPr>
        <sz val="10"/>
        <rFont val="Noto Sans CJK SC"/>
        <family val="2"/>
      </rPr>
      <t xml:space="preserve">제목</t>
    </r>
  </si>
  <si>
    <t xml:space="preserve">부러운 사람의 행동과 내 가치를 따로 떼어 적기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</si>
  <si>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THX-RBT-12] </t>
    </r>
    <r>
      <rPr>
        <sz val="10"/>
        <rFont val="Noto Sans CJK SC"/>
        <family val="2"/>
      </rPr>
      <t xml:space="preserve">원본 문장 그대로</t>
    </r>
  </si>
  <si>
    <t xml:space="preserve">prescriptions.by_domain_need.DIR_BOUNDARY.how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</si>
  <si>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THX-RBT-12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</si>
  <si>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부러운 사람의 행동 하나를 구체적으로 적고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그 행동이 그 사람을 나보다 나은 사람으로 만드나</t>
    </r>
    <r>
      <rPr>
        <sz val="10"/>
        <rFont val="Malgun Gothic"/>
        <family val="0"/>
        <charset val="1"/>
      </rPr>
      <t xml:space="preserve">?'</t>
    </r>
    <r>
      <rPr>
        <sz val="10"/>
        <rFont val="Noto Sans CJK SC"/>
        <family val="2"/>
      </rPr>
      <t xml:space="preserve">를 스스로 물어보세요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행동에서 배워볼 점 한 가지와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그것이 내 가치와는 별개인 이유 한 줄을 적어봅니다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부러운 마음을 없애려 하지 않아도 괜찮아요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</si>
  <si>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prescriptions.by_domain_need.DIR_BOUNDARY.why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</si>
  <si>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THX-RBT-12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</si>
  <si>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부러운 행동과 그 사람의 가치는 별개라서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부러움을 배울 점 하나로 바꿔 가져와요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</si>
  <si>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prescriptions.by_domain_need.DIR_LETGO.title</t>
  </si>
  <si>
    <r>
      <rPr>
        <sz val="10"/>
        <rFont val="Noto Sans CJK SC"/>
        <family val="2"/>
      </rPr>
      <t xml:space="preserve">진로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놓아주기와 회복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</si>
  <si>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NEW-SELF-VALUES-08 · </t>
    </r>
    <r>
      <rPr>
        <sz val="10"/>
        <rFont val="Noto Sans CJK SC"/>
        <family val="2"/>
      </rPr>
      <t xml:space="preserve">제목</t>
    </r>
  </si>
  <si>
    <t xml:space="preserve">지금은 좇지 않아도 될 목표 하나 내려놓기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</si>
  <si>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NEW-SELF-VALUES-08]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</si>
  <si>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prescriptions.by_domain_need.DIR_LETGO.how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</si>
  <si>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NEW-SELF-VALUES-08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</si>
  <si>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더하고 싶은 목표 대신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지금은 직접 겨냥하지 않아도 될 목표 하나를 내려놓고 그 이유를 적어보세요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</si>
  <si>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prescriptions.by_domain_need.DIR_LETGO.why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</si>
  <si>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DIR_LETGO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NEW-SELF-VALUES-08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</si>
  <si>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목표를 하나 덜어 내면 남은 일에 마음을 더 쓸 수 있고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의미 있는 일에 몰입할수록 결과도 자연스럽게 따라오기 쉬워요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</si>
  <si>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prescriptions.by_domain_need.LOV_REST.title</t>
  </si>
  <si>
    <r>
      <rPr>
        <sz val="10"/>
        <rFont val="Noto Sans CJK SC"/>
        <family val="2"/>
      </rPr>
      <t xml:space="preserve">연애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쉼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</si>
  <si>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REL-CARE-L2-02 · </t>
    </r>
    <r>
      <rPr>
        <sz val="10"/>
        <rFont val="Noto Sans CJK SC"/>
        <family val="2"/>
      </rPr>
      <t xml:space="preserve">제목</t>
    </r>
  </si>
  <si>
    <t xml:space="preserve">관계와 별개로 나를 채우는 활동을 이어가기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</si>
  <si>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REL-CARE-L2-02]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</si>
  <si>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prescriptions.by_domain_need.LOV_REST.how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</si>
  <si>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REL-CARE-L2-02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</si>
  <si>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관계와 상관없이 나를 즐겁게 하는 활동 하나를 골라 이번 주에 한 번 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</si>
  <si>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prescriptions.by_domain_need.LOV_REST.why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</si>
  <si>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REL-CARE-L2-02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</si>
  <si>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마음이 한 사람에게만 쏠려 있으면 쉽게 지쳐서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나를 채우는 시간이 관계도 한결 가볍게 해 줘요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</si>
  <si>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prescriptions.by_domain_need.LOV_START.title</t>
  </si>
  <si>
    <r>
      <rPr>
        <sz val="10"/>
        <rFont val="Noto Sans CJK SC"/>
        <family val="2"/>
      </rPr>
      <t xml:space="preserve">연애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시작할 용기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</si>
  <si>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NEW-REL-NEW-03 · </t>
    </r>
    <r>
      <rPr>
        <sz val="10"/>
        <rFont val="Noto Sans CJK SC"/>
        <family val="2"/>
      </rPr>
      <t xml:space="preserve">제목</t>
    </r>
  </si>
  <si>
    <t xml:space="preserve">새로운 사람에게 건넬 질문 두 개 준비하기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</si>
  <si>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NEW-REL-NEW-03]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</si>
  <si>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prescriptions.by_domain_need.LOV_START.how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</si>
  <si>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NEW-REL-NEW-03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</si>
  <si>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처음 만나는 자리에서 부담 없이 물을 수 있는 질문 두 개를 적어보세요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</si>
  <si>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prescriptions.by_domain_need.LOV_START.why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</si>
  <si>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NEW-REL-NEW-03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</si>
  <si>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건넬 말을 미리 준비해 두면 첫 만남의 긴장이 줄고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대화를 시작할 용기가 조금 더 생겨요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</si>
  <si>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prescriptions.by_domain_need.LOV_CHOOSE.title</t>
  </si>
  <si>
    <r>
      <rPr>
        <sz val="10"/>
        <rFont val="Noto Sans CJK SC"/>
        <family val="2"/>
      </rPr>
      <t xml:space="preserve">연애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정리와 선택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</si>
  <si>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REL-MIND-L2-03 · </t>
    </r>
    <r>
      <rPr>
        <sz val="10"/>
        <rFont val="Noto Sans CJK SC"/>
        <family val="2"/>
      </rPr>
      <t xml:space="preserve">제목</t>
    </r>
  </si>
  <si>
    <t xml:space="preserve">내가 관계에서 우선시하는 것을 알고 선택 기준으로 삼기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</si>
  <si>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REL-MIND-L2-03]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</si>
  <si>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prescriptions.by_domain_need.LOV_CHOOSE.how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</si>
  <si>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REL-MIND-L2-03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</si>
  <si>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관계에서 내가 가장 중요하게 여기는 것 세 가지를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그중 하나를 이번 주 선택의 기준으로 삼아보세요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</si>
  <si>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prescriptions.by_domain_need.LOV_CHOOSE.why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</si>
  <si>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REL-MIND-L2-03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</si>
  <si>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무엇을 우선시하는지 알면 상대의 반응에 덜 흔들리고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관계 안의 선택도 한결 쉬워져요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</si>
  <si>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prescriptions.by_domain_need.LOV_CONNECT.title</t>
  </si>
  <si>
    <r>
      <rPr>
        <sz val="10"/>
        <rFont val="Noto Sans CJK SC"/>
        <family val="2"/>
      </rPr>
      <t xml:space="preserve">연애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</si>
  <si>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NEW-REL-ASYNC-02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</si>
  <si>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함께한 기억 한 장면 전하기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</si>
  <si>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NEW-REL-ASYNC-02]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</si>
  <si>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prescriptions.by_domain_need.LOV_CONNECT.how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</si>
  <si>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NEW-REL-ASYNC-02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</si>
  <si>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마음이 가는 사람에게 문득 떠오른 좋은 기억 하나를 짧은 메시지로 전해보세요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</si>
  <si>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prescriptions.by_domain_need.LOV_CONNECT.why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</si>
  <si>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NEW-REL-ASYNC-02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</si>
  <si>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좋았던 장면을 함께 떠올리면 부담 없이 마음이 이어지고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연결의 온도도 조금 올라가요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</si>
  <si>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prescriptions.by_domain_need.LOV_BOUNDARY.title</t>
  </si>
  <si>
    <r>
      <rPr>
        <sz val="10"/>
        <rFont val="Noto Sans CJK SC"/>
        <family val="2"/>
      </rPr>
      <t xml:space="preserve">연애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나를 지키는 선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</si>
  <si>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NEW-REL-BOUNDARY-10 · </t>
    </r>
    <r>
      <rPr>
        <sz val="10"/>
        <rFont val="Noto Sans CJK SC"/>
        <family val="2"/>
      </rPr>
      <t xml:space="preserve">제목</t>
    </r>
  </si>
  <si>
    <t xml:space="preserve">연락 빈도에 대한 내 선호 적어두기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</si>
  <si>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NEW-REL-BOUNDARY-10]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</si>
  <si>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prescriptions.by_domain_need.LOV_BOUNDARY.how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</si>
  <si>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NEW-REL-BOUNDARY-10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</si>
  <si>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연락이 편한 주기와 부담스러운 상황을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설명할 문장을 만들어보세요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</si>
  <si>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prescriptions.by_domain_need.LOV_BOUNDARY.why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</si>
  <si>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NEW-REL-BOUNDARY-10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</si>
  <si>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내가 편한 거리를 먼저 알아 두면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관계 안에서도 나를 잃지 않고 지낼 수 있어요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</si>
  <si>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prescriptions.by_domain_need.LOV_LETGO.title</t>
  </si>
  <si>
    <r>
      <rPr>
        <sz val="10"/>
        <rFont val="Noto Sans CJK SC"/>
        <family val="2"/>
      </rPr>
      <t xml:space="preserve">연애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놓아주기와 회복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</si>
  <si>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SELF-MIND-L2-03 · </t>
    </r>
    <r>
      <rPr>
        <sz val="10"/>
        <rFont val="Noto Sans CJK SC"/>
        <family val="2"/>
      </rPr>
      <t xml:space="preserve">제목</t>
    </r>
  </si>
  <si>
    <t xml:space="preserve">나에게 한 말을 친한 친구에게 하듯 부드럽게 바꿔 적기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</si>
  <si>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SELF-MIND-L2-03]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</si>
  <si>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prescriptions.by_domain_need.LOV_LETGO.how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</si>
  <si>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SELF-MIND-L2-03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</si>
  <si>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요즘 나에게 자주 한 모진 말 하나를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친한 친구에게 하듯 부드러운 말로 바꿔 적어보세요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</si>
  <si>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prescriptions.by_domain_need.LOV_LETGO.why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</si>
  <si>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LOV_LETGO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SELF-MIND-L2-03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</si>
  <si>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관계가 흔들릴 때 나를 탓하는 말이 커지기 쉬워서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다정한 말로 바꾸는 것만으로도 마음이 조금 풀려요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</si>
  <si>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prescriptions.by_domain_need.FAM_REST.title</t>
  </si>
  <si>
    <r>
      <rPr>
        <sz val="10"/>
        <rFont val="Noto Sans CJK SC"/>
        <family val="2"/>
      </rPr>
      <t xml:space="preserve">가족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쉼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</si>
  <si>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FAM_REST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</si>
  <si>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답하기 전 숨 세 번</t>
  </si>
  <si>
    <t xml:space="preserve">prescriptions.by_domain_need.FAM_REST.how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</si>
  <si>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FAM_REST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</si>
  <si>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가족 연락이 부담될 때는 바로 답하지 말고 숨을 세 번 쉰 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답할 시간을 내가 정해 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</si>
  <si>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prescriptions.by_domain_need.FAM_REST.why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</si>
  <si>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FAM_REST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</si>
  <si>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반응하기 전에 틈을 두면 감정에 휩쓸리지 않고 나를 지키며 대화할 수 있어요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</si>
  <si>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prescriptions.by_domain_need.FAM_START.title</t>
  </si>
  <si>
    <r>
      <rPr>
        <sz val="10"/>
        <rFont val="Noto Sans CJK SC"/>
        <family val="2"/>
      </rPr>
      <t xml:space="preserve">가족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시작할 용기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</si>
  <si>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FAM_START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</si>
  <si>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다른 첫마디</t>
  </si>
  <si>
    <t xml:space="preserve">prescriptions.by_domain_need.FAM_START.how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</si>
  <si>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FAM_START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</si>
  <si>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늘 같은 다툼으로 흐르던 대화가 있다면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이번엔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요즘 어때</t>
    </r>
    <r>
      <rPr>
        <sz val="10"/>
        <rFont val="Malgun Gothic"/>
        <family val="0"/>
        <charset val="1"/>
      </rPr>
      <t xml:space="preserve">?'</t>
    </r>
    <r>
      <rPr>
        <sz val="10"/>
        <rFont val="Noto Sans CJK SC"/>
        <family val="2"/>
      </rPr>
      <t xml:space="preserve">처럼 다른 첫마디로 시작해 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</si>
  <si>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prescriptions.by_domain_need.FAM_START.why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</si>
  <si>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FAM_START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</si>
  <si>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대화의 시작이 바뀌면 익숙한 갈등의 흐름도 조금씩 달라질 수 있어요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</si>
  <si>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prescriptions.by_domain_need.FAM_CHOOSE.title</t>
  </si>
  <si>
    <r>
      <rPr>
        <sz val="10"/>
        <rFont val="Noto Sans CJK SC"/>
        <family val="2"/>
      </rPr>
      <t xml:space="preserve">가족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정리와 선택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</si>
  <si>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FAM_CHOOSE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</si>
  <si>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내 몫과 나눌 몫</t>
  </si>
  <si>
    <t xml:space="preserve">prescriptions.by_domain_need.FAM_CHOOSE.how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</si>
  <si>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FAM_CHOOSE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</si>
  <si>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지금 가족 일 중 내가 꼭 해야 하는 것과 다른 사람이 나눌 수 있는 것을 두 칸으로 나눠 적어 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</si>
  <si>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prescriptions.by_domain_need.FAM_CHOOSE.why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</si>
  <si>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FAM_CHOOSE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</si>
  <si>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책임의 경계가 보이면 혼자 다 떠안던 마음의 짐이 가벼워져요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</si>
  <si>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prescriptions.by_domain_need.FAM_CONNECT.title</t>
  </si>
  <si>
    <r>
      <rPr>
        <sz val="10"/>
        <rFont val="Noto Sans CJK SC"/>
        <family val="2"/>
      </rPr>
      <t xml:space="preserve">가족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</si>
  <si>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FAM_CONNECT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</si>
  <si>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r>
      <rPr>
        <sz val="10"/>
        <rFont val="Noto Sans CJK SC"/>
        <family val="2"/>
      </rPr>
      <t xml:space="preserve">부담 없는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분</t>
    </r>
  </si>
  <si>
    <t xml:space="preserve">prescriptions.by_domain_need.FAM_CONNECT.how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</si>
  <si>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FAM_CONNECT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</si>
  <si>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가족 중 한 명과 산책이나 차 한 잔처럼 부담 없는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분을 함께해 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</si>
  <si>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prescriptions.by_domain_need.FAM_CONNECT.why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</si>
  <si>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FAM_CONNECT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</si>
  <si>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말보다 함께 보내는 시간이 쌓일 때 관계의 온도가 천천히 올라가요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</si>
  <si>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prescriptions.by_domain_need.FAM_BOUNDARY.title</t>
  </si>
  <si>
    <r>
      <rPr>
        <sz val="10"/>
        <rFont val="Noto Sans CJK SC"/>
        <family val="2"/>
      </rPr>
      <t xml:space="preserve">가족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나를 지키는 선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</si>
  <si>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FAM_BOUNDARY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</si>
  <si>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나를 지키는 한 문장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</si>
  <si>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FAM_BOUNDARY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</si>
  <si>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비교나 간섭이 시작될 때 쓸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그 얘기는 지금은 하고 싶지 않아요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같은 문장 하나를 정해 두세요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</si>
  <si>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다가가기형으로 분류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문장 유지</t>
    </r>
    <r>
      <rPr>
        <sz val="10"/>
        <rFont val="Malgun Gothic"/>
        <family val="0"/>
        <charset val="1"/>
      </rPr>
      <t xml:space="preserve">)] </t>
    </r>
    <r>
      <rPr>
        <sz val="10"/>
        <rFont val="Noto Sans CJK SC"/>
        <family val="2"/>
      </rPr>
      <t xml:space="preserve">다가가기형이 아닌데 간섭하는 가족에게 직접 선을 긋는 말을 하도록 제안</t>
    </r>
  </si>
  <si>
    <t xml:space="preserve">prescriptions.by_domain_need.FAM_BOUNDARY.why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</si>
  <si>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FAM_BOUNDARY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</si>
  <si>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미리 정한 문장은 감정이 올라온 순간에도 선을 부드럽게 지키게 도와줘요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</si>
  <si>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prescriptions.by_domain_need.FAM_LETGO.title</t>
  </si>
  <si>
    <r>
      <rPr>
        <sz val="10"/>
        <rFont val="Noto Sans CJK SC"/>
        <family val="2"/>
      </rPr>
      <t xml:space="preserve">가족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놓아주기와 회복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</si>
  <si>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FAM_LETGO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</si>
  <si>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바라던 모습과 지금의 모습</t>
  </si>
  <si>
    <t xml:space="preserve">prescriptions.by_domain_need.FAM_LETGO.how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</si>
  <si>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FAM_LETGO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</si>
  <si>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가족에게 바라던 모습과 지금의 모습을 나란히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차이에서 느끼는 마음에 한 단어로 이름을 붙여 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</si>
  <si>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prescriptions.by_domain_need.FAM_LETGO.why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</si>
  <si>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FAM_LETGO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</si>
  <si>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바람과 현실의 차이를 인정하면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바뀌지 않는 부분에 쓰던 에너지를 나에게 돌릴 수 있어요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</si>
  <si>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prescriptions.by_domain_need.SOC_REST.title</t>
  </si>
  <si>
    <r>
      <rPr>
        <sz val="10"/>
        <rFont val="Noto Sans CJK SC"/>
        <family val="2"/>
      </rPr>
      <t xml:space="preserve">교우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쉼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</si>
  <si>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REL-CARE-L1-04 · </t>
    </r>
    <r>
      <rPr>
        <sz val="10"/>
        <rFont val="Noto Sans CJK SC"/>
        <family val="2"/>
      </rPr>
      <t xml:space="preserve">제목</t>
    </r>
  </si>
  <si>
    <t xml:space="preserve">사람을 만나지 않는 저녁을 의도적으로 만들기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</si>
  <si>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REL-CARE-L1-04]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</si>
  <si>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prescriptions.by_domain_need.SOC_REST.how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</si>
  <si>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REL-CARE-L1-04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</si>
  <si>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이번 주 저녁 하루는 약속을 잡지 않고 나만을 위한 시간으로 비워두세요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</si>
  <si>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prescriptions.by_domain_need.SOC_REST.why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</si>
  <si>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REL-CARE-L1-04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</si>
  <si>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사람 사이에서 쓴 에너지는 혼자만의 시간에 채워지기도 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쉬는 저녁이 다음 만남을 가볍게 해 줘요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</si>
  <si>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prescriptions.by_domain_need.SOC_START.title</t>
  </si>
  <si>
    <r>
      <rPr>
        <sz val="10"/>
        <rFont val="Noto Sans CJK SC"/>
        <family val="2"/>
      </rPr>
      <t xml:space="preserve">교우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시작할 용기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</si>
  <si>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NEW-REL-NEW-02 · </t>
    </r>
    <r>
      <rPr>
        <sz val="10"/>
        <rFont val="Noto Sans CJK SC"/>
        <family val="2"/>
      </rPr>
      <t xml:space="preserve">제목</t>
    </r>
  </si>
  <si>
    <t xml:space="preserve">관심사 커뮤니티 게시글 하나 읽기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</si>
  <si>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NEW-REL-NEW-02]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</si>
  <si>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prescriptions.by_domain_need.SOC_START.how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</si>
  <si>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NEW-REL-NEW-02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</si>
  <si>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관심 있는 활동의 온라인 모임에서 공지나 후기 한 개를 읽어보고 분위기를 살펴보세요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</si>
  <si>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prescriptions.by_domain_need.SOC_START.why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</si>
  <si>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NEW-REL-NEW-02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</si>
  <si>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직접 나서기 전에 분위기를 먼저 살펴보면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새로운 관계를 시작하는 문턱이 한결 낮아져요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</si>
  <si>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prescriptions.by_domain_need.SOC_CHOOSE.title</t>
  </si>
  <si>
    <r>
      <rPr>
        <sz val="10"/>
        <rFont val="Noto Sans CJK SC"/>
        <family val="2"/>
      </rPr>
      <t xml:space="preserve">교우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정리와 선택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</si>
  <si>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THX-RBT-10 · </t>
    </r>
    <r>
      <rPr>
        <sz val="10"/>
        <rFont val="Noto Sans CJK SC"/>
        <family val="2"/>
      </rPr>
      <t xml:space="preserve">제목</t>
    </r>
  </si>
  <si>
    <t xml:space="preserve">갈등이 정리된 뒤 바라는 내 마음 상태를 세 줄로 쓰기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</si>
  <si>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THX-RBT-10] </t>
    </r>
    <r>
      <rPr>
        <sz val="10"/>
        <rFont val="Noto Sans CJK SC"/>
        <family val="2"/>
      </rPr>
      <t xml:space="preserve">원본 문장 그대로</t>
    </r>
  </si>
  <si>
    <t xml:space="preserve">prescriptions.by_domain_need.SOC_CHOOSE.how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</si>
  <si>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THX-RBT-10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</si>
  <si>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요즘 마음을 예민하게 만드는 갈등 하나를 골라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정리된다면 내 마음이 어떤 상태면 좋을지 두세 줄 적어보세요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Malgun Gothic"/>
        <family val="0"/>
        <charset val="1"/>
      </rPr>
      <t xml:space="preserve">: '</t>
    </r>
    <r>
      <rPr>
        <sz val="10"/>
        <rFont val="Noto Sans CJK SC"/>
        <family val="2"/>
      </rPr>
      <t xml:space="preserve">덜 날카롭게 퇴근하기</t>
    </r>
    <r>
      <rPr>
        <sz val="10"/>
        <rFont val="Malgun Gothic"/>
        <family val="0"/>
        <charset val="1"/>
      </rPr>
      <t xml:space="preserve">'). </t>
    </r>
    <r>
      <rPr>
        <sz val="10"/>
        <rFont val="Noto Sans CJK SC"/>
        <family val="2"/>
      </rPr>
      <t xml:space="preserve">그 가운데 상대가 바뀌지 않아도 내가 할 수 있는 한 줄을 골라 이번 주 해봅니다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</si>
  <si>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prescriptions.by_domain_need.SOC_CHOOSE.why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</si>
  <si>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THX-RBT-10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</si>
  <si>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상대가 바뀌길 기다리면 내 마음은 계속 묶여서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내가 어떤 마음으로 지내고 싶은지부터 적어봐요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</si>
  <si>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prescriptions.by_domain_need.SOC_CONNECT.title</t>
  </si>
  <si>
    <r>
      <rPr>
        <sz val="10"/>
        <rFont val="Noto Sans CJK SC"/>
        <family val="2"/>
      </rPr>
      <t xml:space="preserve">교우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</si>
  <si>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NEW-REL-ASYNC-01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</si>
  <si>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답장을 재촉하지 않는 안부 보내기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</si>
  <si>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NEW-REL-ASYNC-01]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</si>
  <si>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prescriptions.by_domain_need.SOC_CONNECT.how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</si>
  <si>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NEW-REL-ASYNC-01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</si>
  <si>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오랜만에 떠오른 사람에게 답장을 기다리지 않아도 된다는 말과 함께 가벼운 안부를 보내보세요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</si>
  <si>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prescriptions.by_domain_need.SOC_CONNECT.why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</si>
  <si>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NEW-REL-ASYNC-01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</si>
  <si>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답장 부담을 덜어 준 안부는 주고받는 마음을 가볍게 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끊긴 줄 알았던 연결을 다시 이어 줘요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</si>
  <si>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prescriptions.by_domain_need.SOC_BOUNDARY.title</t>
  </si>
  <si>
    <r>
      <rPr>
        <sz val="10"/>
        <rFont val="Noto Sans CJK SC"/>
        <family val="2"/>
      </rPr>
      <t xml:space="preserve">교우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나를 지키는 선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</si>
  <si>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NEW-REL-BOUNDARY-03 · </t>
    </r>
    <r>
      <rPr>
        <sz val="10"/>
        <rFont val="Noto Sans CJK SC"/>
        <family val="2"/>
      </rPr>
      <t xml:space="preserve">제목</t>
    </r>
  </si>
  <si>
    <t xml:space="preserve">만남 종료 시간을 미리 정하기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</si>
  <si>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NEW-REL-BOUNDARY-03]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</si>
  <si>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prescriptions.by_domain_need.SOC_BOUNDARY.how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</si>
  <si>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NEW-REL-BOUNDARY-03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</si>
  <si>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오랜만에 사람을 만나는 날에는 내가 편히 지킬 수 있는 귀가 시간을 생각해두세요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</si>
  <si>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prescriptions.by_domain_need.SOC_BOUNDARY.why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</si>
  <si>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NEW-REL-BOUNDARY-03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</si>
  <si>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끝나는 시간을 미리 정해 두면 만남을 더 편하게 즐기고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지친 채로 무리하지 않을 수 있어요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</si>
  <si>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prescriptions.by_domain_need.SOC_LETGO.title</t>
  </si>
  <si>
    <r>
      <rPr>
        <sz val="10"/>
        <rFont val="Noto Sans CJK SC"/>
        <family val="2"/>
      </rPr>
      <t xml:space="preserve">교우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놓아주기와 회복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</si>
  <si>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REL-CARE-L1-02 · </t>
    </r>
    <r>
      <rPr>
        <sz val="10"/>
        <rFont val="Noto Sans CJK SC"/>
        <family val="2"/>
      </rPr>
      <t xml:space="preserve">제목</t>
    </r>
  </si>
  <si>
    <t xml:space="preserve">즉각 반응해야 한다는 압박을 내려놓기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</si>
  <si>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REL-CARE-L1-02]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</si>
  <si>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prescriptions.by_domain_need.SOC_LETGO.how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</si>
  <si>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REL-CARE-L1-02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</si>
  <si>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메시지나 부탁에 바로 답해야 할 것 같을 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 시간쯤 두었다가 답해도 괜찮은지 스스로에게 물어보세요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</si>
  <si>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prescriptions.by_domain_need.SOC_LETGO.why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</si>
  <si>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SOC_LETGO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REL-CARE-L1-02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</si>
  <si>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늘 바로 반응하려고 애쓰면 마음이 쉴 틈이 없어서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조금 늦어도 괜찮다는 여유가 관계의 긴장을 풀어 줘요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</si>
  <si>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prescriptions.by_domain_need.LIF_REST.title</t>
  </si>
  <si>
    <r>
      <rPr>
        <sz val="10"/>
        <rFont val="Noto Sans CJK SC"/>
        <family val="2"/>
      </rPr>
      <t xml:space="preserve">재정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쉼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</si>
  <si>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LIF_REST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</si>
  <si>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r>
      <rPr>
        <sz val="10"/>
        <rFont val="Noto Sans CJK SC"/>
        <family val="2"/>
      </rPr>
      <t xml:space="preserve">잠자리 </t>
    </r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</rPr>
      <t xml:space="preserve">분 루틴</t>
    </r>
  </si>
  <si>
    <t xml:space="preserve">prescriptions.by_domain_need.LIF_REST.how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</si>
  <si>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LIF_REST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</si>
  <si>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자기 </t>
    </r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</rPr>
      <t xml:space="preserve">분 전에는 화면을 끄고 씻기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스트레칭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조명 낮추기를 같은 순서로 해 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</si>
  <si>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prescriptions.by_domain_need.LIF_REST.why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</si>
  <si>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LIF_REST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</si>
  <si>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같은 순서의 루틴은 몸에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이제 쉴 시간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이라는 신호를 주어 잠들기 쉽게 해 줘요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</si>
  <si>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prescriptions.by_domain_need.LIF_START.title</t>
  </si>
  <si>
    <r>
      <rPr>
        <sz val="10"/>
        <rFont val="Noto Sans CJK SC"/>
        <family val="2"/>
      </rPr>
      <t xml:space="preserve">재정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시작할 용기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</si>
  <si>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LIF_START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</si>
  <si>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생활 기둥 하나</t>
  </si>
  <si>
    <t xml:space="preserve">prescriptions.by_domain_need.LIF_START.how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</si>
  <si>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LIF_START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</si>
  <si>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기상 시간이나 아침 식사처럼 하루를 받쳐 줄 습관 하나를 정해 이번 주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일만 지켜 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</si>
  <si>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prescriptions.by_domain_need.LIF_START.why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</si>
  <si>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LIF_START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</si>
  <si>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작은 습관 하나가 자리를 잡으면 무너졌던 생활 리듬이 그 기둥을 중심으로 다시 돌아와요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</si>
  <si>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prescriptions.by_domain_need.LIF_CHOOSE.title</t>
  </si>
  <si>
    <r>
      <rPr>
        <sz val="10"/>
        <rFont val="Noto Sans CJK SC"/>
        <family val="2"/>
      </rPr>
      <t xml:space="preserve">재정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정리와 선택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</si>
  <si>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LIF_CHOOSE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</si>
  <si>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돈의 흐름 세 칸</t>
  </si>
  <si>
    <t xml:space="preserve">prescriptions.by_domain_need.LIF_CHOOSE.how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</si>
  <si>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LIF_CHOOSE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</si>
  <si>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이번 달 지출을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고정 지출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꼭 필요한 지출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줄일 수 있는 지출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세 칸으로 나눠 적어 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</si>
  <si>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prescriptions.by_domain_need.LIF_CHOOSE.why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</si>
  <si>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LIF_CHOOSE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</si>
  <si>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막연한 돈 걱정을 숫자로 펼치면 내가 고를 수 있는 부분이 보이기 시작해요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</si>
  <si>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prescriptions.by_domain_need.LIF_CONNECT.title</t>
  </si>
  <si>
    <r>
      <rPr>
        <sz val="10"/>
        <rFont val="Noto Sans CJK SC"/>
        <family val="2"/>
      </rPr>
      <t xml:space="preserve">재정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</si>
  <si>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LIF_CONNECT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</si>
  <si>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생활 고민 한 가지 나누기</t>
  </si>
  <si>
    <t xml:space="preserve">prescriptions.by_domain_need.LIF_CONNECT.how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</si>
  <si>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LIF_CONNECT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</si>
  <si>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믿을 만한 사람에게 지금 생활에서 가장 버거운 한 가지를 짧게 털어놓아 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</si>
  <si>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prescriptions.by_domain_need.LIF_CONNECT.why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</si>
  <si>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LIF_CONNECT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</si>
  <si>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혼자 품던 생활 고민도 말로 꺼내면 실마리가 보이거나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적어도 마음이 가벼워져요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</si>
  <si>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prescriptions.by_domain_need.LIF_BOUNDARY.title</t>
  </si>
  <si>
    <r>
      <rPr>
        <sz val="10"/>
        <rFont val="Noto Sans CJK SC"/>
        <family val="2"/>
      </rPr>
      <t xml:space="preserve">재정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나를 지키는 선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</si>
  <si>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LIF_BOUNDARY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</si>
  <si>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장바구니 규칙</t>
    </r>
  </si>
  <si>
    <t xml:space="preserve">prescriptions.by_domain_need.LIF_BOUNDARY.how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</si>
  <si>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LIF_BOUNDARY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</si>
  <si>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사고 싶은 물건은 장바구니에 넣고 </t>
    </r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뒤에 다시 보는 규칙을 정해 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</si>
  <si>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prescriptions.by_domain_need.LIF_BOUNDARY.why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</si>
  <si>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LIF_BOUNDARY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</si>
  <si>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시간을 두면 순간의 감정과 진짜 필요를 구분하기 쉬워져요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</si>
  <si>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prescriptions.by_domain_need.LIF_LETGO.title</t>
  </si>
  <si>
    <r>
      <rPr>
        <sz val="10"/>
        <rFont val="Noto Sans CJK SC"/>
        <family val="2"/>
      </rPr>
      <t xml:space="preserve">재정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놓아주기와 회복</t>
    </r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</si>
  <si>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LIF_LETGO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</si>
  <si>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할 수 있는 칸 하나만</t>
  </si>
  <si>
    <t xml:space="preserve">prescriptions.by_domain_need.LIF_LETGO.how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</si>
  <si>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LIF_LETGO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</si>
  <si>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지금 생활 걱정을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이번 주 할 수 있는 것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지금은 할 수 없는 것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나눠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첫 칸에서 하나만 해 보세요</t>
    </r>
    <r>
      <rPr>
        <sz val="10"/>
        <rFont val="Malgun Gothic"/>
        <family val="0"/>
        <charset val="1"/>
      </rPr>
      <t xml:space="preserve">.</t>
    </r>
  </si>
  <si>
    <t xml:space="preserve">prescriptions.by_domain_need.LIF_LETGO.why</t>
  </si>
  <si>
    <r>
      <rPr>
        <sz val="10"/>
        <rFont val="Noto Sans CJK SC"/>
        <family val="2"/>
      </rPr>
      <t xml:space="preserve">영역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필요 </t>
    </r>
    <r>
      <rPr>
        <sz val="10"/>
        <rFont val="Malgun Gothic"/>
        <family val="0"/>
        <charset val="1"/>
      </rPr>
      <t xml:space="preserve">LIF_LETGO · </t>
    </r>
    <r>
      <rPr>
        <sz val="10"/>
        <rFont val="Noto Sans CJK SC"/>
        <family val="2"/>
      </rPr>
      <t xml:space="preserve">쏠 타로 자체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</si>
  <si>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할 수 없는 걱정을 내려놓으면 할 수 있는 일에 힘을 모을 수 있어요</t>
    </r>
    <r>
      <rPr>
        <sz val="10"/>
        <rFont val="Malgun Gothic"/>
        <family val="0"/>
        <charset val="1"/>
      </rPr>
      <t xml:space="preserve">.</t>
    </r>
  </si>
  <si>
    <t xml:space="preserve">prescriptions.by_need.REST.title</t>
  </si>
  <si>
    <r>
      <rPr>
        <sz val="10"/>
        <rFont val="Noto Sans CJK SC"/>
        <family val="2"/>
      </rPr>
      <t xml:space="preserve">필요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쉼</t>
    </r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</si>
  <si>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THX-WBT-18 · </t>
    </r>
    <r>
      <rPr>
        <sz val="10"/>
        <rFont val="Noto Sans CJK SC"/>
        <family val="2"/>
      </rPr>
      <t xml:space="preserve">제목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</si>
  <si>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를 적고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 쉬어보기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</si>
  <si>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THX-WBT-18] </t>
    </r>
    <r>
      <rPr>
        <sz val="10"/>
        <rFont val="Noto Sans CJK SC"/>
        <family val="2"/>
      </rPr>
      <t xml:space="preserve">원본 문장 그대로</t>
    </r>
  </si>
  <si>
    <t xml:space="preserve">prescriptions.by_need.REST.how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</si>
  <si>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THX-WBT-18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</si>
  <si>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이번 주 일이나 집안일로 쉬지 못한 순간을 떠올려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를 적어본 뒤</t>
    </r>
    <r>
      <rPr>
        <sz val="10"/>
        <rFont val="Malgun Gothic"/>
        <family val="0"/>
        <charset val="1"/>
      </rPr>
      <t xml:space="preserve">, 10</t>
    </r>
    <r>
      <rPr>
        <sz val="10"/>
        <rFont val="Noto Sans CJK SC"/>
        <family val="2"/>
      </rPr>
      <t xml:space="preserve">분 쉬어도 되는 때를 하나 정해 실제로 쉬어보세요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쉬는 동안 올라오는 생각에는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할 일 생각이네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하고 이름만 붙입니다</t>
    </r>
    <r>
      <rPr>
        <sz val="10"/>
        <rFont val="Malgun Gothic"/>
        <family val="0"/>
        <charset val="1"/>
      </rPr>
      <t xml:space="preserve">.</t>
    </r>
  </si>
  <si>
    <t xml:space="preserve">prescriptions.by_need.REST.why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</si>
  <si>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REST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THX-WBT-18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</si>
  <si>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일상을 다루는 힘도 너무 쥐어짜면 지치기 쉬워서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쉴 줄 아는 쪽으로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분을 내어봐요</t>
    </r>
    <r>
      <rPr>
        <sz val="10"/>
        <rFont val="Malgun Gothic"/>
        <family val="0"/>
        <charset val="1"/>
      </rPr>
      <t xml:space="preserve">.</t>
    </r>
  </si>
  <si>
    <t xml:space="preserve">prescriptions.by_need.START.title</t>
  </si>
  <si>
    <r>
      <rPr>
        <sz val="10"/>
        <rFont val="Noto Sans CJK SC"/>
        <family val="2"/>
      </rPr>
      <t xml:space="preserve">필요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시작할 용기</t>
    </r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</si>
  <si>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NEW-SELF-VALUES-06 · </t>
    </r>
    <r>
      <rPr>
        <sz val="10"/>
        <rFont val="Noto Sans CJK SC"/>
        <family val="2"/>
      </rPr>
      <t xml:space="preserve">제목</t>
    </r>
  </si>
  <si>
    <t xml:space="preserve">내가 다시 해보고 싶은 작은 일 고르기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</si>
  <si>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NEW-SELF-VALUES-06]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</si>
  <si>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prescriptions.by_need.START.how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</si>
  <si>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NEW-SELF-VALUES-06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</si>
  <si>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예전에 즐겼지만 잊고 지낸 활동 하나를 골라 다시 해볼 날짜만 정해보세요</t>
    </r>
    <r>
      <rPr>
        <sz val="10"/>
        <rFont val="Malgun Gothic"/>
        <family val="0"/>
        <charset val="1"/>
      </rPr>
      <t xml:space="preserve">.</t>
    </r>
  </si>
  <si>
    <t xml:space="preserve">prescriptions.by_need.START.why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</si>
  <si>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START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NEW-SELF-VALUES-06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</si>
  <si>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한 번 즐겨 본 일은 시작의 문턱이 낮아서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날짜 하나만 정해도 다시 움직일 힘이 생겨요</t>
    </r>
    <r>
      <rPr>
        <sz val="10"/>
        <rFont val="Malgun Gothic"/>
        <family val="0"/>
        <charset val="1"/>
      </rPr>
      <t xml:space="preserve">.</t>
    </r>
  </si>
  <si>
    <t xml:space="preserve">prescriptions.by_need.CHOOSE.title</t>
  </si>
  <si>
    <r>
      <rPr>
        <sz val="10"/>
        <rFont val="Noto Sans CJK SC"/>
        <family val="2"/>
      </rPr>
      <t xml:space="preserve">필요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정리와 선택</t>
    </r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</si>
  <si>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THX-CBT-15 · </t>
    </r>
    <r>
      <rPr>
        <sz val="10"/>
        <rFont val="Noto Sans CJK SC"/>
        <family val="2"/>
      </rPr>
      <t xml:space="preserve">제목</t>
    </r>
  </si>
  <si>
    <t xml:space="preserve">머릿속 고민을 다 꺼낸 뒤 가장 큰 두 가지만 고르기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</si>
  <si>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THX-CBT-15] </t>
    </r>
    <r>
      <rPr>
        <sz val="10"/>
        <rFont val="Noto Sans CJK SC"/>
        <family val="2"/>
      </rPr>
      <t xml:space="preserve">원본 문장 그대로</t>
    </r>
  </si>
  <si>
    <t xml:space="preserve">prescriptions.by_need.CHOOSE.how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</si>
  <si>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THX-CBT-15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</si>
  <si>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지금 마음을 무겁게 하는 일을 생각나는 대로 모두 적고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비슷한 것끼리 묶어 가장 중요한 두 가지만 골라보세요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나머지는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나중에 볼 목록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에 옮겨두면 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한 번에 다 풀지 않아도 괜찮습니다</t>
    </r>
    <r>
      <rPr>
        <sz val="10"/>
        <rFont val="Malgun Gothic"/>
        <family val="0"/>
        <charset val="1"/>
      </rPr>
      <t xml:space="preserve">.</t>
    </r>
  </si>
  <si>
    <t xml:space="preserve">prescriptions.by_need.CHOOSE.why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</si>
  <si>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CHOOSE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THX-CBT-15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</si>
  <si>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고민이 한꺼번에 몰리면 다 무거워서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가장 큰 두 가지만 남기고 나머지는 잠시 내려놓아요</t>
    </r>
    <r>
      <rPr>
        <sz val="10"/>
        <rFont val="Malgun Gothic"/>
        <family val="0"/>
        <charset val="1"/>
      </rPr>
      <t xml:space="preserve">.</t>
    </r>
  </si>
  <si>
    <t xml:space="preserve">prescriptions.by_need.CONNECT.title</t>
  </si>
  <si>
    <r>
      <rPr>
        <sz val="10"/>
        <rFont val="Noto Sans CJK SC"/>
        <family val="2"/>
      </rPr>
      <t xml:space="preserve">필요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</si>
  <si>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SELF-TALK-L1-02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제목</t>
    </r>
  </si>
  <si>
    <t xml:space="preserve">가벼운 연락으로 관계의 끈을 이어두기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</si>
  <si>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SELF-TALK-L1-02]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</si>
  <si>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prescriptions.by_need.CONNECT.how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</si>
  <si>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SELF-TALK-L1-02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</si>
  <si>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요즘 생각나는 사람 한 명에게 짧은 안부 한 줄을 보내보세요</t>
    </r>
    <r>
      <rPr>
        <sz val="10"/>
        <rFont val="Malgun Gothic"/>
        <family val="0"/>
        <charset val="1"/>
      </rPr>
      <t xml:space="preserve">.</t>
    </r>
  </si>
  <si>
    <t xml:space="preserve">prescriptions.by_need.CONNECT.why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</si>
  <si>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CONNECT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SELF-TALK-L1-02 · </t>
    </r>
    <r>
      <rPr>
        <sz val="10"/>
        <rFont val="Noto Sans CJK SC"/>
        <family val="2"/>
      </rPr>
      <t xml:space="preserve">다가가기형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</si>
  <si>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가벼운 연락 한 번이 관계의 끈을 이어 두고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혼자라는 느낌도 조금 덜어 줘요</t>
    </r>
    <r>
      <rPr>
        <sz val="10"/>
        <rFont val="Malgun Gothic"/>
        <family val="0"/>
        <charset val="1"/>
      </rPr>
      <t xml:space="preserve">.</t>
    </r>
  </si>
  <si>
    <t xml:space="preserve">prescriptions.by_need.BOUNDARY.title</t>
  </si>
  <si>
    <r>
      <rPr>
        <sz val="10"/>
        <rFont val="Noto Sans CJK SC"/>
        <family val="2"/>
      </rPr>
      <t xml:space="preserve">필요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나를 지키는 선</t>
    </r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</si>
  <si>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NEW-SELF-VALUES-03 · </t>
    </r>
    <r>
      <rPr>
        <sz val="10"/>
        <rFont val="Noto Sans CJK SC"/>
        <family val="2"/>
      </rPr>
      <t xml:space="preserve">제목</t>
    </r>
  </si>
  <si>
    <t xml:space="preserve">최근 거절해서 잘했다고 느낀 일 떠올리기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</si>
  <si>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NEW-SELF-VALUES-03] </t>
    </r>
    <r>
      <rPr>
        <sz val="10"/>
        <rFont val="Noto Sans CJK SC"/>
        <family val="2"/>
      </rPr>
      <t xml:space="preserve">뜻은 원본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설명 어미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이유를 타로 결과용으로 다듬음</t>
    </r>
  </si>
  <si>
    <t xml:space="preserve">prescriptions.by_need.BOUNDARY.how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</si>
  <si>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NEW-SELF-VALUES-03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</si>
  <si>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내 시간을 지켜준 선택 하나를 떠올려 무엇을 보호했는지 적어보세요</t>
    </r>
    <r>
      <rPr>
        <sz val="10"/>
        <rFont val="Malgun Gothic"/>
        <family val="0"/>
        <charset val="1"/>
      </rPr>
      <t xml:space="preserve">.</t>
    </r>
  </si>
  <si>
    <t xml:space="preserve">prescriptions.by_need.BOUNDARY.why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</si>
  <si>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BOUNDARY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NEW-SELF-VALUES-03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</si>
  <si>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선을 지켜서 좋았던 경험을 떠올리면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다음에도 나를 지키는 선택을 하기가 한결 쉬워져요</t>
    </r>
    <r>
      <rPr>
        <sz val="10"/>
        <rFont val="Malgun Gothic"/>
        <family val="0"/>
        <charset val="1"/>
      </rPr>
      <t xml:space="preserve">.</t>
    </r>
  </si>
  <si>
    <t xml:space="preserve">prescriptions.by_need.LETGO.title</t>
  </si>
  <si>
    <r>
      <rPr>
        <sz val="10"/>
        <rFont val="Noto Sans CJK SC"/>
        <family val="2"/>
      </rPr>
      <t xml:space="preserve">필요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놓아주기와 회복</t>
    </r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</si>
  <si>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THX-REBT-28 · </t>
    </r>
    <r>
      <rPr>
        <sz val="10"/>
        <rFont val="Noto Sans CJK SC"/>
        <family val="2"/>
      </rPr>
      <t xml:space="preserve">제목</t>
    </r>
  </si>
  <si>
    <r>
      <rPr>
        <sz val="10"/>
        <rFont val="Noto Sans CJK SC"/>
        <family val="2"/>
      </rPr>
      <t xml:space="preserve">흔들린 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전에는 어떻게 다시 올라왔지</t>
    </r>
    <r>
      <rPr>
        <sz val="10"/>
        <rFont val="Malgun Gothic"/>
        <family val="0"/>
        <charset val="1"/>
      </rPr>
      <t xml:space="preserve">?' </t>
    </r>
    <r>
      <rPr>
        <sz val="10"/>
        <rFont val="Noto Sans CJK SC"/>
        <family val="2"/>
      </rPr>
      <t xml:space="preserve">한 줄 적기</t>
    </r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</si>
  <si>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쏠 실천 통합본 </t>
    </r>
    <r>
      <rPr>
        <sz val="10"/>
        <rFont val="Malgun Gothic"/>
        <family val="0"/>
        <charset val="1"/>
      </rPr>
      <t xml:space="preserve">THX-REBT-28] </t>
    </r>
    <r>
      <rPr>
        <sz val="10"/>
        <rFont val="Noto Sans CJK SC"/>
        <family val="2"/>
      </rPr>
      <t xml:space="preserve">원본 문장 그대로</t>
    </r>
  </si>
  <si>
    <t xml:space="preserve">prescriptions.by_need.LETGO.how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</si>
  <si>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THX-REBT-28 · </t>
    </r>
    <r>
      <rPr>
        <sz val="10"/>
        <rFont val="Noto Sans CJK SC"/>
        <family val="2"/>
      </rPr>
      <t xml:space="preserve">방법</t>
    </r>
  </si>
  <si>
    <r>
      <rPr>
        <sz val="10"/>
        <rFont val="Noto Sans CJK SC"/>
        <family val="2"/>
      </rPr>
      <t xml:space="preserve">좋아지다가 다시 흔들린 날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다시 처음이야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전에 비슷할 때 무엇이 도움이 됐지</t>
    </r>
    <r>
      <rPr>
        <sz val="10"/>
        <rFont val="Malgun Gothic"/>
        <family val="0"/>
        <charset val="1"/>
      </rPr>
      <t xml:space="preserve">?'</t>
    </r>
    <r>
      <rPr>
        <sz val="10"/>
        <rFont val="Noto Sans CJK SC"/>
        <family val="2"/>
      </rPr>
      <t xml:space="preserve">를 한 줄로 적어보세요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두세 걸음 가면 한 걸음 물러나는 건 자연스러운 과정이고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적어둔 방법 하나를 오늘 다시 해보면 충분합니다</t>
    </r>
    <r>
      <rPr>
        <sz val="10"/>
        <rFont val="Malgun Gothic"/>
        <family val="0"/>
        <charset val="1"/>
      </rPr>
      <t xml:space="preserve">.</t>
    </r>
  </si>
  <si>
    <t xml:space="preserve">prescriptions.by_need.LETGO.why</t>
  </si>
  <si>
    <r>
      <rPr>
        <sz val="10"/>
        <rFont val="Noto Sans CJK SC"/>
        <family val="2"/>
      </rPr>
      <t xml:space="preserve">필요별 </t>
    </r>
    <r>
      <rPr>
        <sz val="10"/>
        <rFont val="Malgun Gothic"/>
        <family val="0"/>
        <charset val="1"/>
      </rPr>
      <t xml:space="preserve">LETGO · </t>
    </r>
    <r>
      <rPr>
        <sz val="10"/>
        <rFont val="Noto Sans CJK SC"/>
        <family val="2"/>
      </rPr>
      <t xml:space="preserve">쏠 실천 </t>
    </r>
    <r>
      <rPr>
        <sz val="10"/>
        <rFont val="Malgun Gothic"/>
        <family val="0"/>
        <charset val="1"/>
      </rPr>
      <t xml:space="preserve">THX-REBT-28 · </t>
    </r>
    <r>
      <rPr>
        <sz val="10"/>
        <rFont val="Noto Sans CJK SC"/>
        <family val="2"/>
      </rPr>
      <t xml:space="preserve">왜 도움이 되나</t>
    </r>
  </si>
  <si>
    <r>
      <rPr>
        <sz val="10"/>
        <rFont val="Noto Sans CJK SC"/>
        <family val="2"/>
      </rPr>
      <t xml:space="preserve">다시 흔들린 날은 처음으로 돌아간 게 아니라서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전에 어떻게 다시 올라왔는지를 떠올려 다시 해봐요</t>
    </r>
    <r>
      <rPr>
        <sz val="10"/>
        <rFont val="Malgun Gothic"/>
        <family val="0"/>
        <charset val="1"/>
      </rPr>
      <t xml:space="preserve">.</t>
    </r>
  </si>
  <si>
    <t xml:space="preserve">fallbacks.story.CAR.0</t>
  </si>
  <si>
    <r>
      <rPr>
        <sz val="10"/>
        <rFont val="Noto Sans CJK SC"/>
        <family val="2"/>
      </rPr>
      <t xml:space="preserve">직업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커리어</t>
    </r>
  </si>
  <si>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번 이야기 대체 </t>
    </r>
    <r>
      <rPr>
        <sz val="10"/>
        <rFont val="Malgun Gothic"/>
        <family val="0"/>
        <charset val="1"/>
      </rPr>
      <t xml:space="preserve">1 ({name}·{c1}{c2}{c3} </t>
    </r>
    <r>
      <rPr>
        <sz val="10"/>
        <rFont val="Noto Sans CJK SC"/>
        <family val="2"/>
      </rPr>
      <t xml:space="preserve">자리표시자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</si>
  <si>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일에 관한 고민을 적어 주셨죠</t>
    </r>
    <r>
      <rPr>
        <sz val="10"/>
        <rFont val="Malgun Gothic"/>
        <family val="0"/>
        <charset val="1"/>
      </rPr>
      <t xml:space="preserve">. '{c1}' </t>
    </r>
    <r>
      <rPr>
        <sz val="10"/>
        <rFont val="Noto Sans CJK SC"/>
        <family val="2"/>
      </rPr>
      <t xml:space="preserve">카드는 지금 일 앞에서 느끼는 마음을</t>
    </r>
    <r>
      <rPr>
        <sz val="10"/>
        <rFont val="Malgun Gothic"/>
        <family val="0"/>
        <charset val="1"/>
      </rPr>
      <t xml:space="preserve">, '{c2}' </t>
    </r>
    <r>
      <rPr>
        <sz val="10"/>
        <rFont val="Noto Sans CJK SC"/>
        <family val="2"/>
      </rPr>
      <t xml:space="preserve">카드는 그 마음을 무겁게 붙잡고 있는 것을 비춰요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그리고 </t>
    </r>
    <r>
      <rPr>
        <sz val="10"/>
        <rFont val="Malgun Gothic"/>
        <family val="0"/>
        <charset val="1"/>
      </rPr>
      <t xml:space="preserve">'{c3}' </t>
    </r>
    <r>
      <rPr>
        <sz val="10"/>
        <rFont val="Noto Sans CJK SC"/>
        <family val="2"/>
      </rPr>
      <t xml:space="preserve">카드는 일과 나 사이에서 내디딜 수 있는 다음 한 걸음을 가리킵니다</t>
    </r>
    <r>
      <rPr>
        <sz val="10"/>
        <rFont val="Malgun Gothic"/>
        <family val="0"/>
        <charset val="1"/>
      </rPr>
      <t xml:space="preserve">.</t>
    </r>
  </si>
  <si>
    <t xml:space="preserve">fallbacks.story.CAR.1</t>
  </si>
  <si>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번 이야기 대체 </t>
    </r>
    <r>
      <rPr>
        <sz val="10"/>
        <rFont val="Malgun Gothic"/>
        <family val="0"/>
        <charset val="1"/>
      </rPr>
      <t xml:space="preserve">2 ({name}·{c1}{c2}{c3} </t>
    </r>
    <r>
      <rPr>
        <sz val="10"/>
        <rFont val="Noto Sans CJK SC"/>
        <family val="2"/>
      </rPr>
      <t xml:space="preserve">자리표시자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</si>
  <si>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일터에서의 고민이 마음에 오래 머물러 있었던 것 같아요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세 장의 카드는 지금의 마음에서 시작해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무엇이 나를 붙잡고 있는지 지나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내가 고를 수 있는 작은 변화로 이어지는 흐름을 보여 줘요</t>
    </r>
    <r>
      <rPr>
        <sz val="10"/>
        <rFont val="Malgun Gothic"/>
        <family val="0"/>
        <charset val="1"/>
      </rPr>
      <t xml:space="preserve">.</t>
    </r>
  </si>
  <si>
    <t xml:space="preserve">fallbacks.story.DIR.0</t>
  </si>
  <si>
    <r>
      <rPr>
        <sz val="10"/>
        <rFont val="Noto Sans CJK SC"/>
        <family val="2"/>
      </rPr>
      <t xml:space="preserve">진로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</t>
    </r>
  </si>
  <si>
    <r>
      <rPr>
        <sz val="10"/>
        <rFont val="Noto Sans CJK SC"/>
        <family val="2"/>
      </rPr>
      <t xml:space="preserve">앞으로의 길에 대한 고민을 적어 주셨죠</t>
    </r>
    <r>
      <rPr>
        <sz val="10"/>
        <rFont val="Malgun Gothic"/>
        <family val="0"/>
        <charset val="1"/>
      </rPr>
      <t xml:space="preserve">. '{c1}' </t>
    </r>
    <r>
      <rPr>
        <sz val="10"/>
        <rFont val="Noto Sans CJK SC"/>
        <family val="2"/>
      </rPr>
      <t xml:space="preserve">카드는 방향을 찾는 지금의 마음을</t>
    </r>
    <r>
      <rPr>
        <sz val="10"/>
        <rFont val="Malgun Gothic"/>
        <family val="0"/>
        <charset val="1"/>
      </rPr>
      <t xml:space="preserve">, '{c2}' </t>
    </r>
    <r>
      <rPr>
        <sz val="10"/>
        <rFont val="Noto Sans CJK SC"/>
        <family val="2"/>
      </rPr>
      <t xml:space="preserve">카드는 그 마음을 망설이게 하는 것을 비춰요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카드는 정답 대신 나다운 다음 한 걸음을 가리킵니다</t>
    </r>
    <r>
      <rPr>
        <sz val="10"/>
        <rFont val="Malgun Gothic"/>
        <family val="0"/>
        <charset val="1"/>
      </rPr>
      <t xml:space="preserve">.</t>
    </r>
  </si>
  <si>
    <t xml:space="preserve">fallbacks.story.DIR.1</t>
  </si>
  <si>
    <r>
      <rPr>
        <sz val="10"/>
        <rFont val="Noto Sans CJK SC"/>
        <family val="2"/>
      </rPr>
      <t xml:space="preserve">나 자신과 삶의 방향을 오래 고민해 온 마음이 느껴져요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세 장은 지금 어디에 서 있는지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무엇이 발걸음을 무겁게 하는지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그리고 어느 쪽으로 작게 움직여 볼 수 있는지를 차례로 보여 줘요</t>
    </r>
    <r>
      <rPr>
        <sz val="10"/>
        <rFont val="Malgun Gothic"/>
        <family val="0"/>
        <charset val="1"/>
      </rPr>
      <t xml:space="preserve">.</t>
    </r>
  </si>
  <si>
    <t xml:space="preserve">fallbacks.story.LOV.0</t>
  </si>
  <si>
    <t xml:space="preserve">연애</t>
  </si>
  <si>
    <r>
      <rPr>
        <sz val="10"/>
        <rFont val="Noto Sans CJK SC"/>
        <family val="2"/>
      </rPr>
      <t xml:space="preserve">연애에 관한 고민을 적어 주셨죠</t>
    </r>
    <r>
      <rPr>
        <sz val="10"/>
        <rFont val="Malgun Gothic"/>
        <family val="0"/>
        <charset val="1"/>
      </rPr>
      <t xml:space="preserve">. '{c1}' </t>
    </r>
    <r>
      <rPr>
        <sz val="10"/>
        <rFont val="Noto Sans CJK SC"/>
        <family val="2"/>
      </rPr>
      <t xml:space="preserve">카드는 이 관계 앞에서의 지금 마음을</t>
    </r>
    <r>
      <rPr>
        <sz val="10"/>
        <rFont val="Malgun Gothic"/>
        <family val="0"/>
        <charset val="1"/>
      </rPr>
      <t xml:space="preserve">, '{c2}' </t>
    </r>
    <r>
      <rPr>
        <sz val="10"/>
        <rFont val="Noto Sans CJK SC"/>
        <family val="2"/>
      </rPr>
      <t xml:space="preserve">카드는 그 마음을 붙잡고 있는 것을 비춰요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카드는 상대보다 먼저 내 마음을 살피는 다음 한 걸음을 가리킵니다</t>
    </r>
    <r>
      <rPr>
        <sz val="10"/>
        <rFont val="Malgun Gothic"/>
        <family val="0"/>
        <charset val="1"/>
      </rPr>
      <t xml:space="preserve">.</t>
    </r>
  </si>
  <si>
    <t xml:space="preserve">fallbacks.story.LOV.1</t>
  </si>
  <si>
    <r>
      <rPr>
        <sz val="10"/>
        <rFont val="Noto Sans CJK SC"/>
        <family val="2"/>
      </rPr>
      <t xml:space="preserve">마음을 쓰는 관계가 있어서 고민도 깊었던 것 같아요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세 장은 지금의 마음에서 시작해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머뭇거리게 하는 것을 지나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나를 잃지 않고 이어질 수 있는 방향으로 흘러가요</t>
    </r>
    <r>
      <rPr>
        <sz val="10"/>
        <rFont val="Malgun Gothic"/>
        <family val="0"/>
        <charset val="1"/>
      </rPr>
      <t xml:space="preserve">.</t>
    </r>
  </si>
  <si>
    <t xml:space="preserve">fallbacks.story.FAM.0</t>
  </si>
  <si>
    <t xml:space="preserve">가족</t>
  </si>
  <si>
    <r>
      <rPr>
        <sz val="10"/>
        <rFont val="Noto Sans CJK SC"/>
        <family val="2"/>
      </rPr>
      <t xml:space="preserve">가족에 관한 고민을 적어 주셨죠</t>
    </r>
    <r>
      <rPr>
        <sz val="10"/>
        <rFont val="Malgun Gothic"/>
        <family val="0"/>
        <charset val="1"/>
      </rPr>
      <t xml:space="preserve">. '{c1}' </t>
    </r>
    <r>
      <rPr>
        <sz val="10"/>
        <rFont val="Noto Sans CJK SC"/>
        <family val="2"/>
      </rPr>
      <t xml:space="preserve">카드는 가족 사이에서 느끼는 지금의 마음을</t>
    </r>
    <r>
      <rPr>
        <sz val="10"/>
        <rFont val="Malgun Gothic"/>
        <family val="0"/>
        <charset val="1"/>
      </rPr>
      <t xml:space="preserve">, '{c2}' </t>
    </r>
    <r>
      <rPr>
        <sz val="10"/>
        <rFont val="Noto Sans CJK SC"/>
        <family val="2"/>
      </rPr>
      <t xml:space="preserve">카드는 그 마음을 무겁게 만드는 것을 비춰요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카드는 가족 안에서도 나를 지킬 수 있는 다음 한 걸음을 가리킵니다</t>
    </r>
    <r>
      <rPr>
        <sz val="10"/>
        <rFont val="Malgun Gothic"/>
        <family val="0"/>
        <charset val="1"/>
      </rPr>
      <t xml:space="preserve">.</t>
    </r>
  </si>
  <si>
    <t xml:space="preserve">fallbacks.story.FAM.1</t>
  </si>
  <si>
    <r>
      <rPr>
        <sz val="10"/>
        <rFont val="Noto Sans CJK SC"/>
        <family val="2"/>
      </rPr>
      <t xml:space="preserve">가까운 사이라서 더 어려운 마음이 느껴져요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세 장은 지금의 마음과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붙잡고 있는 것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그리고 나를 돌보며 가족과 지낼 수 있는 작은 방법을 차례로 비춰 줘요</t>
    </r>
    <r>
      <rPr>
        <sz val="10"/>
        <rFont val="Malgun Gothic"/>
        <family val="0"/>
        <charset val="1"/>
      </rPr>
      <t xml:space="preserve">.</t>
    </r>
  </si>
  <si>
    <t xml:space="preserve">fallbacks.story.SOC.0</t>
  </si>
  <si>
    <r>
      <rPr>
        <sz val="10"/>
        <rFont val="Noto Sans CJK SC"/>
        <family val="2"/>
      </rPr>
      <t xml:space="preserve">교우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</t>
    </r>
  </si>
  <si>
    <r>
      <rPr>
        <sz val="10"/>
        <rFont val="Noto Sans CJK SC"/>
        <family val="2"/>
      </rPr>
      <t xml:space="preserve">사람 사이의 고민을 적어 주셨죠</t>
    </r>
    <r>
      <rPr>
        <sz val="10"/>
        <rFont val="Malgun Gothic"/>
        <family val="0"/>
        <charset val="1"/>
      </rPr>
      <t xml:space="preserve">. '{c1}' </t>
    </r>
    <r>
      <rPr>
        <sz val="10"/>
        <rFont val="Noto Sans CJK SC"/>
        <family val="2"/>
      </rPr>
      <t xml:space="preserve">카드는 관계 속 지금의 마음을</t>
    </r>
    <r>
      <rPr>
        <sz val="10"/>
        <rFont val="Malgun Gothic"/>
        <family val="0"/>
        <charset val="1"/>
      </rPr>
      <t xml:space="preserve">, '{c2}' </t>
    </r>
    <r>
      <rPr>
        <sz val="10"/>
        <rFont val="Noto Sans CJK SC"/>
        <family val="2"/>
      </rPr>
      <t xml:space="preserve">카드는 그 마음을 붙잡고 있는 것을 비춰요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카드는 나에게 편안한 거리를 찾는 다음 한 걸음을 가리킵니다</t>
    </r>
    <r>
      <rPr>
        <sz val="10"/>
        <rFont val="Malgun Gothic"/>
        <family val="0"/>
        <charset val="1"/>
      </rPr>
      <t xml:space="preserve">.</t>
    </r>
  </si>
  <si>
    <t xml:space="preserve">fallbacks.story.SOC.1</t>
  </si>
  <si>
    <r>
      <rPr>
        <sz val="10"/>
        <rFont val="Noto Sans CJK SC"/>
        <family val="2"/>
      </rPr>
      <t xml:space="preserve">사람들 사이에서 마음을 많이 써 온 것 같아요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세 장은 지금의 마음에서 출발해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무엇이 나를 지치게 하는지 지나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나다운 관계의 모양을 찾아가는 흐름을 보여 줘요</t>
    </r>
    <r>
      <rPr>
        <sz val="10"/>
        <rFont val="Malgun Gothic"/>
        <family val="0"/>
        <charset val="1"/>
      </rPr>
      <t xml:space="preserve">.</t>
    </r>
  </si>
  <si>
    <t xml:space="preserve">fallbacks.story.LIF.0</t>
  </si>
  <si>
    <r>
      <rPr>
        <sz val="10"/>
        <rFont val="Noto Sans CJK SC"/>
        <family val="2"/>
      </rPr>
      <t xml:space="preserve">재정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</t>
    </r>
  </si>
  <si>
    <r>
      <rPr>
        <sz val="10"/>
        <rFont val="Noto Sans CJK SC"/>
        <family val="2"/>
      </rPr>
      <t xml:space="preserve">생활과 돈에 관한 고민을 적어 주셨죠</t>
    </r>
    <r>
      <rPr>
        <sz val="10"/>
        <rFont val="Malgun Gothic"/>
        <family val="0"/>
        <charset val="1"/>
      </rPr>
      <t xml:space="preserve">. '{c1}' </t>
    </r>
    <r>
      <rPr>
        <sz val="10"/>
        <rFont val="Noto Sans CJK SC"/>
        <family val="2"/>
      </rPr>
      <t xml:space="preserve">카드는 지금의 마음을</t>
    </r>
    <r>
      <rPr>
        <sz val="10"/>
        <rFont val="Malgun Gothic"/>
        <family val="0"/>
        <charset val="1"/>
      </rPr>
      <t xml:space="preserve">, '{c2}' </t>
    </r>
    <r>
      <rPr>
        <sz val="10"/>
        <rFont val="Noto Sans CJK SC"/>
        <family val="2"/>
      </rPr>
      <t xml:space="preserve">카드는 그 마음을 조급하게 만드는 것을 비춰요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카드는 큰 결심보다 오늘 할 수 있는 작은 정리를 가리킵니다</t>
    </r>
    <r>
      <rPr>
        <sz val="10"/>
        <rFont val="Malgun Gothic"/>
        <family val="0"/>
        <charset val="1"/>
      </rPr>
      <t xml:space="preserve">.</t>
    </r>
  </si>
  <si>
    <t xml:space="preserve">fallbacks.story.LIF.1</t>
  </si>
  <si>
    <r>
      <rPr>
        <sz val="10"/>
        <rFont val="Noto Sans CJK SC"/>
        <family val="2"/>
      </rPr>
      <t xml:space="preserve">생활의 무게가 마음에도 내려앉아 있었던 것 같아요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세 장은 지금의 불안에서 시작해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불안을 키우는 것을 지나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작은 한 걸음으로 이어지는 흐름을 보여 줘요</t>
    </r>
    <r>
      <rPr>
        <sz val="10"/>
        <rFont val="Malgun Gothic"/>
        <family val="0"/>
        <charset val="1"/>
      </rPr>
      <t xml:space="preserve">.</t>
    </r>
  </si>
  <si>
    <t xml:space="preserve">fallbacks.story.NONE.0</t>
  </si>
  <si>
    <t xml:space="preserve">고민 미작성</t>
  </si>
  <si>
    <r>
      <rPr>
        <sz val="10"/>
        <rFont val="Noto Sans CJK SC"/>
        <family val="2"/>
      </rPr>
      <t xml:space="preserve">마음속에 품은 고민이 지금 어디에 머물러 있고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무엇에 붙잡혀 있으며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어디로 나아갈 수 있는지 세 장이 차례로 비춰 주고 있어요</t>
    </r>
    <r>
      <rPr>
        <sz val="10"/>
        <rFont val="Malgun Gothic"/>
        <family val="0"/>
        <charset val="1"/>
      </rPr>
      <t xml:space="preserve">.</t>
    </r>
  </si>
  <si>
    <t xml:space="preserve">fallbacks.story.NONE.1</t>
  </si>
  <si>
    <r>
      <rPr>
        <sz val="10"/>
        <rFont val="Noto Sans CJK SC"/>
        <family val="2"/>
      </rPr>
      <t xml:space="preserve">마음속에만 둔 고민도 카드는 조용히 비춰 줘요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세 장의 흐름 가운데 지금 가장 마음에 닿는 장면 하나를 떠올려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장면이 오늘 내 마음이 머무는 자리일 수 있어요</t>
    </r>
    <r>
      <rPr>
        <sz val="10"/>
        <rFont val="Malgun Gothic"/>
        <family val="0"/>
        <charset val="1"/>
      </rPr>
      <t xml:space="preserve">.</t>
    </r>
  </si>
  <si>
    <t xml:space="preserve">fallbacks.apply.CAR.0</t>
  </si>
  <si>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내 고민에 대어 보면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대체 </t>
    </r>
    <r>
      <rPr>
        <sz val="10"/>
        <rFont val="Malgun Gothic"/>
        <family val="0"/>
        <charset val="1"/>
      </rPr>
      <t xml:space="preserve">1 ({name}·{c1}{c2}{c3} </t>
    </r>
    <r>
      <rPr>
        <sz val="10"/>
        <rFont val="Noto Sans CJK SC"/>
        <family val="2"/>
      </rPr>
      <t xml:space="preserve">자리표시자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</si>
  <si>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님의 일 고민에 이 흐름을 대어 보면</t>
    </r>
    <r>
      <rPr>
        <sz val="10"/>
        <rFont val="Malgun Gothic"/>
        <family val="0"/>
        <charset val="1"/>
      </rPr>
      <t xml:space="preserve">, '{c1}' </t>
    </r>
    <r>
      <rPr>
        <sz val="10"/>
        <rFont val="Noto Sans CJK SC"/>
        <family val="2"/>
      </rPr>
      <t xml:space="preserve">카드가 비춘 마음은 일을 잘 해내고 싶은 마음과 지친 마음이 함께 있는 자리일 수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카드는 그 마음을 붙잡는 생각이나 습관을 살펴보라고 말해요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카드가 가리키는 한 걸음은 일 전체를 바꾸는 게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이번 주 업무 중 한 가지 방식만 달리해 보는 것일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아래 처방과 실천 중 가장 손이 가는 것 하나부터 골라 보세요</t>
    </r>
    <r>
      <rPr>
        <sz val="10"/>
        <rFont val="Malgun Gothic"/>
        <family val="0"/>
        <charset val="1"/>
      </rPr>
      <t xml:space="preserve">.</t>
    </r>
  </si>
  <si>
    <t xml:space="preserve">fallbacks.apply.CAR.1</t>
  </si>
  <si>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번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내 고민에 대어 보면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대체 </t>
    </r>
    <r>
      <rPr>
        <sz val="10"/>
        <rFont val="Malgun Gothic"/>
        <family val="0"/>
        <charset val="1"/>
      </rPr>
      <t xml:space="preserve">2 ({name}·{c1}{c2}{c3} </t>
    </r>
    <r>
      <rPr>
        <sz val="10"/>
        <rFont val="Noto Sans CJK SC"/>
        <family val="2"/>
      </rPr>
      <t xml:space="preserve">자리표시자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</si>
  <si>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적은 일 고민을 세 장에 비춰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지금은 버티는 힘을 많이 쓰고 있는 때일 수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카드가 비춘 것은 그 힘을 더 쓰게 만드는 무언가예요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카드는 일과 나 사이에 작은 선 하나를 그어 보라고 제안해요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오늘 퇴근 뒤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분만이라도 일과 상관없는 시간을 가져 보는 것부터 시작해도 좋아요</t>
    </r>
    <r>
      <rPr>
        <sz val="10"/>
        <rFont val="Malgun Gothic"/>
        <family val="0"/>
        <charset val="1"/>
      </rPr>
      <t xml:space="preserve">.</t>
    </r>
  </si>
  <si>
    <t xml:space="preserve">fallbacks.apply.DIR.0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</si>
  <si>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님의 고민에 이 흐름을 대어 보면</t>
    </r>
    <r>
      <rPr>
        <sz val="10"/>
        <rFont val="Malgun Gothic"/>
        <family val="0"/>
        <charset val="1"/>
      </rPr>
      <t xml:space="preserve">, '{c1}' </t>
    </r>
    <r>
      <rPr>
        <sz val="10"/>
        <rFont val="Noto Sans CJK SC"/>
        <family val="2"/>
      </rPr>
      <t xml:space="preserve">카드는 방향을 정하지 못해 생기는 조급함보다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그만큼 잘 살고 싶은 마음을 먼저 비추고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카드는 남의 기준이나 지나간 선택이 발걸음을 무겁게 하고 있는지 살펴보라고 말해요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카드가 가리키는 한 걸음은 큰 결정이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마음이 끌리는 쪽으로 아주 작게 움직여 보는 것일 수 있어요</t>
    </r>
    <r>
      <rPr>
        <sz val="10"/>
        <rFont val="Malgun Gothic"/>
        <family val="0"/>
        <charset val="1"/>
      </rPr>
      <t xml:space="preserve">.</t>
    </r>
  </si>
  <si>
    <t xml:space="preserve">fallbacks.apply.DIR.1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</si>
  <si>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품은 삶의 방향에 대한 고민을 세 장에 비춰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지금은 답을 찾는 시간이라기보다 질문을 다듬는 시간일 수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카드는 그 질문을 흐리게 만드는 것을 비추고 있어요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카드처럼 이번 주에 해 볼 수 있는 작은 실험 하나를 정해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해 본 뒤의 느낌이 다음 방향을 알려 줄 수 있어요</t>
    </r>
    <r>
      <rPr>
        <sz val="10"/>
        <rFont val="Malgun Gothic"/>
        <family val="0"/>
        <charset val="1"/>
      </rPr>
      <t xml:space="preserve">.</t>
    </r>
  </si>
  <si>
    <t xml:space="preserve">fallbacks.apply.LOV.0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</si>
  <si>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님의 연애 고민에 이 흐름을 대어 보면</t>
    </r>
    <r>
      <rPr>
        <sz val="10"/>
        <rFont val="Malgun Gothic"/>
        <family val="0"/>
        <charset val="1"/>
      </rPr>
      <t xml:space="preserve">, '{c1}' </t>
    </r>
    <r>
      <rPr>
        <sz val="10"/>
        <rFont val="Noto Sans CJK SC"/>
        <family val="2"/>
      </rPr>
      <t xml:space="preserve">카드가 비춘 마음은 이 관계를 소중히 여기는 만큼 흔들리는 마음일 수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카드는 상대의 반응을 짐작하느라 내 마음이 뒤로 밀려 있진 않은지 살펴보라고 말해요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카드가 가리키는 한 걸음은 상대를 바꾸는 것이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내가 이 관계에서 바라는 것을 먼저 알아보는 것일 수 있어요</t>
    </r>
    <r>
      <rPr>
        <sz val="10"/>
        <rFont val="Malgun Gothic"/>
        <family val="0"/>
        <charset val="1"/>
      </rPr>
      <t xml:space="preserve">.</t>
    </r>
  </si>
  <si>
    <t xml:space="preserve">fallbacks.apply.LOV.1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</si>
  <si>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적은 관계의 고민을 세 장에 비춰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지금은 마음을 꺼내기 전에 마음을 정리하는 시간일 수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카드는 그 정리를 어렵게 하는 걱정이나 습관을 비추고 있어요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카드처럼 오늘은 내가 바라는 연결의 모양을 한 문장으로 적어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문장이 다음 선택을 고르는 기준이 되어 줄 수 있어요</t>
    </r>
    <r>
      <rPr>
        <sz val="10"/>
        <rFont val="Malgun Gothic"/>
        <family val="0"/>
        <charset val="1"/>
      </rPr>
      <t xml:space="preserve">.</t>
    </r>
  </si>
  <si>
    <t xml:space="preserve">fallbacks.apply.FAM.0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</si>
  <si>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님의 가족 고민에 이 흐름을 대어 보면</t>
    </r>
    <r>
      <rPr>
        <sz val="10"/>
        <rFont val="Malgun Gothic"/>
        <family val="0"/>
        <charset val="1"/>
      </rPr>
      <t xml:space="preserve">, '{c1}' </t>
    </r>
    <r>
      <rPr>
        <sz val="10"/>
        <rFont val="Noto Sans CJK SC"/>
        <family val="2"/>
      </rPr>
      <t xml:space="preserve">카드가 비춘 마음은 가족을 아끼는 마음과 지친 마음이 함께 있는 자리일 수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가족이니까 내가 맞춰야지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같은 생각이 나를 무겁게 하고 있진 않은지 살펴보라고 말해요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카드가 가리키는 한 걸음은 가족을 바꾸는 것이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 안에서 나를 지킬 작은 자리 하나를 만드는 것일 수 있어요</t>
    </r>
    <r>
      <rPr>
        <sz val="10"/>
        <rFont val="Malgun Gothic"/>
        <family val="0"/>
        <charset val="1"/>
      </rPr>
      <t xml:space="preserve">.</t>
    </r>
  </si>
  <si>
    <t xml:space="preserve">fallbacks.apply.FAM.1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</si>
  <si>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적은 가족 이야기를 세 장에 비춰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사이라서 더 쉽게 상처받고 더 오래 마음에 남는 때일 수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카드는 그 마음을 붙잡고 있는 것을 비추고 있어요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카드처럼 이번 주에는 가족 일과 내 시간을 나누는 작은 선 하나를 정해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아래 처방에서 손이 가는 것부터 시작해도 좋아요</t>
    </r>
    <r>
      <rPr>
        <sz val="10"/>
        <rFont val="Malgun Gothic"/>
        <family val="0"/>
        <charset val="1"/>
      </rPr>
      <t xml:space="preserve">.</t>
    </r>
  </si>
  <si>
    <t xml:space="preserve">fallbacks.apply.SOC.0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</si>
  <si>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님의 관계 고민에 이 흐름을 대어 보면</t>
    </r>
    <r>
      <rPr>
        <sz val="10"/>
        <rFont val="Malgun Gothic"/>
        <family val="0"/>
        <charset val="1"/>
      </rPr>
      <t xml:space="preserve">, '{c1}' </t>
    </r>
    <r>
      <rPr>
        <sz val="10"/>
        <rFont val="Noto Sans CJK SC"/>
        <family val="2"/>
      </rPr>
      <t xml:space="preserve">카드가 비춘 마음은 사람들과 잘 지내고 싶은 만큼 지쳐 있는 마음일 수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카드는 다른 사람의 시선이나 기대에 맞추느라 내 에너지가 새고 있진 않은지 살펴보라고 말해요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카드가 가리키는 한 걸음은 모두와 가까워지는 것이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나에게 편한 거리를 찾는 것일 수 있어요</t>
    </r>
    <r>
      <rPr>
        <sz val="10"/>
        <rFont val="Malgun Gothic"/>
        <family val="0"/>
        <charset val="1"/>
      </rPr>
      <t xml:space="preserve">.</t>
    </r>
  </si>
  <si>
    <t xml:space="preserve">fallbacks.apply.SOC.1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</si>
  <si>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적은 사람 사이의 고민을 세 장에 비춰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지금은 관계를 넓히기보다 나를 먼저 챙길 때일 수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카드는 그 마음을 붙잡는 것을 비추고 있어요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카드처럼 이번 주에는 만남 하나를 조금 가볍게 조절해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편안해진 마음이 다음 관계를 더 따뜻하게 만들어 줄 수 있어요</t>
    </r>
    <r>
      <rPr>
        <sz val="10"/>
        <rFont val="Malgun Gothic"/>
        <family val="0"/>
        <charset val="1"/>
      </rPr>
      <t xml:space="preserve">.</t>
    </r>
  </si>
  <si>
    <t xml:space="preserve">fallbacks.apply.LIF.0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</si>
  <si>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님의 생활 고민에 이 흐름을 대어 보면</t>
    </r>
    <r>
      <rPr>
        <sz val="10"/>
        <rFont val="Malgun Gothic"/>
        <family val="0"/>
        <charset val="1"/>
      </rPr>
      <t xml:space="preserve">, '{c1}' </t>
    </r>
    <r>
      <rPr>
        <sz val="10"/>
        <rFont val="Noto Sans CJK SC"/>
        <family val="2"/>
      </rPr>
      <t xml:space="preserve">카드가 비춘 마음은 불안정함 속에서도 잘 꾸려 가고 싶은 마음일 수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카드는 막연한 걱정이 실제보다 크게 자라 있진 않은지 살펴보라고 말해요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카드가 가리키는 한 걸음은 모든 걸 한 번에 해결하는 것이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이번 주 손에 잡히는 것 하나를 정리해 보는 것일 수 있어요</t>
    </r>
    <r>
      <rPr>
        <sz val="10"/>
        <rFont val="Malgun Gothic"/>
        <family val="0"/>
        <charset val="1"/>
      </rPr>
      <t xml:space="preserve">.</t>
    </r>
  </si>
  <si>
    <t xml:space="preserve">fallbacks.apply.LIF.1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</si>
  <si>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적은 돈과 생활의 고민을 세 장에 비춰 보면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지금은 큰 계획보다 숨 돌릴 자리가 먼저 필요한 때일 수 있어요</t>
    </r>
    <r>
      <rPr>
        <sz val="10"/>
        <rFont val="Malgun Gothic"/>
        <family val="0"/>
        <charset val="1"/>
      </rPr>
      <t xml:space="preserve">. '{c2}' </t>
    </r>
    <r>
      <rPr>
        <sz val="10"/>
        <rFont val="Noto Sans CJK SC"/>
        <family val="2"/>
      </rPr>
      <t xml:space="preserve">카드는 그 숨을 막고 있는 것을 비추고 있어요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카드처럼 오늘은 걱정 목록 중 내가 바꿀 수 있는 것 하나에만 표시해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작은 정리가 마음의 무게도 함께 덜어 줄 수 있어요</t>
    </r>
    <r>
      <rPr>
        <sz val="10"/>
        <rFont val="Malgun Gothic"/>
        <family val="0"/>
        <charset val="1"/>
      </rPr>
      <t xml:space="preserve">.</t>
    </r>
  </si>
  <si>
    <t xml:space="preserve">fallbacks.apply.NONE.0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</si>
  <si>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마음속에 떠올린 고민에 이 흐름을 대어 보면</t>
    </r>
    <r>
      <rPr>
        <sz val="10"/>
        <rFont val="Malgun Gothic"/>
        <family val="0"/>
        <charset val="1"/>
      </rPr>
      <t xml:space="preserve">, '{c1}' </t>
    </r>
    <r>
      <rPr>
        <sz val="10"/>
        <rFont val="Noto Sans CJK SC"/>
        <family val="2"/>
      </rPr>
      <t xml:space="preserve">카드는 지금의 마음이 머무는 자리를</t>
    </r>
    <r>
      <rPr>
        <sz val="10"/>
        <rFont val="Malgun Gothic"/>
        <family val="0"/>
        <charset val="1"/>
      </rPr>
      <t xml:space="preserve">, '{c2}' </t>
    </r>
    <r>
      <rPr>
        <sz val="10"/>
        <rFont val="Noto Sans CJK SC"/>
        <family val="2"/>
      </rPr>
      <t xml:space="preserve">카드는 그 마음을 붙잡고 있는 것을 비춰요</t>
    </r>
    <r>
      <rPr>
        <sz val="10"/>
        <rFont val="Malgun Gothic"/>
        <family val="0"/>
        <charset val="1"/>
      </rPr>
      <t xml:space="preserve">. '{c3}' </t>
    </r>
    <r>
      <rPr>
        <sz val="10"/>
        <rFont val="Noto Sans CJK SC"/>
        <family val="2"/>
      </rPr>
      <t xml:space="preserve">카드는 거기서 내디딜 수 있는 작은 한 걸음을 가리켜요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카드의 말 가운데 가장 마음에 걸린 문장 하나를 고민에 대어 보며 천천히 읽어 보세요</t>
    </r>
    <r>
      <rPr>
        <sz val="10"/>
        <rFont val="Malgun Gothic"/>
        <family val="0"/>
        <charset val="1"/>
      </rPr>
      <t xml:space="preserve">.</t>
    </r>
  </si>
  <si>
    <t xml:space="preserve">fallbacks.apply.NONE.1</t>
  </si>
  <si>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마음속에만 둔 고민도 세 장은 차례로 비추고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지금의 마음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나를 붙잡는 것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 한 걸음 중 어느 카드가 가장 오래 눈에 남았나요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그 카드의 해석을 한 번 더 읽고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아래 처방과 실천 중 가장 손이 가는 것 하나부터 골라 보세요</t>
    </r>
    <r>
      <rPr>
        <sz val="10"/>
        <rFont val="Malgun Gothic"/>
        <family val="0"/>
        <charset val="1"/>
      </rPr>
      <t xml:space="preserve">.</t>
    </r>
  </si>
  <si>
    <t xml:space="preserve">safety_keywords.urgent</t>
  </si>
  <si>
    <r>
      <rPr>
        <sz val="10"/>
        <rFont val="Noto Sans CJK SC"/>
        <family val="2"/>
      </rPr>
      <t xml:space="preserve">위험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카드 멈추고 안전 안내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</si>
  <si>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쉼표로 구분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띄어쓰기 없이</t>
    </r>
  </si>
  <si>
    <r>
      <rPr>
        <sz val="10"/>
        <rFont val="Noto Sans CJK SC"/>
        <family val="2"/>
      </rPr>
      <t xml:space="preserve">죽고싶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죽어버리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극단적선택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사라지고싶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살기싫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살고싶지않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유서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뛰어내리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목숨을끊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삶을끝내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인생을끝내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세상을떠나고싶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없어지고싶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다끝내고싶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그만살고싶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살이유가없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죽는게나을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죽을것같아서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약을모아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마지막인사</t>
    </r>
  </si>
  <si>
    <t xml:space="preserve">safety_keywords.urgent_raw</t>
  </si>
  <si>
    <r>
      <rPr>
        <sz val="10"/>
        <rFont val="Noto Sans CJK SC"/>
        <family val="2"/>
      </rPr>
      <t xml:space="preserve">위험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띄어쓰기 그대로 검사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두 글자 단어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</si>
  <si>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자해</t>
    </r>
  </si>
  <si>
    <t xml:space="preserve">safety_keywords.watch</t>
  </si>
  <si>
    <r>
      <rPr>
        <sz val="10"/>
        <rFont val="Noto Sans CJK SC"/>
        <family val="2"/>
      </rPr>
      <t xml:space="preserve">주의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결과에 안내 박스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</si>
  <si>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너무힘들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버틸수가없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버티기힘들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아무의미없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아무것도못하겠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숨이막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무기력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잠을못자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매일울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혼자인것같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아무도없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지쳐서아무것도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우울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공황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밥을못먹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먹지를못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아무도날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사는게지옥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희망이없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내가없어지면</t>
    </r>
  </si>
  <si>
    <t xml:space="preserve">safety_keywords.violence</t>
  </si>
  <si>
    <r>
      <rPr>
        <sz val="10"/>
        <rFont val="Noto Sans CJK SC"/>
        <family val="2"/>
      </rPr>
      <t xml:space="preserve">폭력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다가가기 실천 빼고 안내 박스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</si>
  <si>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때리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때렸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맞았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폭력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폭행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협박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위협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감시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휴대폰을검사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핸드폰을검사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폰을뒤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위치를공유하라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위치공유를강요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못만나게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물건을던지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스토킹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따라다니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무서워서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밀쳤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목을조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돈을뺏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욕설을퍼</t>
    </r>
  </si>
  <si>
    <t xml:space="preserve">safety_keywords.exclude</t>
  </si>
  <si>
    <r>
      <rPr>
        <sz val="10"/>
        <rFont val="Noto Sans CJK SC"/>
        <family val="2"/>
      </rPr>
      <t xml:space="preserve">오탐 예외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이 표현은 지우고 검사</t>
    </r>
    <r>
      <rPr>
        <sz val="10"/>
        <rFont val="Malgun Gothic"/>
        <family val="0"/>
        <charset val="1"/>
      </rPr>
      <t xml:space="preserve">)</t>
    </r>
  </si>
  <si>
    <t xml:space="preserve">emotion_lines.ANX</t>
  </si>
  <si>
    <r>
      <rPr>
        <sz val="10"/>
        <rFont val="Noto Sans CJK SC"/>
        <family val="2"/>
      </rPr>
      <t xml:space="preserve">감정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불안</t>
    </r>
  </si>
  <si>
    <r>
      <rPr>
        <sz val="10"/>
        <rFont val="Noto Sans CJK SC"/>
        <family val="2"/>
      </rPr>
      <t xml:space="preserve">감정 문장 </t>
    </r>
    <r>
      <rPr>
        <sz val="10"/>
        <rFont val="Malgun Gothic"/>
        <family val="0"/>
        <charset val="1"/>
      </rPr>
      <t xml:space="preserve">({name} = </t>
    </r>
    <r>
      <rPr>
        <sz val="10"/>
        <rFont val="Noto Sans CJK SC"/>
        <family val="2"/>
      </rPr>
      <t xml:space="preserve">닉네임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</si>
  <si>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지금 </t>
    </r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느끼는 불안은 소중한 것을 지키고 싶은 마음이 조금 앞서 나가 있다는 신호예요</t>
    </r>
    <r>
      <rPr>
        <sz val="10"/>
        <rFont val="Malgun Gothic"/>
        <family val="0"/>
        <charset val="1"/>
      </rPr>
      <t xml:space="preserve">.</t>
    </r>
  </si>
  <si>
    <t xml:space="preserve">emotion_lines.TIR</t>
  </si>
  <si>
    <r>
      <rPr>
        <sz val="10"/>
        <rFont val="Noto Sans CJK SC"/>
        <family val="2"/>
      </rPr>
      <t xml:space="preserve">감정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지침</t>
    </r>
  </si>
  <si>
    <r>
      <rPr>
        <sz val="10"/>
        <rFont val="Noto Sans CJK SC"/>
        <family val="2"/>
      </rPr>
      <t xml:space="preserve">지금 </t>
    </r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느끼는 지침은 게으름이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오래 애써 온 몸과 마음이 보내는 정직한 신호예요</t>
    </r>
    <r>
      <rPr>
        <sz val="10"/>
        <rFont val="Malgun Gothic"/>
        <family val="0"/>
        <charset val="1"/>
      </rPr>
      <t xml:space="preserve">.</t>
    </r>
  </si>
  <si>
    <t xml:space="preserve">emotion_lines.LON</t>
  </si>
  <si>
    <r>
      <rPr>
        <sz val="10"/>
        <rFont val="Noto Sans CJK SC"/>
        <family val="2"/>
      </rPr>
      <t xml:space="preserve">감정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외로움</t>
    </r>
  </si>
  <si>
    <r>
      <rPr>
        <sz val="10"/>
        <rFont val="Noto Sans CJK SC"/>
        <family val="2"/>
      </rPr>
      <t xml:space="preserve">지금 </t>
    </r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느끼는 외로움은 누군가와 이어지고 싶은 마음이 그만큼 크다는 뜻이에요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</si>
  <si>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서운함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</si>
  <si>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'{name}</t>
    </r>
    <r>
      <rPr>
        <sz val="10"/>
        <rFont val="Noto Sans CJK SC"/>
        <family val="2"/>
      </rPr>
      <t xml:space="preserve">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나에게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한 문장에 섞여 시점이 맞지 않음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가장 분명한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단정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지금 </t>
    </r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느끼는 서운함은 그 관계가 나에게 소중하다는 가장 분명한 표시예요</t>
    </r>
    <r>
      <rPr>
        <sz val="10"/>
        <rFont val="Malgun Gothic"/>
        <family val="0"/>
        <charset val="1"/>
      </rPr>
      <t xml:space="preserve">.)</t>
    </r>
  </si>
  <si>
    <t xml:space="preserve">emotion_lines.CON</t>
  </si>
  <si>
    <r>
      <rPr>
        <sz val="10"/>
        <rFont val="Noto Sans CJK SC"/>
        <family val="2"/>
      </rPr>
      <t xml:space="preserve">감정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막막함</t>
    </r>
  </si>
  <si>
    <r>
      <rPr>
        <sz val="10"/>
        <rFont val="Noto Sans CJK SC"/>
        <family val="2"/>
      </rPr>
      <t xml:space="preserve">지금 </t>
    </r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느끼는 막막함은 길을 잃었다는 뜻이 아니라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아직 지도를 그리는 중이라는 뜻이에요</t>
    </r>
    <r>
      <rPr>
        <sz val="10"/>
        <rFont val="Malgun Gothic"/>
        <family val="0"/>
        <charset val="1"/>
      </rPr>
      <t xml:space="preserve">.</t>
    </r>
  </si>
  <si>
    <t xml:space="preserve">emotion_lines.SHA</t>
  </si>
  <si>
    <r>
      <rPr>
        <sz val="10"/>
        <rFont val="Noto Sans CJK SC"/>
        <family val="2"/>
      </rPr>
      <t xml:space="preserve">감정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자책</t>
    </r>
  </si>
  <si>
    <r>
      <rPr>
        <sz val="10"/>
        <rFont val="Noto Sans CJK SC"/>
        <family val="2"/>
      </rPr>
      <t xml:space="preserve">지금 </t>
    </r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느끼는 자책은 잘하고 싶은 마음이 그만큼 크다는 뜻이기도 해요</t>
    </r>
    <r>
      <rPr>
        <sz val="10"/>
        <rFont val="Malgun Gothic"/>
        <family val="0"/>
        <charset val="1"/>
      </rPr>
      <t xml:space="preserve">.</t>
    </r>
  </si>
  <si>
    <t xml:space="preserve">emotion_lines.GRI</t>
  </si>
  <si>
    <r>
      <rPr>
        <sz val="10"/>
        <rFont val="Noto Sans CJK SC"/>
        <family val="2"/>
      </rPr>
      <t xml:space="preserve">감정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슬픔</t>
    </r>
  </si>
  <si>
    <r>
      <rPr>
        <sz val="10"/>
        <rFont val="Noto Sans CJK SC"/>
        <family val="2"/>
      </rPr>
      <t xml:space="preserve">지금 </t>
    </r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느끼는 슬픔은 무언가를 깊이 아꼈다는 증거예요</t>
    </r>
    <r>
      <rPr>
        <sz val="10"/>
        <rFont val="Malgun Gothic"/>
        <family val="0"/>
        <charset val="1"/>
      </rPr>
      <t xml:space="preserve">.</t>
    </r>
  </si>
  <si>
    <t xml:space="preserve">emotion_lines.HOP</t>
  </si>
  <si>
    <r>
      <rPr>
        <sz val="10"/>
        <rFont val="Noto Sans CJK SC"/>
        <family val="2"/>
      </rPr>
      <t xml:space="preserve">감정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설렘</t>
    </r>
  </si>
  <si>
    <r>
      <rPr>
        <sz val="10"/>
        <rFont val="Noto Sans CJK SC"/>
        <family val="2"/>
      </rPr>
      <t xml:space="preserve">지금 </t>
    </r>
    <r>
      <rPr>
        <sz val="10"/>
        <rFont val="Malgun Gothic"/>
        <family val="0"/>
        <charset val="1"/>
      </rPr>
      <t xml:space="preserve">{name}</t>
    </r>
    <r>
      <rPr>
        <sz val="10"/>
        <rFont val="Noto Sans CJK SC"/>
        <family val="2"/>
      </rPr>
      <t xml:space="preserve">님이 느끼는 설렘과 긴장은 새로운 무언가를 향해 마음이 움직이고 있다는 신호예요</t>
    </r>
    <r>
      <rPr>
        <sz val="10"/>
        <rFont val="Malgun Gothic"/>
        <family val="0"/>
        <charset val="1"/>
      </rPr>
      <t xml:space="preserve">.</t>
    </r>
  </si>
  <si>
    <t xml:space="preserve">copy.intro.participants</t>
  </si>
  <si>
    <r>
      <rPr>
        <sz val="10"/>
        <rFont val="Malgun Gothic"/>
        <family val="0"/>
        <charset val="1"/>
      </rPr>
      <t xml:space="preserve">1 </t>
    </r>
    <r>
      <rPr>
        <sz val="10"/>
        <rFont val="Noto Sans CJK SC"/>
        <family val="2"/>
      </rPr>
      <t xml:space="preserve">인트로</t>
    </r>
  </si>
  <si>
    <t xml:space="preserve">participants</t>
  </si>
  <si>
    <r>
      <rPr>
        <sz val="10"/>
        <rFont val="Noto Sans CJK SC"/>
        <family val="2"/>
      </rPr>
      <t xml:space="preserve">벌써 </t>
    </r>
    <r>
      <rPr>
        <sz val="10"/>
        <rFont val="Malgun Gothic"/>
        <family val="0"/>
        <charset val="1"/>
      </rPr>
      <t xml:space="preserve">{count}</t>
    </r>
    <r>
      <rPr>
        <sz val="10"/>
        <rFont val="Noto Sans CJK SC"/>
        <family val="2"/>
      </rPr>
      <t xml:space="preserve">명이 쏠 타로 하우스를 다녀갔어요</t>
    </r>
  </si>
  <si>
    <t xml:space="preserve">button</t>
  </si>
  <si>
    <t xml:space="preserve">테스트 하기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</si>
  <si>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직접 정해 주신 문구라 그대로 둠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테스트하기 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테스트하다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붙여 씀</t>
    </r>
  </si>
  <si>
    <t xml:space="preserve">copy.welcome.title</t>
  </si>
  <si>
    <r>
      <rPr>
        <sz val="10"/>
        <rFont val="Malgun Gothic"/>
        <family val="0"/>
        <charset val="1"/>
      </rPr>
      <t xml:space="preserve">2 </t>
    </r>
    <r>
      <rPr>
        <sz val="10"/>
        <rFont val="Noto Sans CJK SC"/>
        <family val="2"/>
      </rPr>
      <t xml:space="preserve">환영</t>
    </r>
  </si>
  <si>
    <t xml:space="preserve">title</t>
  </si>
  <si>
    <r>
      <rPr>
        <sz val="10"/>
        <rFont val="Noto Sans CJK SC"/>
        <family val="2"/>
      </rPr>
      <t xml:space="preserve">쏠 타로 하우스에 오신 당신을 환영합니다</t>
    </r>
    <r>
      <rPr>
        <sz val="10"/>
        <rFont val="Malgun Gothic"/>
        <family val="0"/>
        <charset val="1"/>
      </rPr>
      <t xml:space="preserve">.</t>
    </r>
  </si>
  <si>
    <t xml:space="preserve">copy.welcome.sub</t>
  </si>
  <si>
    <t xml:space="preserve">sub</t>
  </si>
  <si>
    <r>
      <rPr>
        <sz val="10"/>
        <rFont val="Noto Sans CJK SC"/>
        <family val="2"/>
      </rPr>
      <t xml:space="preserve">당신을 뭐라고 불러드리면 될까요</t>
    </r>
    <r>
      <rPr>
        <sz val="10"/>
        <rFont val="Malgun Gothic"/>
        <family val="0"/>
        <charset val="1"/>
      </rPr>
      <t xml:space="preserve">?</t>
    </r>
  </si>
  <si>
    <t xml:space="preserve">copy.welcome.placeholder</t>
  </si>
  <si>
    <t xml:space="preserve">placeholder</t>
  </si>
  <si>
    <t xml:space="preserve">닉네임</t>
  </si>
  <si>
    <t xml:space="preserve">copy.welcome.empty_error</t>
  </si>
  <si>
    <t xml:space="preserve">empty_error</t>
  </si>
  <si>
    <r>
      <rPr>
        <sz val="10"/>
        <rFont val="Noto Sans CJK SC"/>
        <family val="2"/>
      </rPr>
      <t xml:space="preserve">불러드릴 이름을 적어 주세요</t>
    </r>
    <r>
      <rPr>
        <sz val="10"/>
        <rFont val="Malgun Gothic"/>
        <family val="0"/>
        <charset val="1"/>
      </rPr>
      <t xml:space="preserve">.</t>
    </r>
  </si>
  <si>
    <t xml:space="preserve">copy.welcome.button</t>
  </si>
  <si>
    <t xml:space="preserve">이렇게 불러주세요</t>
  </si>
  <si>
    <t xml:space="preserve">copy.experience.title</t>
  </si>
  <si>
    <r>
      <rPr>
        <sz val="10"/>
        <rFont val="Malgun Gothic"/>
        <family val="0"/>
        <charset val="1"/>
      </rPr>
      <t xml:space="preserve">3 </t>
    </r>
    <r>
      <rPr>
        <sz val="10"/>
        <rFont val="Noto Sans CJK SC"/>
        <family val="2"/>
      </rPr>
      <t xml:space="preserve">경험 질문</t>
    </r>
  </si>
  <si>
    <r>
      <rPr>
        <sz val="10"/>
        <rFont val="Malgun Gothic"/>
        <family val="0"/>
        <charset val="1"/>
      </rPr>
      <t xml:space="preserve">{nickname}</t>
    </r>
    <r>
      <rPr>
        <sz val="10"/>
        <rFont val="Noto Sans CJK SC"/>
        <family val="2"/>
      </rPr>
      <t xml:space="preserve">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오늘은 어떤 고민을 가져오셨나요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</si>
  <si>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타로카드는 처음이신지요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</si>
  <si>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직접 정해 주신 문구라 그대로 둠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타로카드는 처음이신가요</t>
    </r>
    <r>
      <rPr>
        <sz val="10"/>
        <rFont val="Malgun Gothic"/>
        <family val="0"/>
        <charset val="1"/>
      </rPr>
      <t xml:space="preserve">? — '</t>
    </r>
    <r>
      <rPr>
        <sz val="10"/>
        <rFont val="Noto Sans CJK SC"/>
        <family val="2"/>
      </rPr>
      <t xml:space="preserve">처음이신지요</t>
    </r>
    <r>
      <rPr>
        <sz val="10"/>
        <rFont val="Malgun Gothic"/>
        <family val="0"/>
        <charset val="1"/>
      </rPr>
      <t xml:space="preserve">?'</t>
    </r>
    <r>
      <rPr>
        <sz val="10"/>
        <rFont val="Noto Sans CJK SC"/>
        <family val="2"/>
      </rPr>
      <t xml:space="preserve">가 예스럽고 딱딱함</t>
    </r>
  </si>
  <si>
    <t xml:space="preserve">copy.experience.button_returning</t>
  </si>
  <si>
    <t xml:space="preserve">button_returning</t>
  </si>
  <si>
    <t xml:space="preserve">전에 본 적이 있어요</t>
  </si>
  <si>
    <t xml:space="preserve">copy.experience.button_first</t>
  </si>
  <si>
    <t xml:space="preserve">button_first</t>
  </si>
  <si>
    <r>
      <rPr>
        <sz val="10"/>
        <rFont val="Noto Sans CJK SC"/>
        <family val="2"/>
      </rPr>
      <t xml:space="preserve">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처음이에요</t>
    </r>
  </si>
  <si>
    <r>
      <rPr>
        <sz val="10"/>
        <rFont val="Malgun Gothic"/>
        <family val="0"/>
        <charset val="1"/>
      </rPr>
      <t xml:space="preserve">3-1 </t>
    </r>
    <r>
      <rPr>
        <sz val="10"/>
        <rFont val="Noto Sans CJK SC"/>
        <family val="2"/>
      </rPr>
      <t xml:space="preserve">처음 안내</t>
    </r>
  </si>
  <si>
    <t xml:space="preserve">body</t>
  </si>
  <si>
    <r>
      <rPr>
        <sz val="10"/>
        <rFont val="Noto Sans CJK SC"/>
        <family val="2"/>
      </rPr>
      <t xml:space="preserve">오늘 </t>
    </r>
    <r>
      <rPr>
        <sz val="10"/>
        <rFont val="Malgun Gothic"/>
        <family val="0"/>
        <charset val="1"/>
      </rPr>
      <t xml:space="preserve">{nickname}</t>
    </r>
    <r>
      <rPr>
        <sz val="10"/>
        <rFont val="Noto Sans CJK SC"/>
        <family val="2"/>
      </rPr>
      <t xml:space="preserve">님의 고민을 타로카드가 어떻게 비춰 주는지 들어봅시다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우리 쏠 하우스만의 특제 레시피로 </t>
    </r>
    <r>
      <rPr>
        <sz val="10"/>
        <rFont val="Malgun Gothic"/>
        <family val="0"/>
        <charset val="1"/>
      </rPr>
      <t xml:space="preserve">{nickname}</t>
    </r>
    <r>
      <rPr>
        <sz val="10"/>
        <rFont val="Noto Sans CJK SC"/>
        <family val="2"/>
      </rPr>
      <t xml:space="preserve">님의 타로 카드가 설명하는 현재 상황에 적절한 웰니스 제안을 해드릴게요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이제 한 번 해볼까요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</si>
  <si>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직접 정해 주신 문구라 그대로 둠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오늘 </t>
    </r>
    <r>
      <rPr>
        <sz val="10"/>
        <rFont val="Malgun Gothic"/>
        <family val="0"/>
        <charset val="1"/>
      </rPr>
      <t xml:space="preserve">{nickname}</t>
    </r>
    <r>
      <rPr>
        <sz val="10"/>
        <rFont val="Noto Sans CJK SC"/>
        <family val="2"/>
      </rPr>
      <t xml:space="preserve">님의 고민을 타로카드가 어떻게 비춰 주는지 함께 살펴봐요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쏠 타로 하우스만의 특제 레시피로 </t>
    </r>
    <r>
      <rPr>
        <sz val="10"/>
        <rFont val="Malgun Gothic"/>
        <family val="0"/>
        <charset val="1"/>
      </rPr>
      <t xml:space="preserve">{nickname}</t>
    </r>
    <r>
      <rPr>
        <sz val="10"/>
        <rFont val="Noto Sans CJK SC"/>
        <family val="2"/>
      </rPr>
      <t xml:space="preserve">님의 카드가 비춰 준 지금 상황에 맞는 웰니스 제안을 해 드릴게요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이제 한번 해 볼까요</t>
    </r>
    <r>
      <rPr>
        <sz val="10"/>
        <rFont val="Malgun Gothic"/>
        <family val="0"/>
        <charset val="1"/>
      </rPr>
      <t xml:space="preserve">? — '</t>
    </r>
    <r>
      <rPr>
        <sz val="10"/>
        <rFont val="Noto Sans CJK SC"/>
        <family val="2"/>
      </rPr>
      <t xml:space="preserve">한 번</t>
    </r>
    <r>
      <rPr>
        <sz val="10"/>
        <rFont val="Malgun Gothic"/>
        <family val="0"/>
        <charset val="1"/>
      </rPr>
      <t xml:space="preserve">'(</t>
    </r>
    <r>
      <rPr>
        <sz val="10"/>
        <rFont val="Noto Sans CJK SC"/>
        <family val="2"/>
      </rPr>
      <t xml:space="preserve">시도의 뜻은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한번</t>
    </r>
    <r>
      <rPr>
        <sz val="10"/>
        <rFont val="Malgun Gothic"/>
        <family val="0"/>
        <charset val="1"/>
      </rPr>
      <t xml:space="preserve">'), '</t>
    </r>
    <r>
      <rPr>
        <sz val="10"/>
        <rFont val="Noto Sans CJK SC"/>
        <family val="2"/>
      </rPr>
      <t xml:space="preserve">비춰 주는지 들어봅시다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감각 불일치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타로 카드가 설명하는 현재 상황에 적절한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쏠 하우스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명칭 불일치</t>
    </r>
  </si>
  <si>
    <t xml:space="preserve">copy.first_time.button</t>
  </si>
  <si>
    <r>
      <rPr>
        <sz val="10"/>
        <rFont val="Noto Sans CJK SC"/>
        <family val="2"/>
      </rPr>
      <t xml:space="preserve">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좋아요</t>
    </r>
    <r>
      <rPr>
        <sz val="10"/>
        <rFont val="Malgun Gothic"/>
        <family val="0"/>
        <charset val="1"/>
      </rPr>
      <t xml:space="preserve">!</t>
    </r>
  </si>
  <si>
    <t xml:space="preserve">copy.worry.title</t>
  </si>
  <si>
    <r>
      <rPr>
        <sz val="10"/>
        <rFont val="Malgun Gothic"/>
        <family val="0"/>
        <charset val="1"/>
      </rPr>
      <t xml:space="preserve">4 </t>
    </r>
    <r>
      <rPr>
        <sz val="10"/>
        <rFont val="Noto Sans CJK SC"/>
        <family val="2"/>
      </rPr>
      <t xml:space="preserve">고민 쓰기</t>
    </r>
  </si>
  <si>
    <r>
      <rPr>
        <sz val="10"/>
        <rFont val="Noto Sans CJK SC"/>
        <family val="2"/>
      </rPr>
      <t xml:space="preserve">좋습니다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먼저 </t>
    </r>
    <r>
      <rPr>
        <sz val="10"/>
        <rFont val="Malgun Gothic"/>
        <family val="0"/>
        <charset val="1"/>
      </rPr>
      <t xml:space="preserve">{nickname}</t>
    </r>
    <r>
      <rPr>
        <sz val="10"/>
        <rFont val="Noto Sans CJK SC"/>
        <family val="2"/>
      </rPr>
      <t xml:space="preserve">님의 고민을 편하게 작성해주세요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</si>
  <si>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구체적으로 쓸수록 도움이 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고민을 굳이 작성하지 않으셔도 타로카드는 볼 수 있어요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</si>
  <si>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직접 정해 주신 문구라 그대로 둠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구체적으로 쓸수록 도움이 돼요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고민을 굳이 작성하지 않으셔도 타로카드는 볼 수 있어요</t>
    </r>
    <r>
      <rPr>
        <sz val="10"/>
        <rFont val="Malgun Gothic"/>
        <family val="0"/>
        <charset val="1"/>
      </rPr>
      <t xml:space="preserve">. — '</t>
    </r>
    <r>
      <rPr>
        <sz val="10"/>
        <rFont val="Noto Sans CJK SC"/>
        <family val="2"/>
      </rPr>
      <t xml:space="preserve">도움이 됩니다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볼 수 있어요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어체 섞임</t>
    </r>
  </si>
  <si>
    <t xml:space="preserve">copy.worry.placeholder_examples.0</t>
  </si>
  <si>
    <t xml:space="preserve">placeholder_examples.0</t>
  </si>
  <si>
    <r>
      <rPr>
        <sz val="10"/>
        <rFont val="Noto Sans CJK SC"/>
        <family val="2"/>
      </rPr>
      <t xml:space="preserve">회사에서 열심히 하는데 인정받지 못하는 것 같아 지쳐요</t>
    </r>
    <r>
      <rPr>
        <sz val="10"/>
        <rFont val="Malgun Gothic"/>
        <family val="0"/>
        <charset val="1"/>
      </rPr>
      <t xml:space="preserve">.</t>
    </r>
  </si>
  <si>
    <t xml:space="preserve">copy.worry.placeholder_examples.1</t>
  </si>
  <si>
    <t xml:space="preserve">placeholder_examples.1</t>
  </si>
  <si>
    <r>
      <rPr>
        <sz val="10"/>
        <rFont val="Noto Sans CJK SC"/>
        <family val="2"/>
      </rPr>
      <t xml:space="preserve">졸업이 다가오는데 뭘 하고 싶은지 모르겠어요</t>
    </r>
    <r>
      <rPr>
        <sz val="10"/>
        <rFont val="Malgun Gothic"/>
        <family val="0"/>
        <charset val="1"/>
      </rPr>
      <t xml:space="preserve">.</t>
    </r>
  </si>
  <si>
    <t xml:space="preserve">copy.worry.placeholder_examples.2</t>
  </si>
  <si>
    <t xml:space="preserve">placeholder_examples.2</t>
  </si>
  <si>
    <r>
      <rPr>
        <sz val="10"/>
        <rFont val="Noto Sans CJK SC"/>
        <family val="2"/>
      </rPr>
      <t xml:space="preserve">연인이 요즘 연락이 뜸해서 서운한데 말을 못 하겠어요</t>
    </r>
    <r>
      <rPr>
        <sz val="10"/>
        <rFont val="Malgun Gothic"/>
        <family val="0"/>
        <charset val="1"/>
      </rPr>
      <t xml:space="preserve">.</t>
    </r>
  </si>
  <si>
    <t xml:space="preserve">copy.worry.placeholder_examples.3</t>
  </si>
  <si>
    <t xml:space="preserve">placeholder_examples.3</t>
  </si>
  <si>
    <r>
      <rPr>
        <sz val="10"/>
        <rFont val="Noto Sans CJK SC"/>
        <family val="2"/>
      </rPr>
      <t xml:space="preserve">부모님이 저를 자꾸 형제와 비교해서 속상해요</t>
    </r>
    <r>
      <rPr>
        <sz val="10"/>
        <rFont val="Malgun Gothic"/>
        <family val="0"/>
        <charset val="1"/>
      </rPr>
      <t xml:space="preserve">.</t>
    </r>
  </si>
  <si>
    <t xml:space="preserve">placeholder_examples.4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</si>
  <si>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부탁을 거절을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목적격 조사 중복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부탁을 거절을 못 해서 매번 손해 보는 느낌이에요</t>
    </r>
    <r>
      <rPr>
        <sz val="10"/>
        <rFont val="Malgun Gothic"/>
        <family val="0"/>
        <charset val="1"/>
      </rPr>
      <t xml:space="preserve">.)</t>
    </r>
  </si>
  <si>
    <t xml:space="preserve">copy.worry.placeholder_examples.5</t>
  </si>
  <si>
    <t xml:space="preserve">placeholder_examples.5</t>
  </si>
  <si>
    <r>
      <rPr>
        <sz val="10"/>
        <rFont val="Noto Sans CJK SC"/>
        <family val="2"/>
      </rPr>
      <t xml:space="preserve">월급이 들어와도 금방 사라져서 돈 걱정이 끊이지 않아요</t>
    </r>
    <r>
      <rPr>
        <sz val="10"/>
        <rFont val="Malgun Gothic"/>
        <family val="0"/>
        <charset val="1"/>
      </rPr>
      <t xml:space="preserve">.</t>
    </r>
  </si>
  <si>
    <t xml:space="preserve">copy.worry.button_submit</t>
  </si>
  <si>
    <t xml:space="preserve">button_submit</t>
  </si>
  <si>
    <t xml:space="preserve">제출하기</t>
  </si>
  <si>
    <t xml:space="preserve">copy.worry.button_skip</t>
  </si>
  <si>
    <t xml:space="preserve">button_skip</t>
  </si>
  <si>
    <t xml:space="preserve">고민은 마음속으로만 생각하고 싶어요</t>
  </si>
  <si>
    <t xml:space="preserve">copy.worry.too_short</t>
  </si>
  <si>
    <t xml:space="preserve">too_short</t>
  </si>
  <si>
    <r>
      <rPr>
        <sz val="10"/>
        <rFont val="Noto Sans CJK SC"/>
        <family val="2"/>
      </rPr>
      <t xml:space="preserve">조금만 더 들려주세요</t>
    </r>
    <r>
      <rPr>
        <sz val="10"/>
        <rFont val="Malgun Gothic"/>
        <family val="0"/>
        <charset val="1"/>
      </rPr>
      <t xml:space="preserve">. 10</t>
    </r>
    <r>
      <rPr>
        <sz val="10"/>
        <rFont val="Noto Sans CJK SC"/>
        <family val="2"/>
      </rPr>
      <t xml:space="preserve">자 이상 적어 주시면 해석이 더 정확해져요</t>
    </r>
    <r>
      <rPr>
        <sz val="10"/>
        <rFont val="Malgun Gothic"/>
        <family val="0"/>
        <charset val="1"/>
      </rPr>
      <t xml:space="preserve">.</t>
    </r>
  </si>
  <si>
    <t xml:space="preserve">copy.worry.footnote</t>
  </si>
  <si>
    <t xml:space="preserve">footnote</t>
  </si>
  <si>
    <r>
      <rPr>
        <sz val="10"/>
        <rFont val="Noto Sans CJK SC"/>
        <family val="2"/>
      </rPr>
      <t xml:space="preserve">전문 심리상담사가 만든 자기이해 웰니스 콘텐츠예요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미래를 예언하거나 의료적 진단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심리 치료를 대신하지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적어 주신 고민은 카드 해석에만 쓰이고 공유 카드에는 보이지 않아요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</si>
  <si>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5 </t>
    </r>
    <r>
      <rPr>
        <sz val="10"/>
        <rFont val="Noto Sans CJK SC"/>
        <family val="2"/>
      </rPr>
      <t xml:space="preserve">셔플</t>
    </r>
  </si>
  <si>
    <t xml:space="preserve">guide</t>
  </si>
  <si>
    <r>
      <rPr>
        <sz val="10"/>
        <rFont val="Noto Sans CJK SC"/>
        <family val="2"/>
      </rPr>
      <t xml:space="preserve">이제 카드를 선택할 시간입니다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가장 고민되는 부분을 생각하면서 골라주세요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최대한 구체적으로 생각하고 뽑을수록 좋아요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</si>
  <si>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직접 정해 주신 문구라 그대로 둠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이제 카드를 고를 시간이에요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가장 고민되는 부분을 생각하면서 골라 주세요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고민을 구체적으로 떠올릴수록 좋아요</t>
    </r>
    <r>
      <rPr>
        <sz val="10"/>
        <rFont val="Malgun Gothic"/>
        <family val="0"/>
        <charset val="1"/>
      </rPr>
      <t xml:space="preserve">. — '</t>
    </r>
    <r>
      <rPr>
        <sz val="10"/>
        <rFont val="Noto Sans CJK SC"/>
        <family val="2"/>
      </rPr>
      <t xml:space="preserve">구체적으로 생각하고 뽑을수록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많이 뽑을수록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읽혀 비문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합쇼체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해요체 섞임</t>
    </r>
  </si>
  <si>
    <t xml:space="preserve">copy.shuffle.done</t>
  </si>
  <si>
    <t xml:space="preserve">done</t>
  </si>
  <si>
    <r>
      <rPr>
        <sz val="10"/>
        <rFont val="Noto Sans CJK SC"/>
        <family val="2"/>
      </rPr>
      <t xml:space="preserve">카드가 잘 섞였습니다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원하신다면 다시 섞으셔도 돼요</t>
    </r>
    <r>
      <rPr>
        <sz val="10"/>
        <rFont val="Malgun Gothic"/>
        <family val="0"/>
        <charset val="1"/>
      </rPr>
      <t xml:space="preserve">.</t>
    </r>
  </si>
  <si>
    <t xml:space="preserve">copy.shuffle.button_pick</t>
  </si>
  <si>
    <t xml:space="preserve">button_pick</t>
  </si>
  <si>
    <t xml:space="preserve">지금 뽑을게요</t>
  </si>
  <si>
    <t xml:space="preserve">copy.shuffle.button_reshuffle</t>
  </si>
  <si>
    <t xml:space="preserve">button_reshuffle</t>
  </si>
  <si>
    <t xml:space="preserve">다시 섞을게요</t>
  </si>
  <si>
    <r>
      <rPr>
        <sz val="10"/>
        <rFont val="Malgun Gothic"/>
        <family val="0"/>
        <charset val="1"/>
      </rPr>
      <t xml:space="preserve">6 </t>
    </r>
    <r>
      <rPr>
        <sz val="10"/>
        <rFont val="Noto Sans CJK SC"/>
        <family val="2"/>
      </rPr>
      <t xml:space="preserve">뽑기</t>
    </r>
  </si>
  <si>
    <r>
      <rPr>
        <sz val="10"/>
        <rFont val="Noto Sans CJK SC"/>
        <family val="2"/>
      </rPr>
      <t xml:space="preserve">고민을 되새기면서 가장 마음이 가는 카드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개를 뽑아주세요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</si>
  <si>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직접 정해 주신 문구라 그대로 둠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고민을 되새기면서 가장 마음이 가는 카드 세 장을 뽑아주세요</t>
    </r>
    <r>
      <rPr>
        <sz val="10"/>
        <rFont val="Malgun Gothic"/>
        <family val="0"/>
        <charset val="1"/>
      </rPr>
      <t xml:space="preserve">. — </t>
    </r>
    <r>
      <rPr>
        <sz val="10"/>
        <rFont val="Noto Sans CJK SC"/>
        <family val="2"/>
      </rPr>
      <t xml:space="preserve">카드 단위 </t>
    </r>
    <r>
      <rPr>
        <sz val="10"/>
        <rFont val="Malgun Gothic"/>
        <family val="0"/>
        <charset val="1"/>
      </rPr>
      <t xml:space="preserve">'3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다른 화면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세 장</t>
    </r>
    <r>
      <rPr>
        <sz val="10"/>
        <rFont val="Malgun Gothic"/>
        <family val="0"/>
        <charset val="1"/>
      </rPr>
      <t xml:space="preserve">')</t>
    </r>
    <r>
      <rPr>
        <sz val="10"/>
        <rFont val="Noto Sans CJK SC"/>
        <family val="2"/>
      </rPr>
      <t xml:space="preserve">과 불일치</t>
    </r>
  </si>
  <si>
    <t xml:space="preserve">copy.pick.slot_labels.0</t>
  </si>
  <si>
    <t xml:space="preserve">slot_labels.0</t>
  </si>
  <si>
    <t xml:space="preserve">지금의 마음</t>
  </si>
  <si>
    <t xml:space="preserve">copy.pick.slot_labels.1</t>
  </si>
  <si>
    <t xml:space="preserve">slot_labels.1</t>
  </si>
  <si>
    <t xml:space="preserve">나를 붙잡는 것</t>
  </si>
  <si>
    <t xml:space="preserve">copy.pick.slot_labels.2</t>
  </si>
  <si>
    <t xml:space="preserve">slot_labels.2</t>
  </si>
  <si>
    <t xml:space="preserve">다음 한 걸음</t>
  </si>
  <si>
    <t xml:space="preserve">copy.pick.counter</t>
  </si>
  <si>
    <t xml:space="preserve">counter</t>
  </si>
  <si>
    <t xml:space="preserve">{picked} / 3</t>
  </si>
  <si>
    <t xml:space="preserve">copy.reveal.done</t>
  </si>
  <si>
    <r>
      <rPr>
        <sz val="10"/>
        <rFont val="Malgun Gothic"/>
        <family val="0"/>
        <charset val="1"/>
      </rPr>
      <t xml:space="preserve">6 </t>
    </r>
    <r>
      <rPr>
        <sz val="10"/>
        <rFont val="Noto Sans CJK SC"/>
        <family val="2"/>
      </rPr>
      <t xml:space="preserve">다 뽑음</t>
    </r>
  </si>
  <si>
    <r>
      <rPr>
        <sz val="10"/>
        <rFont val="Noto Sans CJK SC"/>
        <family val="2"/>
      </rPr>
      <t xml:space="preserve">카드를 다 뽑았어요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이제 설명을 보러 가볼까요</t>
    </r>
    <r>
      <rPr>
        <sz val="10"/>
        <rFont val="Malgun Gothic"/>
        <family val="0"/>
        <charset val="1"/>
      </rPr>
      <t xml:space="preserve">?</t>
    </r>
  </si>
  <si>
    <t xml:space="preserve">copy.reveal.button</t>
  </si>
  <si>
    <r>
      <rPr>
        <sz val="10"/>
        <rFont val="Noto Sans CJK SC"/>
        <family val="2"/>
      </rPr>
      <t xml:space="preserve">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좋습니다</t>
    </r>
    <r>
      <rPr>
        <sz val="10"/>
        <rFont val="Malgun Gothic"/>
        <family val="0"/>
        <charset val="1"/>
      </rPr>
      <t xml:space="preserve">.</t>
    </r>
  </si>
  <si>
    <t xml:space="preserve">copy.loading.message</t>
  </si>
  <si>
    <t xml:space="preserve">대기</t>
  </si>
  <si>
    <t xml:space="preserve">message</t>
  </si>
  <si>
    <r>
      <rPr>
        <sz val="10"/>
        <rFont val="Malgun Gothic"/>
        <family val="0"/>
        <charset val="1"/>
      </rPr>
      <t xml:space="preserve">{nickname}</t>
    </r>
    <r>
      <rPr>
        <sz val="10"/>
        <rFont val="Noto Sans CJK SC"/>
        <family val="2"/>
      </rPr>
      <t xml:space="preserve">님의 타로 결과를 분석하고 있어요</t>
    </r>
    <r>
      <rPr>
        <sz val="10"/>
        <rFont val="Malgun Gothic"/>
        <family val="0"/>
        <charset val="1"/>
      </rPr>
      <t xml:space="preserve">...</t>
    </r>
  </si>
  <si>
    <t xml:space="preserve">copy.loading.elapsed</t>
  </si>
  <si>
    <t xml:space="preserve">elapsed</t>
  </si>
  <si>
    <r>
      <rPr>
        <sz val="10"/>
        <rFont val="Malgun Gothic"/>
        <family val="0"/>
        <charset val="1"/>
      </rPr>
      <t xml:space="preserve">({seconds}</t>
    </r>
    <r>
      <rPr>
        <sz val="10"/>
        <rFont val="Noto Sans CJK SC"/>
        <family val="2"/>
      </rPr>
      <t xml:space="preserve">초 경과</t>
    </r>
    <r>
      <rPr>
        <sz val="10"/>
        <rFont val="Malgun Gothic"/>
        <family val="0"/>
        <charset val="1"/>
      </rPr>
      <t xml:space="preserve">)</t>
    </r>
  </si>
  <si>
    <t xml:space="preserve">copy.result.headline</t>
  </si>
  <si>
    <r>
      <rPr>
        <sz val="10"/>
        <rFont val="Malgun Gothic"/>
        <family val="0"/>
        <charset val="1"/>
      </rPr>
      <t xml:space="preserve">7 </t>
    </r>
    <r>
      <rPr>
        <sz val="10"/>
        <rFont val="Noto Sans CJK SC"/>
        <family val="2"/>
      </rPr>
      <t xml:space="preserve">결과</t>
    </r>
  </si>
  <si>
    <t xml:space="preserve">headline</t>
  </si>
  <si>
    <r>
      <rPr>
        <sz val="10"/>
        <rFont val="Malgun Gothic"/>
        <family val="0"/>
        <charset val="1"/>
      </rPr>
      <t xml:space="preserve">{nickname}</t>
    </r>
    <r>
      <rPr>
        <sz val="10"/>
        <rFont val="Noto Sans CJK SC"/>
        <family val="2"/>
      </rPr>
      <t xml:space="preserve">님에게 온 세 장의 카드</t>
    </r>
  </si>
  <si>
    <t xml:space="preserve">copy.result.paywall_title</t>
  </si>
  <si>
    <t xml:space="preserve">paywall_title</t>
  </si>
  <si>
    <t xml:space="preserve">이어지는 이야기는 리포트에서 열려요</t>
  </si>
  <si>
    <t xml:space="preserve">copy.result.paywall_body</t>
  </si>
  <si>
    <t xml:space="preserve">paywall_body</t>
  </si>
  <si>
    <r>
      <rPr>
        <sz val="10"/>
        <rFont val="Noto Sans CJK SC"/>
        <family val="2"/>
      </rPr>
      <t xml:space="preserve">세 장이 함께 들려주는 이야기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마음 깊이 읽기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웰니스 처방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이번 주 실천 카드까지 이어서 읽을 수 있어요</t>
    </r>
    <r>
      <rPr>
        <sz val="10"/>
        <rFont val="Malgun Gothic"/>
        <family val="0"/>
        <charset val="1"/>
      </rPr>
      <t xml:space="preserve">.</t>
    </r>
  </si>
  <si>
    <t xml:space="preserve">copy.result.paywall_price</t>
  </si>
  <si>
    <t xml:space="preserve">paywall_price</t>
  </si>
  <si>
    <r>
      <rPr>
        <sz val="10"/>
        <rFont val="Noto Sans CJK SC"/>
        <family val="2"/>
      </rPr>
      <t xml:space="preserve">전체 리포트 </t>
    </r>
    <r>
      <rPr>
        <sz val="10"/>
        <rFont val="Malgun Gothic"/>
        <family val="0"/>
        <charset val="1"/>
      </rPr>
      <t xml:space="preserve">1,900</t>
    </r>
    <r>
      <rPr>
        <sz val="10"/>
        <rFont val="Noto Sans CJK SC"/>
        <family val="2"/>
      </rPr>
      <t xml:space="preserve">원</t>
    </r>
  </si>
  <si>
    <t xml:space="preserve">copy.result.paywall_button</t>
  </si>
  <si>
    <t xml:space="preserve">paywall_button</t>
  </si>
  <si>
    <r>
      <rPr>
        <sz val="10"/>
        <rFont val="Malgun Gothic"/>
        <family val="0"/>
        <charset val="1"/>
      </rPr>
      <t xml:space="preserve">1,900</t>
    </r>
    <r>
      <rPr>
        <sz val="10"/>
        <rFont val="Noto Sans CJK SC"/>
        <family val="2"/>
      </rPr>
      <t xml:space="preserve">원 결제하고 이어 읽기</t>
    </r>
  </si>
  <si>
    <t xml:space="preserve">copy.result.generating</t>
  </si>
  <si>
    <t xml:space="preserve">generating</t>
  </si>
  <si>
    <t xml:space="preserve">바다 친구들이 리포트를 쓰고 있어요…</t>
  </si>
  <si>
    <t xml:space="preserve">copy.result.share</t>
  </si>
  <si>
    <t xml:space="preserve">share</t>
  </si>
  <si>
    <t xml:space="preserve">내 카드 공유하기</t>
  </si>
  <si>
    <t xml:space="preserve">copy.result.save</t>
  </si>
  <si>
    <t xml:space="preserve">save</t>
  </si>
  <si>
    <t xml:space="preserve">결과 저장하기</t>
  </si>
  <si>
    <t xml:space="preserve">copy.result.retry</t>
  </si>
  <si>
    <t xml:space="preserve">retry</t>
  </si>
  <si>
    <t xml:space="preserve">다른 고민으로 다시 해 보기</t>
  </si>
  <si>
    <t xml:space="preserve">copy.share_card.title</t>
  </si>
  <si>
    <t xml:space="preserve">공유 카드</t>
  </si>
  <si>
    <r>
      <rPr>
        <sz val="10"/>
        <rFont val="Malgun Gothic"/>
        <family val="0"/>
        <charset val="1"/>
      </rPr>
      <t xml:space="preserve">{nickname}</t>
    </r>
    <r>
      <rPr>
        <sz val="10"/>
        <rFont val="Noto Sans CJK SC"/>
        <family val="2"/>
      </rPr>
      <t xml:space="preserve">님의 웰니스 타로 세 장</t>
    </r>
  </si>
  <si>
    <t xml:space="preserve">copy.share_card.sub</t>
  </si>
  <si>
    <r>
      <rPr>
        <sz val="10"/>
        <rFont val="Noto Sans CJK SC"/>
        <family val="2"/>
      </rPr>
      <t xml:space="preserve">오늘 당신에게 온 카드는</t>
    </r>
    <r>
      <rPr>
        <sz val="10"/>
        <rFont val="Malgun Gothic"/>
        <family val="0"/>
        <charset val="1"/>
      </rPr>
      <t xml:space="preserve">?</t>
    </r>
  </si>
  <si>
    <t xml:space="preserve">copy.share_card.button</t>
  </si>
  <si>
    <t xml:space="preserve">나도 카드 뽑기</t>
  </si>
  <si>
    <t xml:space="preserve">copy.disclaimer</t>
  </si>
  <si>
    <t xml:space="preserve">결과 하단 고지</t>
  </si>
  <si>
    <t xml:space="preserve">본문</t>
  </si>
  <si>
    <r>
      <rPr>
        <sz val="10"/>
        <rFont val="Noto Sans CJK SC"/>
        <family val="2"/>
      </rPr>
      <t xml:space="preserve">이 결과는 전문 심리상담사가 설계한 자기이해용 웰니스 콘텐츠예요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미래를 예측하지 않으며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의료적 진단이나 심리 치료를 대신하지 않아요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마음이 많이 힘들다면 전문가와 이야기 나눠 주세요</t>
    </r>
    <r>
      <rPr>
        <sz val="10"/>
        <rFont val="Malgun Gothic"/>
        <family val="0"/>
        <charset val="1"/>
      </rPr>
      <t xml:space="preserve">.</t>
    </r>
  </si>
  <si>
    <t xml:space="preserve">copy.safety.urgent_title</t>
  </si>
  <si>
    <t xml:space="preserve">안전 안내</t>
  </si>
  <si>
    <t xml:space="preserve">urgent_title</t>
  </si>
  <si>
    <t xml:space="preserve">지금은 카드보다 사람의 목소리가 먼저 필요해 보여요</t>
  </si>
  <si>
    <t xml:space="preserve">copy.safety.urgent_body</t>
  </si>
  <si>
    <t xml:space="preserve">urgent_body</t>
  </si>
  <si>
    <r>
      <rPr>
        <sz val="10"/>
        <rFont val="Noto Sans CJK SC"/>
        <family val="2"/>
      </rPr>
      <t xml:space="preserve">적어 주신 이야기에서 많이 힘든 마음이 느껴졌어요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혼자 견디지 않아도 괜찮아요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 바로 이야기 나눌 수 있는 곳이 있어요</t>
    </r>
    <r>
      <rPr>
        <sz val="10"/>
        <rFont val="Malgun Gothic"/>
        <family val="0"/>
        <charset val="1"/>
      </rPr>
      <t xml:space="preserve">.</t>
    </r>
  </si>
  <si>
    <t xml:space="preserve">copy.safety.urgent_contacts.0.name</t>
  </si>
  <si>
    <t xml:space="preserve">urgent_contacts.0.name</t>
  </si>
  <si>
    <t xml:space="preserve">자살예방상담전화</t>
  </si>
  <si>
    <t xml:space="preserve">urgent_contacts.0.number</t>
  </si>
  <si>
    <t xml:space="preserve">109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</si>
  <si>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판단 필요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화면에 보이던 내부 메모 </t>
    </r>
    <r>
      <rPr>
        <sz val="10"/>
        <rFont val="Malgun Gothic"/>
        <family val="0"/>
        <charset val="1"/>
      </rPr>
      <t xml:space="preserve">'[</t>
    </r>
    <r>
      <rPr>
        <sz val="10"/>
        <rFont val="Noto Sans CJK SC"/>
        <family val="2"/>
      </rPr>
      <t xml:space="preserve">확인필요</t>
    </r>
    <r>
      <rPr>
        <sz val="10"/>
        <rFont val="Malgun Gothic"/>
        <family val="0"/>
        <charset val="1"/>
      </rPr>
      <t xml:space="preserve">]'</t>
    </r>
    <r>
      <rPr>
        <sz val="10"/>
        <rFont val="Noto Sans CJK SC"/>
        <family val="2"/>
      </rPr>
      <t xml:space="preserve">는 뺐음</t>
    </r>
    <r>
      <rPr>
        <sz val="10"/>
        <rFont val="Malgun Gothic"/>
        <family val="0"/>
        <charset val="1"/>
      </rPr>
      <t xml:space="preserve">. 109·1577-0199 </t>
    </r>
    <r>
      <rPr>
        <sz val="10"/>
        <rFont val="Noto Sans CJK SC"/>
        <family val="2"/>
      </rPr>
      <t xml:space="preserve">번호는 출시 전 최신 확인 필요</t>
    </r>
  </si>
  <si>
    <t xml:space="preserve">urgent_contacts.0.note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</si>
  <si>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노출 문구에 </t>
    </r>
    <r>
      <rPr>
        <sz val="10"/>
        <rFont val="Malgun Gothic"/>
        <family val="0"/>
        <charset val="1"/>
      </rPr>
      <t xml:space="preserve">'[</t>
    </r>
    <r>
      <rPr>
        <sz val="10"/>
        <rFont val="Noto Sans CJK SC"/>
        <family val="2"/>
      </rPr>
      <t xml:space="preserve">확인필요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출시 전 최신 번호 확인</t>
    </r>
    <r>
      <rPr>
        <sz val="10"/>
        <rFont val="Malgun Gothic"/>
        <family val="0"/>
        <charset val="1"/>
      </rPr>
      <t xml:space="preserve">]' </t>
    </r>
    <r>
      <rPr>
        <sz val="10"/>
        <rFont val="Noto Sans CJK SC"/>
        <family val="2"/>
      </rPr>
      <t xml:space="preserve">내부 메모 포함</t>
    </r>
    <r>
      <rPr>
        <sz val="10"/>
        <rFont val="Malgun Gothic"/>
        <family val="0"/>
        <charset val="1"/>
      </rPr>
      <t xml:space="preserve">(contacts.1.note</t>
    </r>
    <r>
      <rPr>
        <sz val="10"/>
        <rFont val="Noto Sans CJK SC"/>
        <family val="2"/>
      </rPr>
      <t xml:space="preserve">도 동일</t>
    </r>
    <r>
      <rPr>
        <sz val="10"/>
        <rFont val="Malgun Gothic"/>
        <family val="0"/>
        <charset val="1"/>
      </rPr>
      <t xml:space="preserve">) 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24</t>
    </r>
    <r>
      <rPr>
        <sz val="10"/>
        <rFont val="Noto Sans CJK SC"/>
        <family val="2"/>
      </rPr>
      <t xml:space="preserve">시간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확인필요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출시 전 최신 번호 확인</t>
    </r>
    <r>
      <rPr>
        <sz val="10"/>
        <rFont val="Malgun Gothic"/>
        <family val="0"/>
        <charset val="1"/>
      </rPr>
      <t xml:space="preserve">])</t>
    </r>
  </si>
  <si>
    <t xml:space="preserve">copy.safety.urgent_contacts.1.name</t>
  </si>
  <si>
    <t xml:space="preserve">urgent_contacts.1.name</t>
  </si>
  <si>
    <t xml:space="preserve">정신건강위기상담전화</t>
  </si>
  <si>
    <t xml:space="preserve">copy.safety.urgent_contacts.1.number</t>
  </si>
  <si>
    <t xml:space="preserve">urgent_contacts.1.number</t>
  </si>
  <si>
    <t xml:space="preserve">1577-0199</t>
  </si>
  <si>
    <t xml:space="preserve">urgent_contacts.1.note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</si>
  <si>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24</t>
    </r>
    <r>
      <rPr>
        <sz val="10"/>
        <rFont val="Noto Sans CJK SC"/>
        <family val="2"/>
      </rPr>
      <t xml:space="preserve">시간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확인필요</t>
    </r>
    <r>
      <rPr>
        <sz val="10"/>
        <rFont val="Malgun Gothic"/>
        <family val="0"/>
        <charset val="1"/>
      </rPr>
      <t xml:space="preserve">])</t>
    </r>
  </si>
  <si>
    <t xml:space="preserve">copy.safety.urgent_contacts.2.name</t>
  </si>
  <si>
    <t xml:space="preserve">urgent_contacts.2.name</t>
  </si>
  <si>
    <t xml:space="preserve">긴급 상황</t>
  </si>
  <si>
    <t xml:space="preserve">copy.safety.urgent_contacts.2.number</t>
  </si>
  <si>
    <t xml:space="preserve">urgent_contacts.2.number</t>
  </si>
  <si>
    <t xml:space="preserve">119 / 112</t>
  </si>
  <si>
    <t xml:space="preserve">copy.safety.urgent_cta</t>
  </si>
  <si>
    <t xml:space="preserve">urgent_cta</t>
  </si>
  <si>
    <t xml:space="preserve">쏠 웰니스 하우스 전문 상담 알아보기</t>
  </si>
  <si>
    <t xml:space="preserve">watch_box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</si>
  <si>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고침</t>
    </r>
    <r>
      <rPr>
        <sz val="10"/>
        <rFont val="Malgun Gothic"/>
        <family val="0"/>
        <charset val="1"/>
      </rPr>
      <t xml:space="preserve">] '</t>
    </r>
    <r>
      <rPr>
        <sz val="10"/>
        <rFont val="Noto Sans CJK SC"/>
        <family val="2"/>
      </rPr>
      <t xml:space="preserve">함께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한 문장에 두 번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요즘 마음이 많이 무거우셨던 것 같아요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카드 해석과 함께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언제든 기댈 수 있는 곳도 함께 적어 둘게요</t>
    </r>
    <r>
      <rPr>
        <sz val="10"/>
        <rFont val="Malgun Gothic"/>
        <family val="0"/>
        <charset val="1"/>
      </rPr>
      <t xml:space="preserve">.)</t>
    </r>
  </si>
  <si>
    <t xml:space="preserve">violence_box</t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</si>
  <si>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판단 필요</t>
    </r>
    <r>
      <rPr>
        <sz val="10"/>
        <rFont val="Malgun Gothic"/>
        <family val="0"/>
        <charset val="1"/>
      </rPr>
      <t xml:space="preserve">] 1366(</t>
    </r>
    <r>
      <rPr>
        <sz val="10"/>
        <rFont val="Noto Sans CJK SC"/>
        <family val="2"/>
      </rPr>
      <t xml:space="preserve">여성긴급전화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만 안내해 피해자를 여성으로 가정할 수 있음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성별과 상관없는 안내를 함께 둘지 결정 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번호는 출시 전 확인</t>
    </r>
  </si>
  <si>
    <t xml:space="preserve">copy.cta_chat.title</t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</si>
  <si>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번 쏘웰라</t>
    </r>
  </si>
  <si>
    <t xml:space="preserve">쏘웰라와 이어서 이야기하기</t>
  </si>
  <si>
    <r>
      <rPr>
        <sz val="10"/>
        <rFont val="Noto Sans CJK SC"/>
        <family val="2"/>
      </rPr>
      <t xml:space="preserve">카드에서 마음에 걸린 문장이 있다면 쏘웰라에게 이어서 이야기해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쏘웰라는 전문 상담사가 설계한 웰니스 대화예요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타로를 보신 분들은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일 동안 무료로 이용할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지금의 계정 그대로 쏘웰라에 접속할 수 있으니 지금 바로 대화해 볼까요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</si>
  <si>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[Claude </t>
    </r>
    <r>
      <rPr>
        <sz val="10"/>
        <rFont val="Noto Sans CJK SC"/>
        <family val="2"/>
      </rPr>
      <t xml:space="preserve">점검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직접 정해 주신 문구라 그대로 둠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제안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카드에서 마음에 걸린 문장이 있다면 쏘웰라에게 이어서 이야기해 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쏘웰라는 전문 상담사가 설계한 웰니스 대화예요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타로를 보신 분들은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일 동안 무료로 이용할 수 있어요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지금 계정 그대로 쏘웰라에 접속할 수 있으니 바로 대화해 볼까요</t>
    </r>
    <r>
      <rPr>
        <sz val="10"/>
        <rFont val="Malgun Gothic"/>
        <family val="0"/>
        <charset val="1"/>
      </rPr>
      <t xml:space="preserve">? — '</t>
    </r>
    <r>
      <rPr>
        <sz val="10"/>
        <rFont val="Noto Sans CJK SC"/>
        <family val="2"/>
      </rPr>
      <t xml:space="preserve">지금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한 문장에 두 번</t>
    </r>
  </si>
  <si>
    <t xml:space="preserve">copy.cta_chat.button</t>
  </si>
  <si>
    <r>
      <rPr>
        <sz val="10"/>
        <rFont val="Noto Sans CJK SC"/>
        <family val="2"/>
      </rPr>
      <t xml:space="preserve">쏘웰라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일 무료로 시작하기</t>
    </r>
  </si>
  <si>
    <t xml:space="preserve">copy.asks_headings.0</t>
  </si>
  <si>
    <t xml:space="preserve">카드 섹션 질문 소제목</t>
  </si>
  <si>
    <t xml:space="preserve">0</t>
  </si>
  <si>
    <r>
      <rPr>
        <sz val="10"/>
        <rFont val="Noto Sans CJK SC"/>
        <family val="2"/>
      </rPr>
      <t xml:space="preserve">혹시 이렇진 않나요</t>
    </r>
    <r>
      <rPr>
        <sz val="10"/>
        <rFont val="Malgun Gothic"/>
        <family val="0"/>
        <charset val="1"/>
      </rPr>
      <t xml:space="preserve">?</t>
    </r>
  </si>
  <si>
    <t xml:space="preserve">copy.asks_headings.1</t>
  </si>
  <si>
    <t xml:space="preserve">1</t>
  </si>
  <si>
    <r>
      <rPr>
        <sz val="10"/>
        <rFont val="Noto Sans CJK SC"/>
        <family val="2"/>
      </rPr>
      <t xml:space="preserve">이런 순간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떠오르지 않나요</t>
    </r>
    <r>
      <rPr>
        <sz val="10"/>
        <rFont val="Malgun Gothic"/>
        <family val="0"/>
        <charset val="1"/>
      </rPr>
      <t xml:space="preserve">?</t>
    </r>
  </si>
  <si>
    <t xml:space="preserve">copy.asks_headings.2</t>
  </si>
  <si>
    <t xml:space="preserve">2</t>
  </si>
  <si>
    <r>
      <rPr>
        <sz val="10"/>
        <rFont val="Noto Sans CJK SC"/>
        <family val="2"/>
      </rPr>
      <t xml:space="preserve">이런 마음이 익숙하진 않으세요</t>
    </r>
    <r>
      <rPr>
        <sz val="10"/>
        <rFont val="Malgun Gothic"/>
        <family val="0"/>
        <charset val="1"/>
      </rPr>
      <t xml:space="preserve">?</t>
    </r>
  </si>
  <si>
    <t xml:space="preserve">copy.result_cards.hint</t>
  </si>
  <si>
    <t xml:space="preserve">결과 맨 위 카드</t>
  </si>
  <si>
    <t xml:space="preserve">hint</t>
  </si>
  <si>
    <t xml:space="preserve">카드를 누르면 크게 볼 수 있어요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</si>
</sst>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12F53"/>
      <name val="Noto Sans CJK SC"/>
      <family val="2"/>
    </font>
    <font>
      <b val="true"/>
      <sz val="16"/>
      <color rgb="FF012F53"/>
      <name val="Malgun Gothic"/>
      <family val="0"/>
      <charset val="1"/>
    </font>
    <font>
      <sz val="10"/>
      <name val="Noto Sans CJK SC"/>
      <family val="2"/>
    </font>
    <font>
      <sz val="10"/>
      <name val="Malgun Gothic"/>
      <family val="0"/>
      <charset val="1"/>
    </font>
    <font>
      <b val="true"/>
      <sz val="12"/>
      <color rgb="FF012F53"/>
      <name val="Noto Sans CJK SC"/>
      <family val="2"/>
    </font>
    <font>
      <b val="true"/>
      <sz val="12"/>
      <color rgb="FF012F53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Noto Sans CJK SC"/>
      <family val="2"/>
    </font>
    <font>
      <sz val="8"/>
      <color rgb="FF8A94A0"/>
      <name val="Malgun Gothic"/>
      <family val="0"/>
      <charset val="1"/>
    </font>
    <font>
      <u val="single"/>
      <sz val="10"/>
      <color rgb="FF1F4E8C"/>
      <name val="Noto Sans CJK SC"/>
      <family val="2"/>
    </font>
    <font>
      <b val="true"/>
      <sz val="10"/>
      <name val="Malgun Gothic"/>
      <family val="0"/>
      <charset val="1"/>
    </font>
    <font>
      <sz val="9"/>
      <color rgb="FF5A6470"/>
      <name val="Noto Sans CJK SC"/>
      <family val="2"/>
    </font>
    <font>
      <sz val="9"/>
      <color rgb="FF5A6470"/>
      <name val="Malgun Gothic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4B8"/>
        <bgColor rgb="FFFEF3DE"/>
      </patternFill>
    </fill>
    <fill>
      <patternFill patternType="solid">
        <fgColor rgb="FFCFE8C9"/>
        <bgColor rgb="FFD6E4F2"/>
      </patternFill>
    </fill>
    <fill>
      <patternFill patternType="solid">
        <fgColor rgb="FFF8D2B0"/>
        <bgColor rgb="FFD9D2C3"/>
      </patternFill>
    </fill>
    <fill>
      <patternFill patternType="solid">
        <fgColor rgb="FFD6E4F2"/>
        <bgColor rgb="FFCFE8C9"/>
      </patternFill>
    </fill>
    <fill>
      <patternFill patternType="solid">
        <fgColor rgb="FFD0D0D0"/>
        <bgColor rgb="FFD9D2C3"/>
      </patternFill>
    </fill>
    <fill>
      <patternFill patternType="solid">
        <fgColor rgb="FF012F53"/>
        <bgColor rgb="FF003300"/>
      </patternFill>
    </fill>
    <fill>
      <patternFill patternType="solid">
        <fgColor rgb="FFFEF3DE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12F5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A94A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B8"/>
          <bgColor rgb="FF000000"/>
        </patternFill>
      </fill>
    </dxf>
    <dxf>
      <fill>
        <patternFill>
          <bgColor rgb="FFCFE8C9"/>
        </patternFill>
      </fill>
    </dxf>
    <dxf>
      <fill>
        <patternFill>
          <bgColor rgb="FFF8D2B0"/>
        </patternFill>
      </fill>
    </dxf>
    <dxf>
      <fill>
        <patternFill>
          <bgColor rgb="FFD6E4F2"/>
        </patternFill>
      </fill>
    </dxf>
    <dxf>
      <fill>
        <patternFill>
          <bgColor rgb="FFD0D0D0"/>
        </patternFill>
      </fill>
    </dxf>
    <dxf>
      <font>
        <name val="Malgun Gothic"/>
        <charset val="1"/>
        <family val="0"/>
        <b val="1"/>
        <color rgb="FFB4441C"/>
      </font>
    </dxf>
    <dxf>
      <fill>
        <patternFill patternType="solid">
          <fgColor rgb="FFB444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3"/>
      <rgbColor rgb="FF808080"/>
      <rgbColor rgb="FF9999FF"/>
      <rgbColor rgb="FF993366"/>
      <rgbColor rgb="FFFFF4B8"/>
      <rgbColor rgb="FFD6E4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8C9"/>
      <rgbColor rgb="FFFEF3DE"/>
      <rgbColor rgb="FF99CCFF"/>
      <rgbColor rgb="FFE3C68E"/>
      <rgbColor rgb="FFCC99FF"/>
      <rgbColor rgb="FFF8D2B0"/>
      <rgbColor rgb="FF3366FF"/>
      <rgbColor rgb="FF33CCCC"/>
      <rgbColor rgb="FF99CC00"/>
      <rgbColor rgb="FFFFCC00"/>
      <rgbColor rgb="FFFF9900"/>
      <rgbColor rgb="FFFF6600"/>
      <rgbColor rgb="FF5A6470"/>
      <rgbColor rgb="FF8A94A0"/>
      <rgbColor rgb="FF012F53"/>
      <rgbColor rgb="FF339966"/>
      <rgbColor rgb="FF003300"/>
      <rgbColor rgb="FF333300"/>
      <rgbColor rgb="FFB4441C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&#50144;&#53440;&#47196;_&#47928;&#51109;DB.xlsx" TargetMode="External"/><Relationship Id="rId2" Type="http://schemas.openxmlformats.org/officeDocument/2006/relationships/hyperlink" Target="&#50144;&#53440;&#47196;_&#47928;&#51109;DB.xlsx" TargetMode="External"/><Relationship Id="rId3" Type="http://schemas.openxmlformats.org/officeDocument/2006/relationships/hyperlink" Target="&#50144;&#53440;&#47196;_&#47928;&#51109;DB.xlsx" TargetMode="External"/><Relationship Id="rId4" Type="http://schemas.openxmlformats.org/officeDocument/2006/relationships/hyperlink" Target="&#50144;&#53440;&#47196;_&#47928;&#51109;DB.xlsx" TargetMode="External"/><Relationship Id="rId5" Type="http://schemas.openxmlformats.org/officeDocument/2006/relationships/hyperlink" Target="&#50144;&#53440;&#47196;_&#47928;&#51109;DB.xlsx" TargetMode="External"/><Relationship Id="rId6" Type="http://schemas.openxmlformats.org/officeDocument/2006/relationships/hyperlink" Target="&#50144;&#53440;&#47196;_&#47928;&#51109;DB.xlsx" TargetMode="External"/><Relationship Id="rId7" Type="http://schemas.openxmlformats.org/officeDocument/2006/relationships/hyperlink" Target="&#50144;&#53440;&#47196;_&#47928;&#51109;DB.xlsx" TargetMode="External"/><Relationship Id="rId8" Type="http://schemas.openxmlformats.org/officeDocument/2006/relationships/hyperlink" Target="&#50144;&#53440;&#47196;_&#47928;&#51109;DB.xlsx" TargetMode="External"/><Relationship Id="rId9" Type="http://schemas.openxmlformats.org/officeDocument/2006/relationships/hyperlink" Target="&#50144;&#53440;&#47196;_&#47928;&#51109;DB.xlsx" TargetMode="External"/><Relationship Id="rId10" Type="http://schemas.openxmlformats.org/officeDocument/2006/relationships/hyperlink" Target="&#50144;&#53440;&#47196;_&#47928;&#51109;DB.xlsx" TargetMode="External"/><Relationship Id="rId11" Type="http://schemas.openxmlformats.org/officeDocument/2006/relationships/hyperlink" Target="&#50144;&#53440;&#47196;_&#47928;&#51109;DB.xlsx" TargetMode="External"/><Relationship Id="rId12" Type="http://schemas.openxmlformats.org/officeDocument/2006/relationships/hyperlink" Target="&#50144;&#53440;&#47196;_&#47928;&#51109;DB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C68E"/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8" min="5" style="0" width="10"/>
    <col collapsed="false" customWidth="true" hidden="false" outlineLevel="0" max="10" min="9" style="0" width="11"/>
  </cols>
  <sheetData>
    <row r="1" customFormat="false" ht="30" hidden="false" customHeight="tru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30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30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</row>
    <row r="9" customFormat="false" ht="30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  <c r="I9" s="4"/>
      <c r="J9" s="4"/>
    </row>
    <row r="10" customFormat="false" ht="30" hidden="false" customHeight="true" outlineLevel="0" collapsed="false">
      <c r="A10" s="4" t="s">
        <v>8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30" hidden="false" customHeight="true" outlineLevel="0" collapsed="false">
      <c r="A11" s="4" t="s">
        <v>9</v>
      </c>
      <c r="B11" s="4"/>
      <c r="C11" s="4"/>
      <c r="D11" s="4"/>
      <c r="E11" s="4"/>
      <c r="F11" s="4"/>
      <c r="G11" s="4"/>
      <c r="H11" s="4"/>
      <c r="I11" s="4"/>
      <c r="J11" s="4"/>
    </row>
    <row r="13" customFormat="false" ht="19.4" hidden="false" customHeight="false" outlineLevel="0" collapsed="false">
      <c r="A13" s="3" t="s">
        <v>10</v>
      </c>
    </row>
    <row r="14" customFormat="false" ht="15" hidden="false" customHeight="true" outlineLevel="0" collapsed="false">
      <c r="A14" s="5" t="s">
        <v>11</v>
      </c>
      <c r="B14" s="2" t="s">
        <v>12</v>
      </c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true" outlineLevel="0" collapsed="false">
      <c r="A15" s="6" t="s">
        <v>13</v>
      </c>
      <c r="B15" s="2" t="s">
        <v>14</v>
      </c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true" outlineLevel="0" collapsed="false">
      <c r="A16" s="7" t="s">
        <v>15</v>
      </c>
      <c r="B16" s="2" t="s">
        <v>16</v>
      </c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true" outlineLevel="0" collapsed="false">
      <c r="A17" s="8" t="s">
        <v>17</v>
      </c>
      <c r="B17" s="2" t="s">
        <v>18</v>
      </c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true" outlineLevel="0" collapsed="false">
      <c r="A18" s="9" t="s">
        <v>19</v>
      </c>
      <c r="B18" s="2" t="s">
        <v>20</v>
      </c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true" outlineLevel="0" collapsed="false">
      <c r="A19" s="10" t="s">
        <v>21</v>
      </c>
      <c r="B19" s="2" t="s">
        <v>22</v>
      </c>
      <c r="C19" s="2"/>
      <c r="D19" s="2"/>
      <c r="E19" s="2"/>
      <c r="F19" s="2"/>
      <c r="G19" s="2"/>
      <c r="H19" s="2"/>
      <c r="I19" s="2"/>
      <c r="J19" s="2"/>
    </row>
    <row r="21" customFormat="false" ht="19.4" hidden="false" customHeight="false" outlineLevel="0" collapsed="false">
      <c r="A21" s="3" t="s">
        <v>23</v>
      </c>
    </row>
    <row r="22" customFormat="false" ht="15" hidden="false" customHeight="true" outlineLevel="0" collapsed="false">
      <c r="A22" s="11" t="s">
        <v>24</v>
      </c>
      <c r="B22" s="12" t="s">
        <v>25</v>
      </c>
      <c r="C22" s="12" t="s">
        <v>26</v>
      </c>
      <c r="D22" s="12" t="s">
        <v>27</v>
      </c>
      <c r="E22" s="12"/>
      <c r="F22" s="12" t="s">
        <v>28</v>
      </c>
      <c r="G22" s="12" t="s">
        <v>29</v>
      </c>
      <c r="H22" s="12"/>
      <c r="I22" s="12" t="s">
        <v>30</v>
      </c>
      <c r="J22" s="12"/>
    </row>
    <row r="23" customFormat="false" ht="96" hidden="false" customHeight="true" outlineLevel="0" collapsed="false">
      <c r="A23" s="13" t="s">
        <v>31</v>
      </c>
      <c r="B23" s="14" t="s">
        <v>32</v>
      </c>
      <c r="C23" s="15" t="s">
        <v>33</v>
      </c>
      <c r="D23" s="15" t="s">
        <v>34</v>
      </c>
      <c r="E23" s="15"/>
      <c r="F23" s="16" t="s">
        <v>13</v>
      </c>
      <c r="G23" s="16" t="s">
        <v>35</v>
      </c>
      <c r="H23" s="16"/>
      <c r="I23" s="17" t="s">
        <v>36</v>
      </c>
      <c r="J23" s="17"/>
    </row>
    <row r="25" customFormat="false" ht="19.4" hidden="false" customHeight="false" outlineLevel="0" collapsed="false">
      <c r="A25" s="3" t="s">
        <v>37</v>
      </c>
    </row>
    <row r="26" customFormat="false" ht="15" hidden="false" customHeight="false" outlineLevel="0" collapsed="false">
      <c r="A26" s="12" t="s">
        <v>38</v>
      </c>
      <c r="B26" s="12" t="s">
        <v>39</v>
      </c>
      <c r="C26" s="12" t="s">
        <v>40</v>
      </c>
      <c r="D26" s="12" t="s">
        <v>41</v>
      </c>
      <c r="E26" s="12" t="s">
        <v>42</v>
      </c>
      <c r="F26" s="12" t="s">
        <v>13</v>
      </c>
      <c r="G26" s="12" t="s">
        <v>15</v>
      </c>
      <c r="H26" s="12" t="s">
        <v>19</v>
      </c>
      <c r="I26" s="12" t="s">
        <v>43</v>
      </c>
      <c r="J26" s="12" t="s">
        <v>44</v>
      </c>
    </row>
    <row r="27" customFormat="false" ht="15" hidden="false" customHeight="false" outlineLevel="0" collapsed="false">
      <c r="A27" s="18" t="s">
        <v>45</v>
      </c>
      <c r="B27" s="15" t="s">
        <v>46</v>
      </c>
      <c r="C27" s="15" t="s">
        <v>47</v>
      </c>
      <c r="D27" s="15" t="s">
        <v>48</v>
      </c>
      <c r="E27" s="19" t="n">
        <f aca="false">COUNTA(위치해석!A:A)-1</f>
        <v>132</v>
      </c>
      <c r="F27" s="19" t="n">
        <f aca="false">COUNTIF(위치해석!E:E,"확정")</f>
        <v>0</v>
      </c>
      <c r="G27" s="19" t="n">
        <f aca="false">COUNTIF(위치해석!E:E,"수정요청")</f>
        <v>0</v>
      </c>
      <c r="H27" s="19" t="n">
        <f aca="false">COUNTIF(위치해석!E:E,"초안")</f>
        <v>132</v>
      </c>
      <c r="I27" s="20" t="n">
        <f aca="false">IF(E27=0,0,F27/E27)</f>
        <v>0</v>
      </c>
      <c r="J27" s="19" t="n">
        <f aca="false">COUNTIF(위치해석!I:I,"분량 확인")</f>
        <v>0</v>
      </c>
    </row>
    <row r="28" customFormat="false" ht="29.85" hidden="false" customHeight="false" outlineLevel="0" collapsed="false">
      <c r="A28" s="21" t="s">
        <v>49</v>
      </c>
      <c r="B28" s="22" t="s">
        <v>50</v>
      </c>
      <c r="C28" s="22" t="s">
        <v>51</v>
      </c>
      <c r="D28" s="23" t="s">
        <v>52</v>
      </c>
      <c r="E28" s="24" t="n">
        <f aca="false">COUNTA(깊이읽기!A:A)-1</f>
        <v>198</v>
      </c>
      <c r="F28" s="24" t="n">
        <f aca="false">COUNTIF(깊이읽기!E:E,"확정")</f>
        <v>0</v>
      </c>
      <c r="G28" s="24" t="n">
        <f aca="false">COUNTIF(깊이읽기!E:E,"수정요청")</f>
        <v>0</v>
      </c>
      <c r="H28" s="24" t="n">
        <f aca="false">COUNTIF(깊이읽기!E:E,"초안")</f>
        <v>198</v>
      </c>
      <c r="I28" s="25" t="n">
        <f aca="false">IF(E28=0,0,F28/E28)</f>
        <v>0</v>
      </c>
      <c r="J28" s="24" t="n">
        <f aca="false">COUNTIF(깊이읽기!I:I,"분량 확인")</f>
        <v>0</v>
      </c>
    </row>
    <row r="29" customFormat="false" ht="15" hidden="false" customHeight="false" outlineLevel="0" collapsed="false">
      <c r="A29" s="18" t="s">
        <v>53</v>
      </c>
      <c r="B29" s="15" t="s">
        <v>54</v>
      </c>
      <c r="C29" s="15" t="s">
        <v>55</v>
      </c>
      <c r="D29" s="15" t="s">
        <v>48</v>
      </c>
      <c r="E29" s="19" t="n">
        <f aca="false">COUNTA(핵심메시지!A:A)-1</f>
        <v>44</v>
      </c>
      <c r="F29" s="19" t="n">
        <f aca="false">COUNTIF(핵심메시지!E:E,"확정")</f>
        <v>0</v>
      </c>
      <c r="G29" s="19" t="n">
        <f aca="false">COUNTIF(핵심메시지!E:E,"수정요청")</f>
        <v>0</v>
      </c>
      <c r="H29" s="19" t="n">
        <f aca="false">COUNTIF(핵심메시지!E:E,"초안")</f>
        <v>44</v>
      </c>
      <c r="I29" s="20" t="n">
        <f aca="false">IF(E29=0,0,F29/E29)</f>
        <v>0</v>
      </c>
      <c r="J29" s="19" t="n">
        <f aca="false">COUNTIF(핵심메시지!I:I,"분량 확인")</f>
        <v>0</v>
      </c>
    </row>
    <row r="30" customFormat="false" ht="29.85" hidden="false" customHeight="false" outlineLevel="0" collapsed="false">
      <c r="A30" s="18" t="s">
        <v>56</v>
      </c>
      <c r="B30" s="15" t="s">
        <v>57</v>
      </c>
      <c r="C30" s="15" t="s">
        <v>58</v>
      </c>
      <c r="D30" s="15" t="s">
        <v>48</v>
      </c>
      <c r="E30" s="19" t="n">
        <f aca="false">COUNTA(카드설명!A:A)-1</f>
        <v>44</v>
      </c>
      <c r="F30" s="19" t="n">
        <f aca="false">COUNTIF(카드설명!E:E,"확정")</f>
        <v>0</v>
      </c>
      <c r="G30" s="19" t="n">
        <f aca="false">COUNTIF(카드설명!E:E,"수정요청")</f>
        <v>0</v>
      </c>
      <c r="H30" s="19" t="n">
        <f aca="false">COUNTIF(카드설명!E:E,"초안")</f>
        <v>44</v>
      </c>
      <c r="I30" s="20" t="n">
        <f aca="false">IF(E30=0,0,F30/E30)</f>
        <v>0</v>
      </c>
      <c r="J30" s="19" t="n">
        <f aca="false">COUNTIF(카드설명!I:I,"분량 확인")</f>
        <v>0</v>
      </c>
    </row>
    <row r="31" customFormat="false" ht="29.85" hidden="false" customHeight="false" outlineLevel="0" collapsed="false">
      <c r="A31" s="18" t="s">
        <v>59</v>
      </c>
      <c r="B31" s="15" t="s">
        <v>60</v>
      </c>
      <c r="C31" s="15" t="s">
        <v>61</v>
      </c>
      <c r="D31" s="15" t="s">
        <v>48</v>
      </c>
      <c r="E31" s="19" t="n">
        <f aca="false">COUNTA(상황질문!A:A)-1</f>
        <v>88</v>
      </c>
      <c r="F31" s="19" t="n">
        <f aca="false">COUNTIF(상황질문!E:E,"확정")</f>
        <v>0</v>
      </c>
      <c r="G31" s="19" t="n">
        <f aca="false">COUNTIF(상황질문!E:E,"수정요청")</f>
        <v>0</v>
      </c>
      <c r="H31" s="19" t="n">
        <f aca="false">COUNTIF(상황질문!E:E,"초안")</f>
        <v>88</v>
      </c>
      <c r="I31" s="20" t="n">
        <f aca="false">IF(E31=0,0,F31/E31)</f>
        <v>0</v>
      </c>
      <c r="J31" s="19" t="n">
        <f aca="false">COUNTIF(상황질문!I:I,"분량 확인")</f>
        <v>0</v>
      </c>
    </row>
    <row r="32" customFormat="false" ht="15" hidden="false" customHeight="false" outlineLevel="0" collapsed="false">
      <c r="A32" s="18" t="s">
        <v>62</v>
      </c>
      <c r="B32" s="15" t="s">
        <v>63</v>
      </c>
      <c r="C32" s="15" t="s">
        <v>64</v>
      </c>
      <c r="D32" s="15" t="s">
        <v>48</v>
      </c>
      <c r="E32" s="19" t="n">
        <f aca="false">COUNTA(마무리!A:A)-1</f>
        <v>44</v>
      </c>
      <c r="F32" s="19" t="n">
        <f aca="false">COUNTIF(마무리!E:E,"확정")</f>
        <v>0</v>
      </c>
      <c r="G32" s="19" t="n">
        <f aca="false">COUNTIF(마무리!E:E,"수정요청")</f>
        <v>0</v>
      </c>
      <c r="H32" s="19" t="n">
        <f aca="false">COUNTIF(마무리!E:E,"초안")</f>
        <v>44</v>
      </c>
      <c r="I32" s="20" t="n">
        <f aca="false">IF(E32=0,0,F32/E32)</f>
        <v>0</v>
      </c>
      <c r="J32" s="19" t="n">
        <f aca="false">COUNTIF(마무리!I:I,"분량 확인")</f>
        <v>0</v>
      </c>
    </row>
    <row r="33" customFormat="false" ht="15" hidden="false" customHeight="false" outlineLevel="0" collapsed="false">
      <c r="A33" s="18" t="s">
        <v>65</v>
      </c>
      <c r="B33" s="15" t="s">
        <v>66</v>
      </c>
      <c r="C33" s="15" t="s">
        <v>67</v>
      </c>
      <c r="D33" s="15" t="s">
        <v>48</v>
      </c>
      <c r="E33" s="19" t="n">
        <f aca="false">COUNTA(실천카드!A:A)-1</f>
        <v>264</v>
      </c>
      <c r="F33" s="19" t="n">
        <f aca="false">COUNTIF(실천카드!E:E,"확정")</f>
        <v>0</v>
      </c>
      <c r="G33" s="19" t="n">
        <f aca="false">COUNTIF(실천카드!E:E,"수정요청")</f>
        <v>0</v>
      </c>
      <c r="H33" s="19" t="n">
        <f aca="false">COUNTIF(실천카드!E:E,"초안")</f>
        <v>264</v>
      </c>
      <c r="I33" s="20" t="n">
        <f aca="false">IF(E33=0,0,F33/E33)</f>
        <v>0</v>
      </c>
      <c r="J33" s="19" t="n">
        <f aca="false">COUNTIF(실천카드!I:I,"분량 확인")</f>
        <v>0</v>
      </c>
    </row>
    <row r="34" customFormat="false" ht="29.85" hidden="false" customHeight="false" outlineLevel="0" collapsed="false">
      <c r="A34" s="18" t="s">
        <v>68</v>
      </c>
      <c r="B34" s="15" t="s">
        <v>69</v>
      </c>
      <c r="C34" s="15" t="s">
        <v>70</v>
      </c>
      <c r="D34" s="15" t="s">
        <v>48</v>
      </c>
      <c r="E34" s="19" t="n">
        <f aca="false">COUNTA(웰니스처방!A:A)-1</f>
        <v>126</v>
      </c>
      <c r="F34" s="19" t="n">
        <f aca="false">COUNTIF(웰니스처방!E:E,"확정")</f>
        <v>0</v>
      </c>
      <c r="G34" s="19" t="n">
        <f aca="false">COUNTIF(웰니스처방!E:E,"수정요청")</f>
        <v>0</v>
      </c>
      <c r="H34" s="19" t="n">
        <f aca="false">COUNTIF(웰니스처방!E:E,"초안")</f>
        <v>126</v>
      </c>
      <c r="I34" s="20" t="n">
        <f aca="false">IF(E34=0,0,F34/E34)</f>
        <v>0</v>
      </c>
      <c r="J34" s="19" t="n">
        <f aca="false">COUNTIF(웰니스처방!I:I,"분량 확인")</f>
        <v>3</v>
      </c>
    </row>
    <row r="35" customFormat="false" ht="29.85" hidden="false" customHeight="false" outlineLevel="0" collapsed="false">
      <c r="A35" s="18" t="s">
        <v>71</v>
      </c>
      <c r="B35" s="14" t="s">
        <v>72</v>
      </c>
      <c r="C35" s="15" t="s">
        <v>73</v>
      </c>
      <c r="D35" s="14" t="s">
        <v>74</v>
      </c>
      <c r="E35" s="19" t="n">
        <f aca="false">COUNTA(대체문장!A:A)-1</f>
        <v>28</v>
      </c>
      <c r="F35" s="19" t="n">
        <f aca="false">COUNTIF(대체문장!E:E,"확정")</f>
        <v>0</v>
      </c>
      <c r="G35" s="19" t="n">
        <f aca="false">COUNTIF(대체문장!E:E,"수정요청")</f>
        <v>0</v>
      </c>
      <c r="H35" s="19" t="n">
        <f aca="false">COUNTIF(대체문장!E:E,"초안")</f>
        <v>28</v>
      </c>
      <c r="I35" s="20" t="n">
        <f aca="false">IF(E35=0,0,F35/E35)</f>
        <v>0</v>
      </c>
      <c r="J35" s="19" t="n">
        <f aca="false">COUNTIF(대체문장!I:I,"분량 확인")</f>
        <v>0</v>
      </c>
    </row>
    <row r="36" customFormat="false" ht="29.85" hidden="false" customHeight="false" outlineLevel="0" collapsed="false">
      <c r="A36" s="18" t="s">
        <v>75</v>
      </c>
      <c r="B36" s="15" t="s">
        <v>76</v>
      </c>
      <c r="C36" s="15" t="s">
        <v>77</v>
      </c>
      <c r="D36" s="14" t="s">
        <v>74</v>
      </c>
      <c r="E36" s="19" t="n">
        <f aca="false">COUNTA(안전키워드!A:A)-1</f>
        <v>5</v>
      </c>
      <c r="F36" s="19" t="n">
        <f aca="false">COUNTIF(안전키워드!E:E,"확정")</f>
        <v>0</v>
      </c>
      <c r="G36" s="19" t="n">
        <f aca="false">COUNTIF(안전키워드!E:E,"수정요청")</f>
        <v>0</v>
      </c>
      <c r="H36" s="19" t="n">
        <f aca="false">COUNTIF(안전키워드!E:E,"초안")</f>
        <v>5</v>
      </c>
      <c r="I36" s="20" t="n">
        <f aca="false">IF(E36=0,0,F36/E36)</f>
        <v>0</v>
      </c>
      <c r="J36" s="19" t="n">
        <f aca="false">COUNTIF(안전키워드!I:I,"분량 확인")</f>
        <v>0</v>
      </c>
    </row>
    <row r="37" customFormat="false" ht="15" hidden="false" customHeight="false" outlineLevel="0" collapsed="false">
      <c r="A37" s="18" t="s">
        <v>78</v>
      </c>
      <c r="B37" s="15" t="s">
        <v>79</v>
      </c>
      <c r="C37" s="15" t="s">
        <v>80</v>
      </c>
      <c r="D37" s="15" t="s">
        <v>48</v>
      </c>
      <c r="E37" s="19" t="n">
        <f aca="false">COUNTA(감정문장!A:A)-1</f>
        <v>8</v>
      </c>
      <c r="F37" s="19" t="n">
        <f aca="false">COUNTIF(감정문장!E:E,"확정")</f>
        <v>0</v>
      </c>
      <c r="G37" s="19" t="n">
        <f aca="false">COUNTIF(감정문장!E:E,"수정요청")</f>
        <v>0</v>
      </c>
      <c r="H37" s="19" t="n">
        <f aca="false">COUNTIF(감정문장!E:E,"초안")</f>
        <v>8</v>
      </c>
      <c r="I37" s="20" t="n">
        <f aca="false">IF(E37=0,0,F37/E37)</f>
        <v>0</v>
      </c>
      <c r="J37" s="19" t="n">
        <f aca="false">COUNTIF(감정문장!I:I,"분량 확인")</f>
        <v>0</v>
      </c>
    </row>
    <row r="38" customFormat="false" ht="29.85" hidden="false" customHeight="false" outlineLevel="0" collapsed="false">
      <c r="A38" s="18" t="s">
        <v>81</v>
      </c>
      <c r="B38" s="15" t="s">
        <v>82</v>
      </c>
      <c r="C38" s="15" t="s">
        <v>83</v>
      </c>
      <c r="D38" s="15" t="s">
        <v>48</v>
      </c>
      <c r="E38" s="19" t="n">
        <f aca="false">COUNTA(화면문구!A:A)-1</f>
        <v>71</v>
      </c>
      <c r="F38" s="19" t="n">
        <f aca="false">COUNTIF(화면문구!E:E,"확정")</f>
        <v>0</v>
      </c>
      <c r="G38" s="19" t="n">
        <f aca="false">COUNTIF(화면문구!E:E,"수정요청")</f>
        <v>0</v>
      </c>
      <c r="H38" s="19" t="n">
        <f aca="false">COUNTIF(화면문구!E:E,"초안")</f>
        <v>71</v>
      </c>
      <c r="I38" s="20" t="n">
        <f aca="false">IF(E38=0,0,F38/E38)</f>
        <v>0</v>
      </c>
      <c r="J38" s="19" t="n">
        <f aca="false">COUNTIF(화면문구!I:I,"분량 확인")</f>
        <v>0</v>
      </c>
    </row>
    <row r="39" customFormat="false" ht="15" hidden="false" customHeight="false" outlineLevel="0" collapsed="false">
      <c r="A39" s="9" t="s">
        <v>84</v>
      </c>
      <c r="B39" s="15"/>
      <c r="C39" s="15"/>
      <c r="D39" s="15"/>
      <c r="E39" s="9" t="n">
        <f aca="false">SUM(E27:E38)</f>
        <v>1052</v>
      </c>
      <c r="F39" s="9" t="n">
        <f aca="false">SUM(F27:F38)</f>
        <v>0</v>
      </c>
      <c r="G39" s="9" t="n">
        <f aca="false">SUM(G27:G38)</f>
        <v>0</v>
      </c>
      <c r="H39" s="9" t="n">
        <f aca="false">SUM(H27:H38)</f>
        <v>1052</v>
      </c>
      <c r="I39" s="26" t="n">
        <f aca="false">IF(E39=0,0,F39/E39)</f>
        <v>0</v>
      </c>
      <c r="J39" s="9" t="n">
        <f aca="false">SUM(J27:J38)</f>
        <v>3</v>
      </c>
    </row>
    <row r="40" customFormat="false" ht="15" hidden="false" customHeight="true" outlineLevel="0" collapsed="false">
      <c r="A40" s="27" t="s">
        <v>85</v>
      </c>
      <c r="B40" s="27"/>
      <c r="C40" s="27"/>
      <c r="D40" s="27"/>
      <c r="E40" s="27"/>
      <c r="F40" s="27"/>
      <c r="G40" s="27"/>
      <c r="H40" s="27"/>
      <c r="I40" s="27"/>
      <c r="J40" s="27"/>
    </row>
  </sheetData>
  <mergeCells count="21">
    <mergeCell ref="A2:J2"/>
    <mergeCell ref="A5:J5"/>
    <mergeCell ref="A6:J6"/>
    <mergeCell ref="A7:J7"/>
    <mergeCell ref="A8:J8"/>
    <mergeCell ref="A9:J9"/>
    <mergeCell ref="A10:J10"/>
    <mergeCell ref="A11:J11"/>
    <mergeCell ref="B14:J14"/>
    <mergeCell ref="B15:J15"/>
    <mergeCell ref="B16:J16"/>
    <mergeCell ref="B17:J17"/>
    <mergeCell ref="B18:J18"/>
    <mergeCell ref="B19:J19"/>
    <mergeCell ref="D22:E22"/>
    <mergeCell ref="G22:H22"/>
    <mergeCell ref="I22:J22"/>
    <mergeCell ref="D23:E23"/>
    <mergeCell ref="G23:H23"/>
    <mergeCell ref="I23:J23"/>
    <mergeCell ref="A40:J40"/>
  </mergeCells>
  <hyperlinks>
    <hyperlink ref="A27" r:id="rId1" location="'위치해석'!A1" display="위치해석"/>
    <hyperlink ref="A28" r:id="rId2" location="'깊이읽기'!A1" display="깊이읽기"/>
    <hyperlink ref="A29" r:id="rId3" location="'핵심메시지'!A1" display="핵심메시지"/>
    <hyperlink ref="A30" r:id="rId4" location="'카드설명'!A1" display="카드설명"/>
    <hyperlink ref="A31" r:id="rId5" location="'상황질문'!A1" display="상황질문"/>
    <hyperlink ref="A32" r:id="rId6" location="'마무리'!A1" display="마무리"/>
    <hyperlink ref="A33" r:id="rId7" location="'실천카드'!A1" display="실천카드"/>
    <hyperlink ref="A34" r:id="rId8" location="'웰니스처방'!A1" display="웰니스처방"/>
    <hyperlink ref="A35" r:id="rId9" location="'대체문장'!A1" display="대체문장"/>
    <hyperlink ref="A36" r:id="rId10" location="'안전키워드'!A1" display="안전키워드"/>
    <hyperlink ref="A37" r:id="rId11" location="'감정문장'!A1" display="감정문장"/>
    <hyperlink ref="A38" r:id="rId12" location="'화면문구'!A1" display="화면문구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441C"/>
    <pageSetUpPr fitToPage="false"/>
  </sheetPr>
  <dimension ref="A1:F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6" min="5" style="0" width="52"/>
  </cols>
  <sheetData>
    <row r="1" customFormat="false" ht="15" hidden="false" customHeight="false" outlineLevel="0" collapsed="false">
      <c r="A1" s="11" t="s">
        <v>24</v>
      </c>
      <c r="B1" s="12" t="s">
        <v>86</v>
      </c>
      <c r="C1" s="12" t="s">
        <v>87</v>
      </c>
      <c r="D1" s="12" t="s">
        <v>88</v>
      </c>
      <c r="E1" s="12" t="s">
        <v>89</v>
      </c>
      <c r="F1" s="12" t="s">
        <v>90</v>
      </c>
    </row>
    <row r="2" customFormat="false" ht="75.75" hidden="false" customHeight="true" outlineLevel="0" collapsed="false">
      <c r="A2" s="13" t="s">
        <v>91</v>
      </c>
      <c r="B2" s="15" t="s">
        <v>92</v>
      </c>
      <c r="C2" s="15" t="s">
        <v>93</v>
      </c>
      <c r="D2" s="14" t="s">
        <v>94</v>
      </c>
      <c r="E2" s="15" t="s">
        <v>95</v>
      </c>
      <c r="F2" s="15" t="s">
        <v>96</v>
      </c>
    </row>
    <row r="3" customFormat="false" ht="61.5" hidden="false" customHeight="true" outlineLevel="0" collapsed="false">
      <c r="A3" s="13" t="s">
        <v>97</v>
      </c>
      <c r="B3" s="15" t="s">
        <v>92</v>
      </c>
      <c r="C3" s="15" t="s">
        <v>93</v>
      </c>
      <c r="D3" s="15" t="s">
        <v>98</v>
      </c>
      <c r="E3" s="15" t="s">
        <v>99</v>
      </c>
      <c r="F3" s="15" t="s">
        <v>100</v>
      </c>
    </row>
    <row r="4" customFormat="false" ht="33.75" hidden="false" customHeight="true" outlineLevel="0" collapsed="false">
      <c r="A4" s="13" t="s">
        <v>101</v>
      </c>
      <c r="B4" s="15" t="s">
        <v>92</v>
      </c>
      <c r="C4" s="15" t="s">
        <v>93</v>
      </c>
      <c r="D4" s="14" t="s">
        <v>102</v>
      </c>
      <c r="E4" s="15" t="s">
        <v>103</v>
      </c>
      <c r="F4" s="15" t="s">
        <v>104</v>
      </c>
    </row>
    <row r="5" customFormat="false" ht="33.75" hidden="false" customHeight="true" outlineLevel="0" collapsed="false">
      <c r="A5" s="13" t="s">
        <v>105</v>
      </c>
      <c r="B5" s="15" t="s">
        <v>92</v>
      </c>
      <c r="C5" s="15" t="s">
        <v>93</v>
      </c>
      <c r="D5" s="14" t="s">
        <v>106</v>
      </c>
      <c r="E5" s="15" t="s">
        <v>107</v>
      </c>
      <c r="F5" s="15" t="s">
        <v>108</v>
      </c>
    </row>
    <row r="6" customFormat="false" ht="75.75" hidden="false" customHeight="true" outlineLevel="0" collapsed="false">
      <c r="A6" s="13" t="s">
        <v>109</v>
      </c>
      <c r="B6" s="15" t="s">
        <v>92</v>
      </c>
      <c r="C6" s="15" t="s">
        <v>93</v>
      </c>
      <c r="D6" s="14" t="s">
        <v>110</v>
      </c>
      <c r="E6" s="15" t="s">
        <v>111</v>
      </c>
      <c r="F6" s="15" t="s">
        <v>112</v>
      </c>
    </row>
    <row r="7" customFormat="false" ht="75.75" hidden="false" customHeight="true" outlineLevel="0" collapsed="false">
      <c r="A7" s="13" t="s">
        <v>113</v>
      </c>
      <c r="B7" s="15" t="s">
        <v>92</v>
      </c>
      <c r="C7" s="15" t="s">
        <v>93</v>
      </c>
      <c r="D7" s="14" t="s">
        <v>114</v>
      </c>
      <c r="E7" s="15" t="s">
        <v>115</v>
      </c>
      <c r="F7" s="15" t="s">
        <v>116</v>
      </c>
    </row>
    <row r="8" customFormat="false" ht="33.75" hidden="false" customHeight="true" outlineLevel="0" collapsed="false">
      <c r="A8" s="13" t="s">
        <v>117</v>
      </c>
      <c r="B8" s="15" t="s">
        <v>92</v>
      </c>
      <c r="C8" s="15" t="s">
        <v>93</v>
      </c>
      <c r="D8" s="14" t="s">
        <v>118</v>
      </c>
      <c r="E8" s="15" t="s">
        <v>119</v>
      </c>
      <c r="F8" s="15" t="s">
        <v>120</v>
      </c>
    </row>
    <row r="9" customFormat="false" ht="48" hidden="false" customHeight="true" outlineLevel="0" collapsed="false">
      <c r="A9" s="13" t="s">
        <v>121</v>
      </c>
      <c r="B9" s="15" t="s">
        <v>92</v>
      </c>
      <c r="C9" s="15" t="s">
        <v>93</v>
      </c>
      <c r="D9" s="15" t="s">
        <v>122</v>
      </c>
      <c r="E9" s="15" t="s">
        <v>123</v>
      </c>
      <c r="F9" s="15" t="s">
        <v>124</v>
      </c>
    </row>
    <row r="10" customFormat="false" ht="90" hidden="false" customHeight="true" outlineLevel="0" collapsed="false">
      <c r="A10" s="13" t="s">
        <v>125</v>
      </c>
      <c r="B10" s="15" t="s">
        <v>92</v>
      </c>
      <c r="C10" s="15" t="s">
        <v>93</v>
      </c>
      <c r="D10" s="14" t="s">
        <v>126</v>
      </c>
      <c r="E10" s="15" t="s">
        <v>127</v>
      </c>
      <c r="F10" s="15" t="s">
        <v>128</v>
      </c>
    </row>
    <row r="11" customFormat="false" ht="19.5" hidden="false" customHeight="true" outlineLevel="0" collapsed="false">
      <c r="A11" s="13" t="s">
        <v>129</v>
      </c>
      <c r="B11" s="15" t="s">
        <v>92</v>
      </c>
      <c r="C11" s="15" t="s">
        <v>93</v>
      </c>
      <c r="D11" s="14" t="s">
        <v>130</v>
      </c>
      <c r="E11" s="15" t="s">
        <v>131</v>
      </c>
      <c r="F11" s="15" t="s">
        <v>132</v>
      </c>
    </row>
    <row r="12" customFormat="false" ht="48" hidden="false" customHeight="true" outlineLevel="0" collapsed="false">
      <c r="A12" s="13" t="s">
        <v>133</v>
      </c>
      <c r="B12" s="15" t="s">
        <v>92</v>
      </c>
      <c r="C12" s="15" t="s">
        <v>134</v>
      </c>
      <c r="D12" s="15" t="s">
        <v>135</v>
      </c>
      <c r="E12" s="15"/>
      <c r="F12" s="15"/>
    </row>
    <row r="13" customFormat="false" ht="33.75" hidden="false" customHeight="true" outlineLevel="0" collapsed="false">
      <c r="A13" s="13" t="s">
        <v>136</v>
      </c>
      <c r="B13" s="15" t="s">
        <v>92</v>
      </c>
      <c r="C13" s="15" t="s">
        <v>134</v>
      </c>
      <c r="D13" s="14" t="s">
        <v>137</v>
      </c>
      <c r="E13" s="15"/>
      <c r="F13" s="15"/>
    </row>
    <row r="14" customFormat="false" ht="33.75" hidden="false" customHeight="true" outlineLevel="0" collapsed="false">
      <c r="A14" s="13" t="s">
        <v>138</v>
      </c>
      <c r="B14" s="15" t="s">
        <v>92</v>
      </c>
      <c r="C14" s="15" t="s">
        <v>93</v>
      </c>
      <c r="D14" s="14" t="s">
        <v>139</v>
      </c>
      <c r="E14" s="15" t="s">
        <v>140</v>
      </c>
      <c r="F14" s="15" t="s">
        <v>141</v>
      </c>
    </row>
    <row r="15" customFormat="false" ht="75.75" hidden="false" customHeight="true" outlineLevel="0" collapsed="false">
      <c r="A15" s="13" t="s">
        <v>142</v>
      </c>
      <c r="B15" s="15" t="s">
        <v>92</v>
      </c>
      <c r="C15" s="15" t="s">
        <v>93</v>
      </c>
      <c r="D15" s="14" t="s">
        <v>143</v>
      </c>
      <c r="E15" s="15" t="s">
        <v>144</v>
      </c>
      <c r="F15" s="15" t="s">
        <v>145</v>
      </c>
    </row>
    <row r="16" customFormat="false" ht="48" hidden="false" customHeight="true" outlineLevel="0" collapsed="false">
      <c r="A16" s="13" t="s">
        <v>146</v>
      </c>
      <c r="B16" s="15" t="s">
        <v>92</v>
      </c>
      <c r="C16" s="15" t="s">
        <v>147</v>
      </c>
      <c r="D16" s="15" t="s">
        <v>148</v>
      </c>
      <c r="E16" s="14" t="s">
        <v>149</v>
      </c>
      <c r="F16" s="15" t="s">
        <v>150</v>
      </c>
    </row>
    <row r="17" customFormat="false" ht="19.5" hidden="false" customHeight="true" outlineLevel="0" collapsed="false">
      <c r="A17" s="13" t="s">
        <v>151</v>
      </c>
      <c r="B17" s="15" t="s">
        <v>92</v>
      </c>
      <c r="C17" s="15" t="s">
        <v>147</v>
      </c>
      <c r="D17" s="14" t="s">
        <v>152</v>
      </c>
      <c r="E17" s="15" t="s">
        <v>153</v>
      </c>
      <c r="F17" s="14" t="s">
        <v>154</v>
      </c>
    </row>
    <row r="18" customFormat="false" ht="48" hidden="false" customHeight="true" outlineLevel="0" collapsed="false">
      <c r="A18" s="13" t="s">
        <v>155</v>
      </c>
      <c r="B18" s="15" t="s">
        <v>92</v>
      </c>
      <c r="C18" s="15" t="s">
        <v>93</v>
      </c>
      <c r="D18" s="14" t="s">
        <v>156</v>
      </c>
      <c r="E18" s="15" t="s">
        <v>157</v>
      </c>
      <c r="F18" s="15" t="s">
        <v>158</v>
      </c>
    </row>
    <row r="19" customFormat="false" ht="33.75" hidden="false" customHeight="true" outlineLevel="0" collapsed="false">
      <c r="A19" s="13" t="s">
        <v>159</v>
      </c>
      <c r="B19" s="15" t="s">
        <v>92</v>
      </c>
      <c r="C19" s="15" t="s">
        <v>93</v>
      </c>
      <c r="D19" s="14" t="s">
        <v>160</v>
      </c>
      <c r="E19" s="15" t="s">
        <v>161</v>
      </c>
      <c r="F19" s="15" t="s">
        <v>162</v>
      </c>
    </row>
    <row r="20" customFormat="false" ht="90" hidden="false" customHeight="true" outlineLevel="0" collapsed="false">
      <c r="A20" s="13" t="s">
        <v>163</v>
      </c>
      <c r="B20" s="15" t="s">
        <v>92</v>
      </c>
      <c r="C20" s="15" t="s">
        <v>93</v>
      </c>
      <c r="D20" s="14" t="s">
        <v>164</v>
      </c>
      <c r="E20" s="15" t="s">
        <v>165</v>
      </c>
      <c r="F20" s="15" t="s">
        <v>166</v>
      </c>
    </row>
    <row r="21" customFormat="false" ht="75.75" hidden="false" customHeight="true" outlineLevel="0" collapsed="false">
      <c r="A21" s="13" t="s">
        <v>167</v>
      </c>
      <c r="B21" s="15" t="s">
        <v>92</v>
      </c>
      <c r="C21" s="15" t="s">
        <v>93</v>
      </c>
      <c r="D21" s="14" t="s">
        <v>168</v>
      </c>
      <c r="E21" s="15" t="s">
        <v>169</v>
      </c>
      <c r="F21" s="15" t="s">
        <v>170</v>
      </c>
    </row>
    <row r="22" customFormat="false" ht="61.5" hidden="false" customHeight="true" outlineLevel="0" collapsed="false">
      <c r="A22" s="13" t="s">
        <v>171</v>
      </c>
      <c r="B22" s="15" t="s">
        <v>92</v>
      </c>
      <c r="C22" s="15" t="s">
        <v>93</v>
      </c>
      <c r="D22" s="15" t="s">
        <v>172</v>
      </c>
      <c r="E22" s="15" t="s">
        <v>173</v>
      </c>
      <c r="F22" s="15" t="s">
        <v>174</v>
      </c>
    </row>
    <row r="23" customFormat="false" ht="48" hidden="false" customHeight="true" outlineLevel="0" collapsed="false">
      <c r="A23" s="13" t="s">
        <v>175</v>
      </c>
      <c r="B23" s="15" t="s">
        <v>92</v>
      </c>
      <c r="C23" s="15" t="s">
        <v>147</v>
      </c>
      <c r="D23" s="15" t="s">
        <v>176</v>
      </c>
      <c r="E23" s="14" t="s">
        <v>177</v>
      </c>
      <c r="F23" s="14" t="s">
        <v>178</v>
      </c>
    </row>
    <row r="24" customFormat="false" ht="48" hidden="false" customHeight="true" outlineLevel="0" collapsed="false">
      <c r="A24" s="13" t="s">
        <v>179</v>
      </c>
      <c r="B24" s="15" t="s">
        <v>92</v>
      </c>
      <c r="C24" s="15" t="s">
        <v>180</v>
      </c>
      <c r="D24" s="15" t="s">
        <v>181</v>
      </c>
      <c r="E24" s="15"/>
      <c r="F24" s="15"/>
    </row>
    <row r="25" customFormat="false" ht="75.75" hidden="false" customHeight="true" outlineLevel="0" collapsed="false">
      <c r="A25" s="13" t="s">
        <v>182</v>
      </c>
      <c r="B25" s="15" t="s">
        <v>92</v>
      </c>
      <c r="C25" s="15" t="s">
        <v>147</v>
      </c>
      <c r="D25" s="15" t="s">
        <v>183</v>
      </c>
      <c r="E25" s="15" t="s">
        <v>184</v>
      </c>
      <c r="F25" s="15" t="s">
        <v>185</v>
      </c>
    </row>
    <row r="26" customFormat="false" ht="61.5" hidden="false" customHeight="true" outlineLevel="0" collapsed="false">
      <c r="A26" s="13" t="s">
        <v>182</v>
      </c>
      <c r="B26" s="15" t="s">
        <v>92</v>
      </c>
      <c r="C26" s="15" t="s">
        <v>180</v>
      </c>
      <c r="D26" s="14" t="s">
        <v>186</v>
      </c>
      <c r="E26" s="15"/>
      <c r="F26" s="15"/>
    </row>
    <row r="27" customFormat="false" ht="33.75" hidden="false" customHeight="true" outlineLevel="0" collapsed="false">
      <c r="A27" s="13" t="s">
        <v>187</v>
      </c>
      <c r="B27" s="15" t="s">
        <v>92</v>
      </c>
      <c r="C27" s="15" t="s">
        <v>134</v>
      </c>
      <c r="D27" s="15" t="s">
        <v>188</v>
      </c>
      <c r="E27" s="15"/>
      <c r="F27" s="15"/>
    </row>
    <row r="28" customFormat="false" ht="33.75" hidden="false" customHeight="true" outlineLevel="0" collapsed="false">
      <c r="A28" s="13" t="s">
        <v>189</v>
      </c>
      <c r="B28" s="15" t="s">
        <v>190</v>
      </c>
      <c r="C28" s="15" t="s">
        <v>93</v>
      </c>
      <c r="D28" s="15" t="s">
        <v>191</v>
      </c>
      <c r="E28" s="15" t="s">
        <v>192</v>
      </c>
      <c r="F28" s="15" t="s">
        <v>193</v>
      </c>
    </row>
    <row r="29" customFormat="false" ht="75.75" hidden="false" customHeight="true" outlineLevel="0" collapsed="false">
      <c r="A29" s="13" t="s">
        <v>194</v>
      </c>
      <c r="B29" s="15" t="s">
        <v>190</v>
      </c>
      <c r="C29" s="15" t="s">
        <v>93</v>
      </c>
      <c r="D29" s="14" t="s">
        <v>195</v>
      </c>
      <c r="E29" s="15" t="s">
        <v>196</v>
      </c>
      <c r="F29" s="15" t="s">
        <v>197</v>
      </c>
    </row>
    <row r="30" customFormat="false" ht="61.5" hidden="false" customHeight="true" outlineLevel="0" collapsed="false">
      <c r="A30" s="13" t="s">
        <v>198</v>
      </c>
      <c r="B30" s="15" t="s">
        <v>190</v>
      </c>
      <c r="C30" s="15" t="s">
        <v>93</v>
      </c>
      <c r="D30" s="15" t="s">
        <v>199</v>
      </c>
      <c r="E30" s="15" t="s">
        <v>200</v>
      </c>
      <c r="F30" s="15" t="s">
        <v>201</v>
      </c>
    </row>
    <row r="31" customFormat="false" ht="61.5" hidden="false" customHeight="true" outlineLevel="0" collapsed="false">
      <c r="A31" s="13" t="s">
        <v>202</v>
      </c>
      <c r="B31" s="15" t="s">
        <v>190</v>
      </c>
      <c r="C31" s="15" t="s">
        <v>147</v>
      </c>
      <c r="D31" s="15" t="s">
        <v>203</v>
      </c>
      <c r="E31" s="15" t="s">
        <v>204</v>
      </c>
      <c r="F31" s="15" t="s">
        <v>205</v>
      </c>
    </row>
    <row r="32" customFormat="false" ht="33.75" hidden="false" customHeight="true" outlineLevel="0" collapsed="false">
      <c r="A32" s="13" t="s">
        <v>206</v>
      </c>
      <c r="B32" s="15" t="s">
        <v>190</v>
      </c>
      <c r="C32" s="15" t="s">
        <v>93</v>
      </c>
      <c r="D32" s="14" t="s">
        <v>207</v>
      </c>
      <c r="E32" s="15" t="s">
        <v>208</v>
      </c>
      <c r="F32" s="15" t="s">
        <v>209</v>
      </c>
    </row>
    <row r="33" customFormat="false" ht="61.5" hidden="false" customHeight="true" outlineLevel="0" collapsed="false">
      <c r="A33" s="13" t="s">
        <v>210</v>
      </c>
      <c r="B33" s="15" t="s">
        <v>190</v>
      </c>
      <c r="C33" s="15" t="s">
        <v>93</v>
      </c>
      <c r="D33" s="14" t="s">
        <v>211</v>
      </c>
      <c r="E33" s="15" t="s">
        <v>212</v>
      </c>
      <c r="F33" s="15" t="s">
        <v>213</v>
      </c>
    </row>
    <row r="34" customFormat="false" ht="19.5" hidden="false" customHeight="true" outlineLevel="0" collapsed="false">
      <c r="A34" s="13" t="s">
        <v>214</v>
      </c>
      <c r="B34" s="15" t="s">
        <v>190</v>
      </c>
      <c r="C34" s="15" t="s">
        <v>147</v>
      </c>
      <c r="D34" s="14" t="s">
        <v>215</v>
      </c>
      <c r="E34" s="15" t="s">
        <v>216</v>
      </c>
      <c r="F34" s="15" t="s">
        <v>217</v>
      </c>
    </row>
    <row r="35" customFormat="false" ht="48" hidden="false" customHeight="true" outlineLevel="0" collapsed="false">
      <c r="A35" s="13" t="s">
        <v>218</v>
      </c>
      <c r="B35" s="15" t="s">
        <v>190</v>
      </c>
      <c r="C35" s="15" t="s">
        <v>147</v>
      </c>
      <c r="D35" s="14" t="s">
        <v>215</v>
      </c>
      <c r="E35" s="15" t="s">
        <v>219</v>
      </c>
      <c r="F35" s="15" t="s">
        <v>220</v>
      </c>
    </row>
    <row r="36" customFormat="false" ht="90" hidden="false" customHeight="true" outlineLevel="0" collapsed="false">
      <c r="A36" s="13" t="s">
        <v>221</v>
      </c>
      <c r="B36" s="15" t="s">
        <v>190</v>
      </c>
      <c r="C36" s="15" t="s">
        <v>222</v>
      </c>
      <c r="D36" s="14" t="s">
        <v>223</v>
      </c>
      <c r="E36" s="15"/>
      <c r="F36" s="15" t="s">
        <v>224</v>
      </c>
    </row>
    <row r="37" customFormat="false" ht="19.5" hidden="false" customHeight="true" outlineLevel="0" collapsed="false">
      <c r="A37" s="13" t="s">
        <v>225</v>
      </c>
      <c r="B37" s="15" t="s">
        <v>190</v>
      </c>
      <c r="C37" s="15" t="s">
        <v>222</v>
      </c>
      <c r="D37" s="14" t="s">
        <v>226</v>
      </c>
      <c r="E37" s="15"/>
      <c r="F37" s="15" t="s">
        <v>227</v>
      </c>
    </row>
    <row r="38" customFormat="false" ht="19.5" hidden="false" customHeight="true" outlineLevel="0" collapsed="false">
      <c r="A38" s="13" t="s">
        <v>228</v>
      </c>
      <c r="B38" s="15" t="s">
        <v>190</v>
      </c>
      <c r="C38" s="15" t="s">
        <v>229</v>
      </c>
      <c r="D38" s="14" t="s">
        <v>230</v>
      </c>
      <c r="E38" s="14" t="s">
        <v>231</v>
      </c>
      <c r="F38" s="14" t="s">
        <v>178</v>
      </c>
    </row>
    <row r="39" customFormat="false" ht="33.75" hidden="false" customHeight="true" outlineLevel="0" collapsed="false">
      <c r="A39" s="13" t="s">
        <v>232</v>
      </c>
      <c r="B39" s="15" t="s">
        <v>190</v>
      </c>
      <c r="C39" s="15" t="s">
        <v>93</v>
      </c>
      <c r="D39" s="14" t="s">
        <v>233</v>
      </c>
      <c r="E39" s="15" t="s">
        <v>234</v>
      </c>
      <c r="F39" s="15" t="s">
        <v>235</v>
      </c>
    </row>
    <row r="40" customFormat="false" ht="48" hidden="false" customHeight="true" outlineLevel="0" collapsed="false">
      <c r="A40" s="13" t="s">
        <v>236</v>
      </c>
      <c r="B40" s="15" t="s">
        <v>190</v>
      </c>
      <c r="C40" s="15" t="s">
        <v>147</v>
      </c>
      <c r="D40" s="14" t="s">
        <v>237</v>
      </c>
      <c r="E40" s="15" t="s">
        <v>238</v>
      </c>
      <c r="F40" s="15" t="s">
        <v>239</v>
      </c>
    </row>
    <row r="41" customFormat="false" ht="61.5" hidden="false" customHeight="true" outlineLevel="0" collapsed="false">
      <c r="A41" s="13" t="s">
        <v>240</v>
      </c>
      <c r="B41" s="15" t="s">
        <v>241</v>
      </c>
      <c r="C41" s="15" t="s">
        <v>93</v>
      </c>
      <c r="D41" s="15" t="s">
        <v>242</v>
      </c>
      <c r="E41" s="15" t="s">
        <v>243</v>
      </c>
      <c r="F41" s="15" t="s">
        <v>244</v>
      </c>
    </row>
    <row r="42" customFormat="false" ht="75.75" hidden="false" customHeight="true" outlineLevel="0" collapsed="false">
      <c r="A42" s="13" t="s">
        <v>245</v>
      </c>
      <c r="B42" s="15" t="s">
        <v>241</v>
      </c>
      <c r="C42" s="15" t="s">
        <v>93</v>
      </c>
      <c r="D42" s="14" t="s">
        <v>246</v>
      </c>
      <c r="E42" s="15" t="s">
        <v>247</v>
      </c>
      <c r="F42" s="15" t="s">
        <v>248</v>
      </c>
    </row>
    <row r="43" customFormat="false" ht="61.5" hidden="false" customHeight="true" outlineLevel="0" collapsed="false">
      <c r="A43" s="13" t="s">
        <v>249</v>
      </c>
      <c r="B43" s="15" t="s">
        <v>241</v>
      </c>
      <c r="C43" s="15" t="s">
        <v>93</v>
      </c>
      <c r="D43" s="14" t="s">
        <v>250</v>
      </c>
      <c r="E43" s="15" t="s">
        <v>251</v>
      </c>
      <c r="F43" s="15" t="s">
        <v>252</v>
      </c>
    </row>
    <row r="44" customFormat="false" ht="61.5" hidden="false" customHeight="true" outlineLevel="0" collapsed="false">
      <c r="A44" s="13" t="s">
        <v>253</v>
      </c>
      <c r="B44" s="15" t="s">
        <v>241</v>
      </c>
      <c r="C44" s="15" t="s">
        <v>147</v>
      </c>
      <c r="D44" s="14" t="s">
        <v>254</v>
      </c>
      <c r="E44" s="15" t="s">
        <v>255</v>
      </c>
      <c r="F44" s="15" t="s">
        <v>256</v>
      </c>
    </row>
    <row r="45" customFormat="false" ht="61.5" hidden="false" customHeight="true" outlineLevel="0" collapsed="false">
      <c r="A45" s="13" t="s">
        <v>257</v>
      </c>
      <c r="B45" s="15" t="s">
        <v>241</v>
      </c>
      <c r="C45" s="15" t="s">
        <v>93</v>
      </c>
      <c r="D45" s="15" t="s">
        <v>242</v>
      </c>
      <c r="E45" s="15" t="s">
        <v>258</v>
      </c>
      <c r="F45" s="15" t="s">
        <v>259</v>
      </c>
    </row>
    <row r="46" customFormat="false" ht="33.75" hidden="false" customHeight="true" outlineLevel="0" collapsed="false">
      <c r="A46" s="13" t="s">
        <v>260</v>
      </c>
      <c r="B46" s="15" t="s">
        <v>241</v>
      </c>
      <c r="C46" s="15" t="s">
        <v>147</v>
      </c>
      <c r="D46" s="14" t="s">
        <v>250</v>
      </c>
      <c r="E46" s="15" t="s">
        <v>261</v>
      </c>
      <c r="F46" s="15" t="s">
        <v>262</v>
      </c>
    </row>
    <row r="47" customFormat="false" ht="61.5" hidden="false" customHeight="true" outlineLevel="0" collapsed="false">
      <c r="A47" s="13" t="s">
        <v>263</v>
      </c>
      <c r="B47" s="15" t="s">
        <v>241</v>
      </c>
      <c r="C47" s="15" t="s">
        <v>93</v>
      </c>
      <c r="D47" s="14" t="s">
        <v>264</v>
      </c>
      <c r="E47" s="15" t="s">
        <v>265</v>
      </c>
      <c r="F47" s="15" t="s">
        <v>266</v>
      </c>
    </row>
    <row r="48" customFormat="false" ht="75.75" hidden="false" customHeight="true" outlineLevel="0" collapsed="false">
      <c r="A48" s="13" t="s">
        <v>267</v>
      </c>
      <c r="B48" s="15" t="s">
        <v>241</v>
      </c>
      <c r="C48" s="15" t="s">
        <v>93</v>
      </c>
      <c r="D48" s="14" t="s">
        <v>268</v>
      </c>
      <c r="E48" s="15" t="s">
        <v>269</v>
      </c>
      <c r="F48" s="15" t="s">
        <v>270</v>
      </c>
    </row>
    <row r="49" customFormat="false" ht="33.75" hidden="false" customHeight="true" outlineLevel="0" collapsed="false">
      <c r="A49" s="13" t="s">
        <v>271</v>
      </c>
      <c r="B49" s="15" t="s">
        <v>241</v>
      </c>
      <c r="C49" s="15" t="s">
        <v>147</v>
      </c>
      <c r="D49" s="14" t="s">
        <v>272</v>
      </c>
      <c r="E49" s="15" t="s">
        <v>273</v>
      </c>
      <c r="F49" s="15" t="s">
        <v>274</v>
      </c>
    </row>
    <row r="50" customFormat="false" ht="61.5" hidden="false" customHeight="true" outlineLevel="0" collapsed="false">
      <c r="A50" s="13" t="s">
        <v>275</v>
      </c>
      <c r="B50" s="15" t="s">
        <v>241</v>
      </c>
      <c r="C50" s="15" t="s">
        <v>93</v>
      </c>
      <c r="D50" s="15" t="s">
        <v>242</v>
      </c>
      <c r="E50" s="15" t="s">
        <v>276</v>
      </c>
      <c r="F50" s="15" t="s">
        <v>277</v>
      </c>
    </row>
    <row r="51" customFormat="false" ht="48" hidden="false" customHeight="true" outlineLevel="0" collapsed="false">
      <c r="A51" s="13" t="s">
        <v>278</v>
      </c>
      <c r="B51" s="15" t="s">
        <v>241</v>
      </c>
      <c r="C51" s="15" t="s">
        <v>93</v>
      </c>
      <c r="D51" s="14" t="s">
        <v>279</v>
      </c>
      <c r="E51" s="15" t="s">
        <v>280</v>
      </c>
      <c r="F51" s="15" t="s">
        <v>281</v>
      </c>
    </row>
    <row r="52" customFormat="false" ht="75.75" hidden="false" customHeight="true" outlineLevel="0" collapsed="false">
      <c r="A52" s="13" t="s">
        <v>282</v>
      </c>
      <c r="B52" s="15" t="s">
        <v>241</v>
      </c>
      <c r="C52" s="15" t="s">
        <v>93</v>
      </c>
      <c r="D52" s="14" t="s">
        <v>283</v>
      </c>
      <c r="E52" s="15" t="s">
        <v>284</v>
      </c>
      <c r="F52" s="15" t="s">
        <v>285</v>
      </c>
    </row>
    <row r="53" customFormat="false" ht="61.5" hidden="false" customHeight="true" outlineLevel="0" collapsed="false">
      <c r="A53" s="13" t="s">
        <v>286</v>
      </c>
      <c r="B53" s="15" t="s">
        <v>241</v>
      </c>
      <c r="C53" s="15" t="s">
        <v>93</v>
      </c>
      <c r="D53" s="15" t="s">
        <v>242</v>
      </c>
      <c r="E53" s="15" t="s">
        <v>287</v>
      </c>
      <c r="F53" s="15" t="s">
        <v>288</v>
      </c>
    </row>
    <row r="54" customFormat="false" ht="33.75" hidden="false" customHeight="true" outlineLevel="0" collapsed="false">
      <c r="A54" s="13" t="s">
        <v>289</v>
      </c>
      <c r="B54" s="15" t="s">
        <v>241</v>
      </c>
      <c r="C54" s="15" t="s">
        <v>93</v>
      </c>
      <c r="D54" s="14" t="s">
        <v>290</v>
      </c>
      <c r="E54" s="14" t="s">
        <v>291</v>
      </c>
      <c r="F54" s="14" t="s">
        <v>292</v>
      </c>
    </row>
    <row r="55" customFormat="false" ht="61.5" hidden="false" customHeight="true" outlineLevel="0" collapsed="false">
      <c r="A55" s="13" t="s">
        <v>293</v>
      </c>
      <c r="B55" s="15" t="s">
        <v>241</v>
      </c>
      <c r="C55" s="15" t="s">
        <v>93</v>
      </c>
      <c r="D55" s="15" t="s">
        <v>242</v>
      </c>
      <c r="E55" s="15" t="s">
        <v>294</v>
      </c>
      <c r="F55" s="15" t="s">
        <v>295</v>
      </c>
    </row>
    <row r="56" customFormat="false" ht="61.5" hidden="false" customHeight="true" outlineLevel="0" collapsed="false">
      <c r="A56" s="13" t="s">
        <v>296</v>
      </c>
      <c r="B56" s="15" t="s">
        <v>241</v>
      </c>
      <c r="C56" s="15" t="s">
        <v>93</v>
      </c>
      <c r="D56" s="15" t="s">
        <v>242</v>
      </c>
      <c r="E56" s="15" t="s">
        <v>297</v>
      </c>
      <c r="F56" s="15" t="s">
        <v>298</v>
      </c>
    </row>
    <row r="57" customFormat="false" ht="61.5" hidden="false" customHeight="true" outlineLevel="0" collapsed="false">
      <c r="A57" s="13" t="s">
        <v>299</v>
      </c>
      <c r="B57" s="15" t="s">
        <v>241</v>
      </c>
      <c r="C57" s="15" t="s">
        <v>93</v>
      </c>
      <c r="D57" s="14" t="s">
        <v>300</v>
      </c>
      <c r="E57" s="15" t="s">
        <v>301</v>
      </c>
      <c r="F57" s="15" t="s">
        <v>302</v>
      </c>
    </row>
    <row r="58" customFormat="false" ht="33.75" hidden="false" customHeight="true" outlineLevel="0" collapsed="false">
      <c r="A58" s="13" t="s">
        <v>303</v>
      </c>
      <c r="B58" s="15" t="s">
        <v>241</v>
      </c>
      <c r="C58" s="15" t="s">
        <v>93</v>
      </c>
      <c r="D58" s="14" t="s">
        <v>304</v>
      </c>
      <c r="E58" s="15" t="s">
        <v>305</v>
      </c>
      <c r="F58" s="14" t="s">
        <v>306</v>
      </c>
    </row>
    <row r="59" customFormat="false" ht="48" hidden="false" customHeight="true" outlineLevel="0" collapsed="false">
      <c r="A59" s="13" t="s">
        <v>307</v>
      </c>
      <c r="B59" s="15" t="s">
        <v>241</v>
      </c>
      <c r="C59" s="15" t="s">
        <v>93</v>
      </c>
      <c r="D59" s="14" t="s">
        <v>308</v>
      </c>
      <c r="E59" s="15" t="s">
        <v>309</v>
      </c>
      <c r="F59" s="15" t="s">
        <v>310</v>
      </c>
    </row>
    <row r="60" customFormat="false" ht="61.5" hidden="false" customHeight="true" outlineLevel="0" collapsed="false">
      <c r="A60" s="13" t="s">
        <v>311</v>
      </c>
      <c r="B60" s="15" t="s">
        <v>241</v>
      </c>
      <c r="C60" s="15" t="s">
        <v>93</v>
      </c>
      <c r="D60" s="15" t="s">
        <v>242</v>
      </c>
      <c r="E60" s="15" t="s">
        <v>312</v>
      </c>
      <c r="F60" s="15" t="s">
        <v>313</v>
      </c>
    </row>
    <row r="61" customFormat="false" ht="61.5" hidden="false" customHeight="true" outlineLevel="0" collapsed="false">
      <c r="A61" s="13" t="s">
        <v>314</v>
      </c>
      <c r="B61" s="15" t="s">
        <v>241</v>
      </c>
      <c r="C61" s="15" t="s">
        <v>93</v>
      </c>
      <c r="D61" s="14" t="s">
        <v>315</v>
      </c>
      <c r="E61" s="15" t="s">
        <v>316</v>
      </c>
      <c r="F61" s="15" t="s">
        <v>317</v>
      </c>
    </row>
    <row r="62" customFormat="false" ht="48" hidden="false" customHeight="true" outlineLevel="0" collapsed="false">
      <c r="A62" s="13" t="s">
        <v>318</v>
      </c>
      <c r="B62" s="15" t="s">
        <v>241</v>
      </c>
      <c r="C62" s="15" t="s">
        <v>93</v>
      </c>
      <c r="D62" s="15" t="s">
        <v>319</v>
      </c>
      <c r="E62" s="14" t="s">
        <v>320</v>
      </c>
      <c r="F62" s="15" t="s">
        <v>321</v>
      </c>
    </row>
    <row r="63" customFormat="false" ht="61.5" hidden="false" customHeight="true" outlineLevel="0" collapsed="false">
      <c r="A63" s="13" t="s">
        <v>322</v>
      </c>
      <c r="B63" s="15" t="s">
        <v>241</v>
      </c>
      <c r="C63" s="15" t="s">
        <v>93</v>
      </c>
      <c r="D63" s="15" t="s">
        <v>242</v>
      </c>
      <c r="E63" s="15" t="s">
        <v>323</v>
      </c>
      <c r="F63" s="15" t="s">
        <v>324</v>
      </c>
    </row>
    <row r="64" customFormat="false" ht="33.75" hidden="false" customHeight="true" outlineLevel="0" collapsed="false">
      <c r="A64" s="13" t="s">
        <v>325</v>
      </c>
      <c r="B64" s="15" t="s">
        <v>241</v>
      </c>
      <c r="C64" s="15" t="s">
        <v>93</v>
      </c>
      <c r="D64" s="14" t="s">
        <v>326</v>
      </c>
      <c r="E64" s="15" t="s">
        <v>327</v>
      </c>
      <c r="F64" s="15" t="s">
        <v>328</v>
      </c>
    </row>
    <row r="65" customFormat="false" ht="33.75" hidden="false" customHeight="true" outlineLevel="0" collapsed="false">
      <c r="A65" s="13" t="s">
        <v>329</v>
      </c>
      <c r="B65" s="15" t="s">
        <v>241</v>
      </c>
      <c r="C65" s="15" t="s">
        <v>93</v>
      </c>
      <c r="D65" s="14" t="s">
        <v>330</v>
      </c>
      <c r="E65" s="15" t="s">
        <v>331</v>
      </c>
      <c r="F65" s="15" t="s">
        <v>332</v>
      </c>
    </row>
    <row r="66" customFormat="false" ht="48" hidden="false" customHeight="true" outlineLevel="0" collapsed="false">
      <c r="A66" s="13" t="s">
        <v>333</v>
      </c>
      <c r="B66" s="15" t="s">
        <v>241</v>
      </c>
      <c r="C66" s="15" t="s">
        <v>93</v>
      </c>
      <c r="D66" s="14" t="s">
        <v>334</v>
      </c>
      <c r="E66" s="15" t="s">
        <v>335</v>
      </c>
      <c r="F66" s="15" t="s">
        <v>336</v>
      </c>
    </row>
    <row r="67" customFormat="false" ht="61.5" hidden="false" customHeight="true" outlineLevel="0" collapsed="false">
      <c r="A67" s="13" t="s">
        <v>337</v>
      </c>
      <c r="B67" s="15" t="s">
        <v>241</v>
      </c>
      <c r="C67" s="15" t="s">
        <v>93</v>
      </c>
      <c r="D67" s="15" t="s">
        <v>242</v>
      </c>
      <c r="E67" s="15" t="s">
        <v>338</v>
      </c>
      <c r="F67" s="15" t="s">
        <v>339</v>
      </c>
    </row>
    <row r="68" customFormat="false" ht="61.5" hidden="false" customHeight="true" outlineLevel="0" collapsed="false">
      <c r="A68" s="13" t="s">
        <v>340</v>
      </c>
      <c r="B68" s="15" t="s">
        <v>241</v>
      </c>
      <c r="C68" s="15" t="s">
        <v>93</v>
      </c>
      <c r="D68" s="15" t="s">
        <v>341</v>
      </c>
      <c r="E68" s="14" t="s">
        <v>342</v>
      </c>
      <c r="F68" s="14" t="s">
        <v>343</v>
      </c>
    </row>
    <row r="69" customFormat="false" ht="75.75" hidden="false" customHeight="true" outlineLevel="0" collapsed="false">
      <c r="A69" s="13" t="s">
        <v>344</v>
      </c>
      <c r="B69" s="15" t="s">
        <v>241</v>
      </c>
      <c r="C69" s="15" t="s">
        <v>93</v>
      </c>
      <c r="D69" s="14" t="s">
        <v>345</v>
      </c>
      <c r="E69" s="15" t="s">
        <v>346</v>
      </c>
      <c r="F69" s="15" t="s">
        <v>347</v>
      </c>
    </row>
    <row r="70" customFormat="false" ht="61.5" hidden="false" customHeight="true" outlineLevel="0" collapsed="false">
      <c r="A70" s="13" t="s">
        <v>348</v>
      </c>
      <c r="B70" s="15" t="s">
        <v>241</v>
      </c>
      <c r="C70" s="15" t="s">
        <v>93</v>
      </c>
      <c r="D70" s="14" t="s">
        <v>349</v>
      </c>
      <c r="E70" s="15" t="s">
        <v>350</v>
      </c>
      <c r="F70" s="15" t="s">
        <v>351</v>
      </c>
    </row>
    <row r="71" customFormat="false" ht="48" hidden="false" customHeight="true" outlineLevel="0" collapsed="false">
      <c r="A71" s="13" t="s">
        <v>352</v>
      </c>
      <c r="B71" s="15" t="s">
        <v>241</v>
      </c>
      <c r="C71" s="15" t="s">
        <v>93</v>
      </c>
      <c r="D71" s="14" t="s">
        <v>353</v>
      </c>
      <c r="E71" s="15" t="s">
        <v>354</v>
      </c>
      <c r="F71" s="15" t="s">
        <v>355</v>
      </c>
    </row>
    <row r="72" customFormat="false" ht="48" hidden="false" customHeight="true" outlineLevel="0" collapsed="false">
      <c r="A72" s="13" t="s">
        <v>356</v>
      </c>
      <c r="B72" s="15" t="s">
        <v>241</v>
      </c>
      <c r="C72" s="15" t="s">
        <v>93</v>
      </c>
      <c r="D72" s="15" t="s">
        <v>242</v>
      </c>
      <c r="E72" s="15" t="s">
        <v>357</v>
      </c>
      <c r="F72" s="15" t="s">
        <v>358</v>
      </c>
    </row>
    <row r="73" customFormat="false" ht="61.5" hidden="false" customHeight="true" outlineLevel="0" collapsed="false">
      <c r="A73" s="13" t="s">
        <v>359</v>
      </c>
      <c r="B73" s="15" t="s">
        <v>241</v>
      </c>
      <c r="C73" s="15" t="s">
        <v>93</v>
      </c>
      <c r="D73" s="14" t="s">
        <v>360</v>
      </c>
      <c r="E73" s="14" t="s">
        <v>361</v>
      </c>
      <c r="F73" s="14" t="s">
        <v>362</v>
      </c>
    </row>
    <row r="74" customFormat="false" ht="61.5" hidden="false" customHeight="true" outlineLevel="0" collapsed="false">
      <c r="A74" s="13" t="s">
        <v>363</v>
      </c>
      <c r="B74" s="15" t="s">
        <v>241</v>
      </c>
      <c r="C74" s="15" t="s">
        <v>93</v>
      </c>
      <c r="D74" s="14" t="s">
        <v>364</v>
      </c>
      <c r="E74" s="15" t="s">
        <v>365</v>
      </c>
      <c r="F74" s="15" t="s">
        <v>366</v>
      </c>
    </row>
    <row r="75" customFormat="false" ht="33.75" hidden="false" customHeight="true" outlineLevel="0" collapsed="false">
      <c r="A75" s="13" t="s">
        <v>367</v>
      </c>
      <c r="B75" s="15" t="s">
        <v>241</v>
      </c>
      <c r="C75" s="15" t="s">
        <v>93</v>
      </c>
      <c r="D75" s="15" t="s">
        <v>368</v>
      </c>
      <c r="E75" s="15" t="s">
        <v>369</v>
      </c>
      <c r="F75" s="15" t="s">
        <v>370</v>
      </c>
    </row>
    <row r="76" customFormat="false" ht="61.5" hidden="false" customHeight="true" outlineLevel="0" collapsed="false">
      <c r="A76" s="13" t="s">
        <v>371</v>
      </c>
      <c r="B76" s="15" t="s">
        <v>241</v>
      </c>
      <c r="C76" s="15" t="s">
        <v>93</v>
      </c>
      <c r="D76" s="15" t="s">
        <v>242</v>
      </c>
      <c r="E76" s="15" t="s">
        <v>372</v>
      </c>
      <c r="F76" s="15" t="s">
        <v>373</v>
      </c>
    </row>
    <row r="77" customFormat="false" ht="61.5" hidden="false" customHeight="true" outlineLevel="0" collapsed="false">
      <c r="A77" s="13" t="s">
        <v>374</v>
      </c>
      <c r="B77" s="15" t="s">
        <v>241</v>
      </c>
      <c r="C77" s="15" t="s">
        <v>93</v>
      </c>
      <c r="D77" s="14" t="s">
        <v>375</v>
      </c>
      <c r="E77" s="15" t="s">
        <v>376</v>
      </c>
      <c r="F77" s="15" t="s">
        <v>377</v>
      </c>
    </row>
    <row r="78" customFormat="false" ht="61.5" hidden="false" customHeight="true" outlineLevel="0" collapsed="false">
      <c r="A78" s="13" t="s">
        <v>378</v>
      </c>
      <c r="B78" s="15" t="s">
        <v>241</v>
      </c>
      <c r="C78" s="15" t="s">
        <v>93</v>
      </c>
      <c r="D78" s="15" t="s">
        <v>242</v>
      </c>
      <c r="E78" s="15" t="s">
        <v>379</v>
      </c>
      <c r="F78" s="15" t="s">
        <v>380</v>
      </c>
    </row>
    <row r="79" customFormat="false" ht="75.75" hidden="false" customHeight="true" outlineLevel="0" collapsed="false">
      <c r="A79" s="13" t="s">
        <v>381</v>
      </c>
      <c r="B79" s="15" t="s">
        <v>241</v>
      </c>
      <c r="C79" s="15" t="s">
        <v>93</v>
      </c>
      <c r="D79" s="14" t="s">
        <v>382</v>
      </c>
      <c r="E79" s="15" t="s">
        <v>383</v>
      </c>
      <c r="F79" s="15" t="s">
        <v>384</v>
      </c>
    </row>
    <row r="80" customFormat="false" ht="48" hidden="false" customHeight="true" outlineLevel="0" collapsed="false">
      <c r="A80" s="13" t="s">
        <v>385</v>
      </c>
      <c r="B80" s="15" t="s">
        <v>241</v>
      </c>
      <c r="C80" s="15" t="s">
        <v>147</v>
      </c>
      <c r="D80" s="14" t="s">
        <v>386</v>
      </c>
      <c r="E80" s="15" t="s">
        <v>387</v>
      </c>
      <c r="F80" s="15" t="s">
        <v>388</v>
      </c>
    </row>
    <row r="81" customFormat="false" ht="61.5" hidden="false" customHeight="true" outlineLevel="0" collapsed="false">
      <c r="A81" s="13" t="s">
        <v>389</v>
      </c>
      <c r="B81" s="15" t="s">
        <v>241</v>
      </c>
      <c r="C81" s="15" t="s">
        <v>93</v>
      </c>
      <c r="D81" s="14" t="s">
        <v>390</v>
      </c>
      <c r="E81" s="15" t="s">
        <v>391</v>
      </c>
      <c r="F81" s="15" t="s">
        <v>392</v>
      </c>
    </row>
    <row r="82" customFormat="false" ht="61.5" hidden="false" customHeight="true" outlineLevel="0" collapsed="false">
      <c r="A82" s="13" t="s">
        <v>393</v>
      </c>
      <c r="B82" s="15" t="s">
        <v>241</v>
      </c>
      <c r="C82" s="15" t="s">
        <v>93</v>
      </c>
      <c r="D82" s="15" t="s">
        <v>242</v>
      </c>
      <c r="E82" s="15" t="s">
        <v>394</v>
      </c>
      <c r="F82" s="15" t="s">
        <v>395</v>
      </c>
    </row>
    <row r="83" customFormat="false" ht="48" hidden="false" customHeight="true" outlineLevel="0" collapsed="false">
      <c r="A83" s="13" t="s">
        <v>396</v>
      </c>
      <c r="B83" s="15" t="s">
        <v>241</v>
      </c>
      <c r="C83" s="15" t="s">
        <v>93</v>
      </c>
      <c r="D83" s="14" t="s">
        <v>397</v>
      </c>
      <c r="E83" s="15" t="s">
        <v>398</v>
      </c>
      <c r="F83" s="15" t="s">
        <v>399</v>
      </c>
    </row>
    <row r="84" customFormat="false" ht="61.5" hidden="false" customHeight="true" outlineLevel="0" collapsed="false">
      <c r="A84" s="13" t="s">
        <v>400</v>
      </c>
      <c r="B84" s="15" t="s">
        <v>241</v>
      </c>
      <c r="C84" s="15" t="s">
        <v>93</v>
      </c>
      <c r="D84" s="14" t="s">
        <v>401</v>
      </c>
      <c r="E84" s="15" t="s">
        <v>402</v>
      </c>
      <c r="F84" s="15" t="s">
        <v>403</v>
      </c>
    </row>
    <row r="85" customFormat="false" ht="19.5" hidden="false" customHeight="true" outlineLevel="0" collapsed="false">
      <c r="A85" s="13" t="s">
        <v>404</v>
      </c>
      <c r="B85" s="15" t="s">
        <v>241</v>
      </c>
      <c r="C85" s="15" t="s">
        <v>93</v>
      </c>
      <c r="D85" s="14" t="s">
        <v>405</v>
      </c>
      <c r="E85" s="14" t="s">
        <v>406</v>
      </c>
      <c r="F85" s="14" t="s">
        <v>407</v>
      </c>
    </row>
    <row r="86" customFormat="false" ht="33.75" hidden="false" customHeight="true" outlineLevel="0" collapsed="false">
      <c r="A86" s="13" t="s">
        <v>408</v>
      </c>
      <c r="B86" s="15" t="s">
        <v>241</v>
      </c>
      <c r="C86" s="15" t="s">
        <v>93</v>
      </c>
      <c r="D86" s="14" t="s">
        <v>409</v>
      </c>
      <c r="E86" s="15" t="s">
        <v>410</v>
      </c>
      <c r="F86" s="15" t="s">
        <v>411</v>
      </c>
    </row>
    <row r="87" customFormat="false" ht="48" hidden="false" customHeight="true" outlineLevel="0" collapsed="false">
      <c r="A87" s="13" t="s">
        <v>412</v>
      </c>
      <c r="B87" s="15" t="s">
        <v>241</v>
      </c>
      <c r="C87" s="15" t="s">
        <v>93</v>
      </c>
      <c r="D87" s="14" t="s">
        <v>413</v>
      </c>
      <c r="E87" s="15" t="s">
        <v>414</v>
      </c>
      <c r="F87" s="15" t="s">
        <v>415</v>
      </c>
    </row>
    <row r="88" customFormat="false" ht="61.5" hidden="false" customHeight="true" outlineLevel="0" collapsed="false">
      <c r="A88" s="13" t="s">
        <v>416</v>
      </c>
      <c r="B88" s="15" t="s">
        <v>241</v>
      </c>
      <c r="C88" s="15" t="s">
        <v>93</v>
      </c>
      <c r="D88" s="15" t="s">
        <v>242</v>
      </c>
      <c r="E88" s="15" t="s">
        <v>417</v>
      </c>
      <c r="F88" s="15" t="s">
        <v>418</v>
      </c>
    </row>
    <row r="89" customFormat="false" ht="48" hidden="false" customHeight="true" outlineLevel="0" collapsed="false">
      <c r="A89" s="13" t="s">
        <v>419</v>
      </c>
      <c r="B89" s="15" t="s">
        <v>241</v>
      </c>
      <c r="C89" s="15" t="s">
        <v>147</v>
      </c>
      <c r="D89" s="15" t="s">
        <v>420</v>
      </c>
      <c r="E89" s="15" t="s">
        <v>421</v>
      </c>
      <c r="F89" s="15" t="s">
        <v>422</v>
      </c>
    </row>
    <row r="90" customFormat="false" ht="33.75" hidden="false" customHeight="true" outlineLevel="0" collapsed="false">
      <c r="A90" s="13" t="s">
        <v>423</v>
      </c>
      <c r="B90" s="15" t="s">
        <v>241</v>
      </c>
      <c r="C90" s="15" t="s">
        <v>93</v>
      </c>
      <c r="D90" s="15" t="s">
        <v>424</v>
      </c>
      <c r="E90" s="15" t="s">
        <v>425</v>
      </c>
      <c r="F90" s="15" t="s">
        <v>426</v>
      </c>
    </row>
    <row r="91" customFormat="false" ht="61.5" hidden="false" customHeight="true" outlineLevel="0" collapsed="false">
      <c r="A91" s="13" t="s">
        <v>427</v>
      </c>
      <c r="B91" s="15" t="s">
        <v>241</v>
      </c>
      <c r="C91" s="15" t="s">
        <v>93</v>
      </c>
      <c r="D91" s="15" t="s">
        <v>242</v>
      </c>
      <c r="E91" s="15" t="s">
        <v>428</v>
      </c>
      <c r="F91" s="15" t="s">
        <v>429</v>
      </c>
    </row>
    <row r="92" customFormat="false" ht="48" hidden="false" customHeight="true" outlineLevel="0" collapsed="false">
      <c r="A92" s="13" t="s">
        <v>430</v>
      </c>
      <c r="B92" s="15" t="s">
        <v>241</v>
      </c>
      <c r="C92" s="15" t="s">
        <v>93</v>
      </c>
      <c r="D92" s="15" t="s">
        <v>431</v>
      </c>
      <c r="E92" s="15" t="s">
        <v>432</v>
      </c>
      <c r="F92" s="15" t="s">
        <v>433</v>
      </c>
    </row>
    <row r="93" customFormat="false" ht="33.75" hidden="false" customHeight="true" outlineLevel="0" collapsed="false">
      <c r="A93" s="13" t="s">
        <v>434</v>
      </c>
      <c r="B93" s="15" t="s">
        <v>241</v>
      </c>
      <c r="C93" s="15" t="s">
        <v>147</v>
      </c>
      <c r="D93" s="14" t="s">
        <v>250</v>
      </c>
      <c r="E93" s="15" t="s">
        <v>435</v>
      </c>
      <c r="F93" s="15" t="s">
        <v>436</v>
      </c>
    </row>
    <row r="94" customFormat="false" ht="61.5" hidden="false" customHeight="true" outlineLevel="0" collapsed="false">
      <c r="A94" s="13" t="s">
        <v>437</v>
      </c>
      <c r="B94" s="15" t="s">
        <v>241</v>
      </c>
      <c r="C94" s="15" t="s">
        <v>93</v>
      </c>
      <c r="D94" s="15" t="s">
        <v>242</v>
      </c>
      <c r="E94" s="15" t="s">
        <v>438</v>
      </c>
      <c r="F94" s="15" t="s">
        <v>439</v>
      </c>
    </row>
    <row r="95" customFormat="false" ht="75.75" hidden="false" customHeight="true" outlineLevel="0" collapsed="false">
      <c r="A95" s="13" t="s">
        <v>440</v>
      </c>
      <c r="B95" s="15" t="s">
        <v>241</v>
      </c>
      <c r="C95" s="15" t="s">
        <v>93</v>
      </c>
      <c r="D95" s="14" t="s">
        <v>441</v>
      </c>
      <c r="E95" s="15" t="s">
        <v>442</v>
      </c>
      <c r="F95" s="15" t="s">
        <v>443</v>
      </c>
    </row>
    <row r="96" customFormat="false" ht="61.5" hidden="false" customHeight="true" outlineLevel="0" collapsed="false">
      <c r="A96" s="13" t="s">
        <v>444</v>
      </c>
      <c r="B96" s="15" t="s">
        <v>241</v>
      </c>
      <c r="C96" s="15" t="s">
        <v>93</v>
      </c>
      <c r="D96" s="15" t="s">
        <v>242</v>
      </c>
      <c r="E96" s="15" t="s">
        <v>445</v>
      </c>
      <c r="F96" s="15" t="s">
        <v>446</v>
      </c>
    </row>
    <row r="97" customFormat="false" ht="61.5" hidden="false" customHeight="true" outlineLevel="0" collapsed="false">
      <c r="A97" s="13" t="s">
        <v>447</v>
      </c>
      <c r="B97" s="15" t="s">
        <v>241</v>
      </c>
      <c r="C97" s="15" t="s">
        <v>93</v>
      </c>
      <c r="D97" s="14" t="s">
        <v>448</v>
      </c>
      <c r="E97" s="15" t="s">
        <v>449</v>
      </c>
      <c r="F97" s="15" t="s">
        <v>450</v>
      </c>
    </row>
    <row r="98" customFormat="false" ht="48" hidden="false" customHeight="true" outlineLevel="0" collapsed="false">
      <c r="A98" s="13" t="s">
        <v>451</v>
      </c>
      <c r="B98" s="15" t="s">
        <v>241</v>
      </c>
      <c r="C98" s="15" t="s">
        <v>93</v>
      </c>
      <c r="D98" s="14" t="s">
        <v>452</v>
      </c>
      <c r="E98" s="15" t="s">
        <v>453</v>
      </c>
      <c r="F98" s="15" t="s">
        <v>454</v>
      </c>
    </row>
    <row r="99" customFormat="false" ht="75.75" hidden="false" customHeight="true" outlineLevel="0" collapsed="false">
      <c r="A99" s="13" t="s">
        <v>455</v>
      </c>
      <c r="B99" s="15" t="s">
        <v>241</v>
      </c>
      <c r="C99" s="15" t="s">
        <v>93</v>
      </c>
      <c r="D99" s="14" t="s">
        <v>456</v>
      </c>
      <c r="E99" s="15" t="s">
        <v>457</v>
      </c>
      <c r="F99" s="15" t="s">
        <v>458</v>
      </c>
    </row>
    <row r="100" customFormat="false" ht="48" hidden="false" customHeight="true" outlineLevel="0" collapsed="false">
      <c r="A100" s="13" t="s">
        <v>459</v>
      </c>
      <c r="B100" s="15" t="s">
        <v>241</v>
      </c>
      <c r="C100" s="15" t="s">
        <v>93</v>
      </c>
      <c r="D100" s="14" t="s">
        <v>460</v>
      </c>
      <c r="E100" s="15" t="s">
        <v>461</v>
      </c>
      <c r="F100" s="15" t="s">
        <v>462</v>
      </c>
    </row>
    <row r="101" customFormat="false" ht="61.5" hidden="false" customHeight="true" outlineLevel="0" collapsed="false">
      <c r="A101" s="13" t="s">
        <v>463</v>
      </c>
      <c r="B101" s="15" t="s">
        <v>241</v>
      </c>
      <c r="C101" s="15" t="s">
        <v>93</v>
      </c>
      <c r="D101" s="15" t="s">
        <v>242</v>
      </c>
      <c r="E101" s="15" t="s">
        <v>464</v>
      </c>
      <c r="F101" s="15" t="s">
        <v>465</v>
      </c>
    </row>
    <row r="102" customFormat="false" ht="33.75" hidden="false" customHeight="true" outlineLevel="0" collapsed="false">
      <c r="A102" s="13" t="s">
        <v>466</v>
      </c>
      <c r="B102" s="15" t="s">
        <v>241</v>
      </c>
      <c r="C102" s="15" t="s">
        <v>93</v>
      </c>
      <c r="D102" s="14" t="s">
        <v>467</v>
      </c>
      <c r="E102" s="15" t="s">
        <v>468</v>
      </c>
      <c r="F102" s="15" t="s">
        <v>469</v>
      </c>
    </row>
    <row r="103" customFormat="false" ht="61.5" hidden="false" customHeight="true" outlineLevel="0" collapsed="false">
      <c r="A103" s="13" t="s">
        <v>470</v>
      </c>
      <c r="B103" s="15" t="s">
        <v>241</v>
      </c>
      <c r="C103" s="15" t="s">
        <v>93</v>
      </c>
      <c r="D103" s="14" t="s">
        <v>471</v>
      </c>
      <c r="E103" s="15" t="s">
        <v>472</v>
      </c>
      <c r="F103" s="15" t="s">
        <v>473</v>
      </c>
    </row>
    <row r="104" customFormat="false" ht="75.75" hidden="false" customHeight="true" outlineLevel="0" collapsed="false">
      <c r="A104" s="13" t="s">
        <v>474</v>
      </c>
      <c r="B104" s="15" t="s">
        <v>241</v>
      </c>
      <c r="C104" s="15" t="s">
        <v>93</v>
      </c>
      <c r="D104" s="14" t="s">
        <v>475</v>
      </c>
      <c r="E104" s="15" t="s">
        <v>476</v>
      </c>
      <c r="F104" s="15" t="s">
        <v>477</v>
      </c>
    </row>
    <row r="105" customFormat="false" ht="61.5" hidden="false" customHeight="true" outlineLevel="0" collapsed="false">
      <c r="A105" s="13" t="s">
        <v>478</v>
      </c>
      <c r="B105" s="15" t="s">
        <v>241</v>
      </c>
      <c r="C105" s="15" t="s">
        <v>93</v>
      </c>
      <c r="D105" s="15" t="s">
        <v>242</v>
      </c>
      <c r="E105" s="15" t="s">
        <v>479</v>
      </c>
      <c r="F105" s="15" t="s">
        <v>480</v>
      </c>
    </row>
    <row r="106" customFormat="false" ht="75.75" hidden="false" customHeight="true" outlineLevel="0" collapsed="false">
      <c r="A106" s="13" t="s">
        <v>481</v>
      </c>
      <c r="B106" s="15" t="s">
        <v>241</v>
      </c>
      <c r="C106" s="15" t="s">
        <v>93</v>
      </c>
      <c r="D106" s="14" t="s">
        <v>482</v>
      </c>
      <c r="E106" s="15" t="s">
        <v>483</v>
      </c>
      <c r="F106" s="15" t="s">
        <v>484</v>
      </c>
    </row>
    <row r="107" customFormat="false" ht="75.75" hidden="false" customHeight="true" outlineLevel="0" collapsed="false">
      <c r="A107" s="13" t="s">
        <v>485</v>
      </c>
      <c r="B107" s="15" t="s">
        <v>241</v>
      </c>
      <c r="C107" s="15" t="s">
        <v>93</v>
      </c>
      <c r="D107" s="14" t="s">
        <v>486</v>
      </c>
      <c r="E107" s="15" t="s">
        <v>487</v>
      </c>
      <c r="F107" s="15" t="s">
        <v>488</v>
      </c>
    </row>
    <row r="108" customFormat="false" ht="61.5" hidden="false" customHeight="true" outlineLevel="0" collapsed="false">
      <c r="A108" s="13" t="s">
        <v>489</v>
      </c>
      <c r="B108" s="15" t="s">
        <v>241</v>
      </c>
      <c r="C108" s="15" t="s">
        <v>93</v>
      </c>
      <c r="D108" s="14" t="s">
        <v>490</v>
      </c>
      <c r="E108" s="15" t="s">
        <v>491</v>
      </c>
      <c r="F108" s="15" t="s">
        <v>492</v>
      </c>
    </row>
    <row r="109" customFormat="false" ht="61.5" hidden="false" customHeight="true" outlineLevel="0" collapsed="false">
      <c r="A109" s="13" t="s">
        <v>493</v>
      </c>
      <c r="B109" s="15" t="s">
        <v>241</v>
      </c>
      <c r="C109" s="15" t="s">
        <v>93</v>
      </c>
      <c r="D109" s="15" t="s">
        <v>242</v>
      </c>
      <c r="E109" s="15" t="s">
        <v>494</v>
      </c>
      <c r="F109" s="15" t="s">
        <v>495</v>
      </c>
    </row>
    <row r="110" customFormat="false" ht="75.75" hidden="false" customHeight="true" outlineLevel="0" collapsed="false">
      <c r="A110" s="13" t="s">
        <v>496</v>
      </c>
      <c r="B110" s="15" t="s">
        <v>241</v>
      </c>
      <c r="C110" s="15" t="s">
        <v>93</v>
      </c>
      <c r="D110" s="14" t="s">
        <v>497</v>
      </c>
      <c r="E110" s="15" t="s">
        <v>498</v>
      </c>
      <c r="F110" s="15" t="s">
        <v>499</v>
      </c>
    </row>
    <row r="111" customFormat="false" ht="33.75" hidden="false" customHeight="true" outlineLevel="0" collapsed="false">
      <c r="A111" s="13" t="s">
        <v>500</v>
      </c>
      <c r="B111" s="15" t="s">
        <v>241</v>
      </c>
      <c r="C111" s="15" t="s">
        <v>93</v>
      </c>
      <c r="D111" s="15" t="s">
        <v>501</v>
      </c>
      <c r="E111" s="15" t="s">
        <v>502</v>
      </c>
      <c r="F111" s="15" t="s">
        <v>503</v>
      </c>
    </row>
    <row r="112" customFormat="false" ht="61.5" hidden="false" customHeight="true" outlineLevel="0" collapsed="false">
      <c r="A112" s="13" t="s">
        <v>504</v>
      </c>
      <c r="B112" s="15" t="s">
        <v>241</v>
      </c>
      <c r="C112" s="15" t="s">
        <v>93</v>
      </c>
      <c r="D112" s="15" t="s">
        <v>242</v>
      </c>
      <c r="E112" s="15" t="s">
        <v>505</v>
      </c>
      <c r="F112" s="15" t="s">
        <v>506</v>
      </c>
    </row>
    <row r="113" customFormat="false" ht="75.75" hidden="false" customHeight="true" outlineLevel="0" collapsed="false">
      <c r="A113" s="13" t="s">
        <v>507</v>
      </c>
      <c r="B113" s="15" t="s">
        <v>241</v>
      </c>
      <c r="C113" s="15" t="s">
        <v>93</v>
      </c>
      <c r="D113" s="14" t="s">
        <v>508</v>
      </c>
      <c r="E113" s="15" t="s">
        <v>509</v>
      </c>
      <c r="F113" s="15" t="s">
        <v>510</v>
      </c>
    </row>
    <row r="114" customFormat="false" ht="75.75" hidden="false" customHeight="true" outlineLevel="0" collapsed="false">
      <c r="A114" s="13" t="s">
        <v>511</v>
      </c>
      <c r="B114" s="15" t="s">
        <v>241</v>
      </c>
      <c r="C114" s="15" t="s">
        <v>93</v>
      </c>
      <c r="D114" s="14" t="s">
        <v>512</v>
      </c>
      <c r="E114" s="15" t="s">
        <v>513</v>
      </c>
      <c r="F114" s="15" t="s">
        <v>514</v>
      </c>
    </row>
    <row r="115" customFormat="false" ht="33.75" hidden="false" customHeight="true" outlineLevel="0" collapsed="false">
      <c r="A115" s="13" t="s">
        <v>515</v>
      </c>
      <c r="B115" s="15" t="s">
        <v>241</v>
      </c>
      <c r="C115" s="15" t="s">
        <v>93</v>
      </c>
      <c r="D115" s="14" t="s">
        <v>516</v>
      </c>
      <c r="E115" s="15" t="s">
        <v>517</v>
      </c>
      <c r="F115" s="15" t="s">
        <v>518</v>
      </c>
    </row>
    <row r="116" customFormat="false" ht="61.5" hidden="false" customHeight="true" outlineLevel="0" collapsed="false">
      <c r="A116" s="13" t="s">
        <v>519</v>
      </c>
      <c r="B116" s="15" t="s">
        <v>241</v>
      </c>
      <c r="C116" s="15" t="s">
        <v>93</v>
      </c>
      <c r="D116" s="15" t="s">
        <v>242</v>
      </c>
      <c r="E116" s="15" t="s">
        <v>520</v>
      </c>
      <c r="F116" s="15" t="s">
        <v>521</v>
      </c>
    </row>
    <row r="117" customFormat="false" ht="48" hidden="false" customHeight="true" outlineLevel="0" collapsed="false">
      <c r="A117" s="13" t="s">
        <v>522</v>
      </c>
      <c r="B117" s="15" t="s">
        <v>241</v>
      </c>
      <c r="C117" s="15" t="s">
        <v>93</v>
      </c>
      <c r="D117" s="14" t="s">
        <v>523</v>
      </c>
      <c r="E117" s="15" t="s">
        <v>524</v>
      </c>
      <c r="F117" s="15" t="s">
        <v>525</v>
      </c>
    </row>
    <row r="118" customFormat="false" ht="33.75" hidden="false" customHeight="true" outlineLevel="0" collapsed="false">
      <c r="A118" s="13" t="s">
        <v>526</v>
      </c>
      <c r="B118" s="15" t="s">
        <v>241</v>
      </c>
      <c r="C118" s="15" t="s">
        <v>93</v>
      </c>
      <c r="D118" s="14" t="s">
        <v>527</v>
      </c>
      <c r="E118" s="15" t="s">
        <v>528</v>
      </c>
      <c r="F118" s="15" t="s">
        <v>529</v>
      </c>
    </row>
    <row r="119" customFormat="false" ht="90" hidden="false" customHeight="true" outlineLevel="0" collapsed="false">
      <c r="A119" s="13" t="s">
        <v>530</v>
      </c>
      <c r="B119" s="15" t="s">
        <v>241</v>
      </c>
      <c r="C119" s="15" t="s">
        <v>222</v>
      </c>
      <c r="D119" s="14" t="s">
        <v>531</v>
      </c>
      <c r="E119" s="15"/>
      <c r="F119" s="15" t="s">
        <v>532</v>
      </c>
    </row>
    <row r="120" customFormat="false" ht="19.5" hidden="false" customHeight="true" outlineLevel="0" collapsed="false">
      <c r="A120" s="13" t="s">
        <v>533</v>
      </c>
      <c r="B120" s="15" t="s">
        <v>241</v>
      </c>
      <c r="C120" s="15" t="s">
        <v>222</v>
      </c>
      <c r="D120" s="14" t="s">
        <v>534</v>
      </c>
      <c r="E120" s="15"/>
      <c r="F120" s="15" t="s">
        <v>535</v>
      </c>
    </row>
    <row r="121" customFormat="false" ht="33.75" hidden="false" customHeight="true" outlineLevel="0" collapsed="false">
      <c r="A121" s="13" t="s">
        <v>536</v>
      </c>
      <c r="B121" s="15" t="s">
        <v>241</v>
      </c>
      <c r="C121" s="15" t="s">
        <v>222</v>
      </c>
      <c r="D121" s="15" t="s">
        <v>537</v>
      </c>
      <c r="E121" s="15"/>
      <c r="F121" s="15" t="s">
        <v>538</v>
      </c>
    </row>
    <row r="122" customFormat="false" ht="48" hidden="false" customHeight="true" outlineLevel="0" collapsed="false">
      <c r="A122" s="13" t="s">
        <v>539</v>
      </c>
      <c r="B122" s="15" t="s">
        <v>241</v>
      </c>
      <c r="C122" s="15" t="s">
        <v>93</v>
      </c>
      <c r="D122" s="14" t="s">
        <v>540</v>
      </c>
      <c r="E122" s="15" t="s">
        <v>541</v>
      </c>
      <c r="F122" s="15" t="s">
        <v>542</v>
      </c>
    </row>
    <row r="123" customFormat="false" ht="48" hidden="false" customHeight="true" outlineLevel="0" collapsed="false">
      <c r="A123" s="13" t="s">
        <v>543</v>
      </c>
      <c r="B123" s="15" t="s">
        <v>241</v>
      </c>
      <c r="C123" s="15" t="s">
        <v>222</v>
      </c>
      <c r="D123" s="14" t="s">
        <v>544</v>
      </c>
      <c r="E123" s="15"/>
      <c r="F123" s="15" t="s">
        <v>545</v>
      </c>
    </row>
    <row r="124" customFormat="false" ht="48" hidden="false" customHeight="true" outlineLevel="0" collapsed="false">
      <c r="A124" s="13" t="s">
        <v>546</v>
      </c>
      <c r="B124" s="15" t="s">
        <v>241</v>
      </c>
      <c r="C124" s="15" t="s">
        <v>222</v>
      </c>
      <c r="D124" s="14" t="s">
        <v>547</v>
      </c>
      <c r="E124" s="15"/>
      <c r="F124" s="15" t="s">
        <v>548</v>
      </c>
    </row>
    <row r="125" customFormat="false" ht="117.75" hidden="false" customHeight="true" outlineLevel="0" collapsed="false">
      <c r="A125" s="13" t="s">
        <v>549</v>
      </c>
      <c r="B125" s="15" t="s">
        <v>241</v>
      </c>
      <c r="C125" s="15" t="s">
        <v>93</v>
      </c>
      <c r="D125" s="14" t="s">
        <v>550</v>
      </c>
      <c r="E125" s="15" t="s">
        <v>551</v>
      </c>
      <c r="F125" s="15" t="s">
        <v>552</v>
      </c>
    </row>
  </sheetData>
  <autoFilter ref="A1:F1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2F53"/>
    <pageSetUpPr fitToPage="false"/>
  </sheetPr>
  <dimension ref="A1:I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61.5" hidden="false" customHeight="true" outlineLevel="0" collapsed="false">
      <c r="A2" s="13" t="s">
        <v>249</v>
      </c>
      <c r="B2" s="14" t="s">
        <v>556</v>
      </c>
      <c r="C2" s="15" t="s">
        <v>33</v>
      </c>
      <c r="D2" s="15" t="s">
        <v>252</v>
      </c>
      <c r="E2" s="28" t="s">
        <v>19</v>
      </c>
      <c r="F2" s="16"/>
      <c r="G2" s="17" t="s">
        <v>557</v>
      </c>
      <c r="H2" s="19" t="n">
        <f aca="false">LEN(IF(F2&lt;&gt;"",F2,D2))</f>
        <v>91</v>
      </c>
      <c r="I2" s="29" t="str">
        <f aca="false">IF(OR(H2&lt;25,H2&gt;140),"분량 확인","")</f>
        <v/>
      </c>
    </row>
    <row r="3" customFormat="false" ht="61.5" hidden="false" customHeight="true" outlineLevel="0" collapsed="false">
      <c r="A3" s="13" t="s">
        <v>558</v>
      </c>
      <c r="B3" s="14" t="s">
        <v>556</v>
      </c>
      <c r="C3" s="15" t="s">
        <v>559</v>
      </c>
      <c r="D3" s="14" t="s">
        <v>560</v>
      </c>
      <c r="E3" s="28" t="s">
        <v>19</v>
      </c>
      <c r="F3" s="16"/>
      <c r="G3" s="16"/>
      <c r="H3" s="19" t="n">
        <f aca="false">LEN(IF(F3&lt;&gt;"",F3,D3))</f>
        <v>92</v>
      </c>
      <c r="I3" s="29" t="str">
        <f aca="false">IF(OR(H3&lt;25,H3&gt;140),"분량 확인","")</f>
        <v/>
      </c>
    </row>
    <row r="4" customFormat="false" ht="48" hidden="false" customHeight="true" outlineLevel="0" collapsed="false">
      <c r="A4" s="13" t="s">
        <v>253</v>
      </c>
      <c r="B4" s="14" t="s">
        <v>556</v>
      </c>
      <c r="C4" s="15" t="s">
        <v>561</v>
      </c>
      <c r="D4" s="15" t="s">
        <v>256</v>
      </c>
      <c r="E4" s="28" t="s">
        <v>19</v>
      </c>
      <c r="F4" s="16"/>
      <c r="G4" s="17" t="s">
        <v>562</v>
      </c>
      <c r="H4" s="19" t="n">
        <f aca="false">LEN(IF(F4&lt;&gt;"",F4,D4))</f>
        <v>76</v>
      </c>
      <c r="I4" s="29" t="str">
        <f aca="false">IF(OR(H4&lt;25,H4&gt;140),"분량 확인","")</f>
        <v/>
      </c>
    </row>
    <row r="5" customFormat="false" ht="33.75" hidden="false" customHeight="true" outlineLevel="0" collapsed="false">
      <c r="A5" s="13" t="s">
        <v>563</v>
      </c>
      <c r="B5" s="14" t="s">
        <v>556</v>
      </c>
      <c r="C5" s="15" t="s">
        <v>564</v>
      </c>
      <c r="D5" s="15" t="s">
        <v>565</v>
      </c>
      <c r="E5" s="28" t="s">
        <v>19</v>
      </c>
      <c r="F5" s="16"/>
      <c r="G5" s="16"/>
      <c r="H5" s="19" t="n">
        <f aca="false">LEN(IF(F5&lt;&gt;"",F5,D5))</f>
        <v>50</v>
      </c>
      <c r="I5" s="29" t="str">
        <f aca="false">IF(OR(H5&lt;25,H5&gt;140),"분량 확인","")</f>
        <v/>
      </c>
    </row>
    <row r="6" customFormat="false" ht="33.75" hidden="false" customHeight="true" outlineLevel="0" collapsed="false">
      <c r="A6" s="13" t="s">
        <v>566</v>
      </c>
      <c r="B6" s="14" t="s">
        <v>556</v>
      </c>
      <c r="C6" s="15" t="s">
        <v>567</v>
      </c>
      <c r="D6" s="14" t="s">
        <v>568</v>
      </c>
      <c r="E6" s="28" t="s">
        <v>19</v>
      </c>
      <c r="F6" s="16"/>
      <c r="G6" s="16"/>
      <c r="H6" s="19" t="n">
        <f aca="false">LEN(IF(F6&lt;&gt;"",F6,D6))</f>
        <v>41</v>
      </c>
      <c r="I6" s="29" t="str">
        <f aca="false">IF(OR(H6&lt;25,H6&gt;140),"분량 확인","")</f>
        <v/>
      </c>
    </row>
    <row r="7" customFormat="false" ht="33.75" hidden="false" customHeight="true" outlineLevel="0" collapsed="false">
      <c r="A7" s="13" t="s">
        <v>569</v>
      </c>
      <c r="B7" s="14" t="s">
        <v>556</v>
      </c>
      <c r="C7" s="15" t="s">
        <v>570</v>
      </c>
      <c r="D7" s="15" t="s">
        <v>571</v>
      </c>
      <c r="E7" s="28" t="s">
        <v>19</v>
      </c>
      <c r="F7" s="16"/>
      <c r="G7" s="16"/>
      <c r="H7" s="19" t="n">
        <f aca="false">LEN(IF(F7&lt;&gt;"",F7,D7))</f>
        <v>43</v>
      </c>
      <c r="I7" s="29" t="str">
        <f aca="false">IF(OR(H7&lt;25,H7&gt;140),"분량 확인","")</f>
        <v/>
      </c>
    </row>
    <row r="8" customFormat="false" ht="48" hidden="false" customHeight="true" outlineLevel="0" collapsed="false">
      <c r="A8" s="13" t="s">
        <v>572</v>
      </c>
      <c r="B8" s="14" t="s">
        <v>573</v>
      </c>
      <c r="C8" s="15" t="s">
        <v>33</v>
      </c>
      <c r="D8" s="15" t="s">
        <v>574</v>
      </c>
      <c r="E8" s="28" t="s">
        <v>19</v>
      </c>
      <c r="F8" s="16"/>
      <c r="G8" s="16"/>
      <c r="H8" s="19" t="n">
        <f aca="false">LEN(IF(F8&lt;&gt;"",F8,D8))</f>
        <v>76</v>
      </c>
      <c r="I8" s="29" t="str">
        <f aca="false">IF(OR(H8&lt;25,H8&gt;140),"분량 확인","")</f>
        <v/>
      </c>
    </row>
    <row r="9" customFormat="false" ht="48" hidden="false" customHeight="true" outlineLevel="0" collapsed="false">
      <c r="A9" s="13" t="s">
        <v>575</v>
      </c>
      <c r="B9" s="14" t="s">
        <v>573</v>
      </c>
      <c r="C9" s="15" t="s">
        <v>559</v>
      </c>
      <c r="D9" s="15" t="s">
        <v>576</v>
      </c>
      <c r="E9" s="28" t="s">
        <v>19</v>
      </c>
      <c r="F9" s="16"/>
      <c r="G9" s="16"/>
      <c r="H9" s="19" t="n">
        <f aca="false">LEN(IF(F9&lt;&gt;"",F9,D9))</f>
        <v>78</v>
      </c>
      <c r="I9" s="29" t="str">
        <f aca="false">IF(OR(H9&lt;25,H9&gt;140),"분량 확인","")</f>
        <v/>
      </c>
    </row>
    <row r="10" customFormat="false" ht="48" hidden="false" customHeight="true" outlineLevel="0" collapsed="false">
      <c r="A10" s="13" t="s">
        <v>577</v>
      </c>
      <c r="B10" s="14" t="s">
        <v>573</v>
      </c>
      <c r="C10" s="15" t="s">
        <v>561</v>
      </c>
      <c r="D10" s="15" t="s">
        <v>578</v>
      </c>
      <c r="E10" s="28" t="s">
        <v>19</v>
      </c>
      <c r="F10" s="16"/>
      <c r="G10" s="16"/>
      <c r="H10" s="19" t="n">
        <f aca="false">LEN(IF(F10&lt;&gt;"",F10,D10))</f>
        <v>83</v>
      </c>
      <c r="I10" s="29" t="str">
        <f aca="false">IF(OR(H10&lt;25,H10&gt;140),"분량 확인","")</f>
        <v/>
      </c>
    </row>
    <row r="11" customFormat="false" ht="33.75" hidden="false" customHeight="true" outlineLevel="0" collapsed="false">
      <c r="A11" s="13" t="s">
        <v>579</v>
      </c>
      <c r="B11" s="14" t="s">
        <v>573</v>
      </c>
      <c r="C11" s="15" t="s">
        <v>564</v>
      </c>
      <c r="D11" s="15" t="s">
        <v>580</v>
      </c>
      <c r="E11" s="28" t="s">
        <v>19</v>
      </c>
      <c r="F11" s="16"/>
      <c r="G11" s="16"/>
      <c r="H11" s="19" t="n">
        <f aca="false">LEN(IF(F11&lt;&gt;"",F11,D11))</f>
        <v>46</v>
      </c>
      <c r="I11" s="29" t="str">
        <f aca="false">IF(OR(H11&lt;25,H11&gt;140),"분량 확인","")</f>
        <v/>
      </c>
    </row>
    <row r="12" customFormat="false" ht="33.75" hidden="false" customHeight="true" outlineLevel="0" collapsed="false">
      <c r="A12" s="13" t="s">
        <v>581</v>
      </c>
      <c r="B12" s="14" t="s">
        <v>573</v>
      </c>
      <c r="C12" s="15" t="s">
        <v>567</v>
      </c>
      <c r="D12" s="15" t="s">
        <v>582</v>
      </c>
      <c r="E12" s="28" t="s">
        <v>19</v>
      </c>
      <c r="F12" s="16"/>
      <c r="G12" s="16"/>
      <c r="H12" s="19" t="n">
        <f aca="false">LEN(IF(F12&lt;&gt;"",F12,D12))</f>
        <v>42</v>
      </c>
      <c r="I12" s="29" t="str">
        <f aca="false">IF(OR(H12&lt;25,H12&gt;140),"분량 확인","")</f>
        <v/>
      </c>
    </row>
    <row r="13" customFormat="false" ht="33.75" hidden="false" customHeight="true" outlineLevel="0" collapsed="false">
      <c r="A13" s="13" t="s">
        <v>271</v>
      </c>
      <c r="B13" s="14" t="s">
        <v>573</v>
      </c>
      <c r="C13" s="15" t="s">
        <v>570</v>
      </c>
      <c r="D13" s="15" t="s">
        <v>274</v>
      </c>
      <c r="E13" s="28" t="s">
        <v>19</v>
      </c>
      <c r="F13" s="16"/>
      <c r="G13" s="17" t="s">
        <v>583</v>
      </c>
      <c r="H13" s="19" t="n">
        <f aca="false">LEN(IF(F13&lt;&gt;"",F13,D13))</f>
        <v>47</v>
      </c>
      <c r="I13" s="29" t="str">
        <f aca="false">IF(OR(H13&lt;25,H13&gt;140),"분량 확인","")</f>
        <v/>
      </c>
    </row>
    <row r="14" customFormat="false" ht="48" hidden="false" customHeight="true" outlineLevel="0" collapsed="false">
      <c r="A14" s="13" t="s">
        <v>584</v>
      </c>
      <c r="B14" s="14" t="s">
        <v>585</v>
      </c>
      <c r="C14" s="15" t="s">
        <v>33</v>
      </c>
      <c r="D14" s="15" t="s">
        <v>586</v>
      </c>
      <c r="E14" s="28" t="s">
        <v>19</v>
      </c>
      <c r="F14" s="16"/>
      <c r="G14" s="16"/>
      <c r="H14" s="19" t="n">
        <f aca="false">LEN(IF(F14&lt;&gt;"",F14,D14))</f>
        <v>77</v>
      </c>
      <c r="I14" s="29" t="str">
        <f aca="false">IF(OR(H14&lt;25,H14&gt;140),"분량 확인","")</f>
        <v/>
      </c>
    </row>
    <row r="15" customFormat="false" ht="61.5" hidden="false" customHeight="true" outlineLevel="0" collapsed="false">
      <c r="A15" s="13" t="s">
        <v>587</v>
      </c>
      <c r="B15" s="14" t="s">
        <v>585</v>
      </c>
      <c r="C15" s="15" t="s">
        <v>559</v>
      </c>
      <c r="D15" s="15" t="s">
        <v>588</v>
      </c>
      <c r="E15" s="28" t="s">
        <v>19</v>
      </c>
      <c r="F15" s="16"/>
      <c r="G15" s="16"/>
      <c r="H15" s="19" t="n">
        <f aca="false">LEN(IF(F15&lt;&gt;"",F15,D15))</f>
        <v>92</v>
      </c>
      <c r="I15" s="29" t="str">
        <f aca="false">IF(OR(H15&lt;25,H15&gt;140),"분량 확인","")</f>
        <v/>
      </c>
    </row>
    <row r="16" customFormat="false" ht="48" hidden="false" customHeight="true" outlineLevel="0" collapsed="false">
      <c r="A16" s="13" t="s">
        <v>589</v>
      </c>
      <c r="B16" s="14" t="s">
        <v>585</v>
      </c>
      <c r="C16" s="15" t="s">
        <v>561</v>
      </c>
      <c r="D16" s="15" t="s">
        <v>590</v>
      </c>
      <c r="E16" s="28" t="s">
        <v>19</v>
      </c>
      <c r="F16" s="16"/>
      <c r="G16" s="16"/>
      <c r="H16" s="19" t="n">
        <f aca="false">LEN(IF(F16&lt;&gt;"",F16,D16))</f>
        <v>83</v>
      </c>
      <c r="I16" s="29" t="str">
        <f aca="false">IF(OR(H16&lt;25,H16&gt;140),"분량 확인","")</f>
        <v/>
      </c>
    </row>
    <row r="17" customFormat="false" ht="33.75" hidden="false" customHeight="true" outlineLevel="0" collapsed="false">
      <c r="A17" s="13" t="s">
        <v>591</v>
      </c>
      <c r="B17" s="14" t="s">
        <v>585</v>
      </c>
      <c r="C17" s="15" t="s">
        <v>564</v>
      </c>
      <c r="D17" s="15" t="s">
        <v>592</v>
      </c>
      <c r="E17" s="28" t="s">
        <v>19</v>
      </c>
      <c r="F17" s="16"/>
      <c r="G17" s="16"/>
      <c r="H17" s="19" t="n">
        <f aca="false">LEN(IF(F17&lt;&gt;"",F17,D17))</f>
        <v>44</v>
      </c>
      <c r="I17" s="29" t="str">
        <f aca="false">IF(OR(H17&lt;25,H17&gt;140),"분량 확인","")</f>
        <v/>
      </c>
    </row>
    <row r="18" customFormat="false" ht="33.75" hidden="false" customHeight="true" outlineLevel="0" collapsed="false">
      <c r="A18" s="13" t="s">
        <v>593</v>
      </c>
      <c r="B18" s="14" t="s">
        <v>585</v>
      </c>
      <c r="C18" s="15" t="s">
        <v>567</v>
      </c>
      <c r="D18" s="15" t="s">
        <v>594</v>
      </c>
      <c r="E18" s="28" t="s">
        <v>19</v>
      </c>
      <c r="F18" s="16"/>
      <c r="G18" s="16"/>
      <c r="H18" s="19" t="n">
        <f aca="false">LEN(IF(F18&lt;&gt;"",F18,D18))</f>
        <v>41</v>
      </c>
      <c r="I18" s="29" t="str">
        <f aca="false">IF(OR(H18&lt;25,H18&gt;140),"분량 확인","")</f>
        <v/>
      </c>
    </row>
    <row r="19" customFormat="false" ht="33.75" hidden="false" customHeight="true" outlineLevel="0" collapsed="false">
      <c r="A19" s="13" t="s">
        <v>412</v>
      </c>
      <c r="B19" s="14" t="s">
        <v>585</v>
      </c>
      <c r="C19" s="15" t="s">
        <v>570</v>
      </c>
      <c r="D19" s="15" t="s">
        <v>415</v>
      </c>
      <c r="E19" s="28" t="s">
        <v>19</v>
      </c>
      <c r="F19" s="16"/>
      <c r="G19" s="17" t="s">
        <v>595</v>
      </c>
      <c r="H19" s="19" t="n">
        <f aca="false">LEN(IF(F19&lt;&gt;"",F19,D19))</f>
        <v>50</v>
      </c>
      <c r="I19" s="29" t="str">
        <f aca="false">IF(OR(H19&lt;25,H19&gt;140),"분량 확인","")</f>
        <v/>
      </c>
    </row>
    <row r="20" customFormat="false" ht="48" hidden="false" customHeight="true" outlineLevel="0" collapsed="false">
      <c r="A20" s="13" t="s">
        <v>202</v>
      </c>
      <c r="B20" s="14" t="s">
        <v>596</v>
      </c>
      <c r="C20" s="15" t="s">
        <v>33</v>
      </c>
      <c r="D20" s="15" t="s">
        <v>205</v>
      </c>
      <c r="E20" s="28" t="s">
        <v>19</v>
      </c>
      <c r="F20" s="16"/>
      <c r="G20" s="17" t="s">
        <v>597</v>
      </c>
      <c r="H20" s="19" t="n">
        <f aca="false">LEN(IF(F20&lt;&gt;"",F20,D20))</f>
        <v>69</v>
      </c>
      <c r="I20" s="29" t="str">
        <f aca="false">IF(OR(H20&lt;25,H20&gt;140),"분량 확인","")</f>
        <v/>
      </c>
    </row>
    <row r="21" customFormat="false" ht="61.5" hidden="false" customHeight="true" outlineLevel="0" collapsed="false">
      <c r="A21" s="13" t="s">
        <v>598</v>
      </c>
      <c r="B21" s="14" t="s">
        <v>596</v>
      </c>
      <c r="C21" s="15" t="s">
        <v>559</v>
      </c>
      <c r="D21" s="14" t="s">
        <v>599</v>
      </c>
      <c r="E21" s="28" t="s">
        <v>19</v>
      </c>
      <c r="F21" s="16"/>
      <c r="G21" s="16"/>
      <c r="H21" s="19" t="n">
        <f aca="false">LEN(IF(F21&lt;&gt;"",F21,D21))</f>
        <v>89</v>
      </c>
      <c r="I21" s="29" t="str">
        <f aca="false">IF(OR(H21&lt;25,H21&gt;140),"분량 확인","")</f>
        <v/>
      </c>
    </row>
    <row r="22" customFormat="false" ht="48" hidden="false" customHeight="true" outlineLevel="0" collapsed="false">
      <c r="A22" s="13" t="s">
        <v>600</v>
      </c>
      <c r="B22" s="14" t="s">
        <v>596</v>
      </c>
      <c r="C22" s="15" t="s">
        <v>561</v>
      </c>
      <c r="D22" s="15" t="s">
        <v>601</v>
      </c>
      <c r="E22" s="28" t="s">
        <v>19</v>
      </c>
      <c r="F22" s="16"/>
      <c r="G22" s="16"/>
      <c r="H22" s="19" t="n">
        <f aca="false">LEN(IF(F22&lt;&gt;"",F22,D22))</f>
        <v>77</v>
      </c>
      <c r="I22" s="29" t="str">
        <f aca="false">IF(OR(H22&lt;25,H22&gt;140),"분량 확인","")</f>
        <v/>
      </c>
    </row>
    <row r="23" customFormat="false" ht="33.75" hidden="false" customHeight="true" outlineLevel="0" collapsed="false">
      <c r="A23" s="13" t="s">
        <v>602</v>
      </c>
      <c r="B23" s="14" t="s">
        <v>596</v>
      </c>
      <c r="C23" s="15" t="s">
        <v>564</v>
      </c>
      <c r="D23" s="15" t="s">
        <v>603</v>
      </c>
      <c r="E23" s="28" t="s">
        <v>19</v>
      </c>
      <c r="F23" s="16"/>
      <c r="G23" s="16"/>
      <c r="H23" s="19" t="n">
        <f aca="false">LEN(IF(F23&lt;&gt;"",F23,D23))</f>
        <v>42</v>
      </c>
      <c r="I23" s="29" t="str">
        <f aca="false">IF(OR(H23&lt;25,H23&gt;140),"분량 확인","")</f>
        <v/>
      </c>
    </row>
    <row r="24" customFormat="false" ht="33.75" hidden="false" customHeight="true" outlineLevel="0" collapsed="false">
      <c r="A24" s="13" t="s">
        <v>604</v>
      </c>
      <c r="B24" s="14" t="s">
        <v>596</v>
      </c>
      <c r="C24" s="15" t="s">
        <v>567</v>
      </c>
      <c r="D24" s="14" t="s">
        <v>605</v>
      </c>
      <c r="E24" s="28" t="s">
        <v>19</v>
      </c>
      <c r="F24" s="16"/>
      <c r="G24" s="16"/>
      <c r="H24" s="19" t="n">
        <f aca="false">LEN(IF(F24&lt;&gt;"",F24,D24))</f>
        <v>41</v>
      </c>
      <c r="I24" s="29" t="str">
        <f aca="false">IF(OR(H24&lt;25,H24&gt;140),"분량 확인","")</f>
        <v/>
      </c>
    </row>
    <row r="25" customFormat="false" ht="33.75" hidden="false" customHeight="true" outlineLevel="0" collapsed="false">
      <c r="A25" s="13" t="s">
        <v>606</v>
      </c>
      <c r="B25" s="14" t="s">
        <v>596</v>
      </c>
      <c r="C25" s="15" t="s">
        <v>570</v>
      </c>
      <c r="D25" s="15" t="s">
        <v>607</v>
      </c>
      <c r="E25" s="28" t="s">
        <v>19</v>
      </c>
      <c r="F25" s="16"/>
      <c r="G25" s="16"/>
      <c r="H25" s="19" t="n">
        <f aca="false">LEN(IF(F25&lt;&gt;"",F25,D25))</f>
        <v>44</v>
      </c>
      <c r="I25" s="29" t="str">
        <f aca="false">IF(OR(H25&lt;25,H25&gt;140),"분량 확인","")</f>
        <v/>
      </c>
    </row>
    <row r="26" customFormat="false" ht="48" hidden="false" customHeight="true" outlineLevel="0" collapsed="false">
      <c r="A26" s="13" t="s">
        <v>451</v>
      </c>
      <c r="B26" s="14" t="s">
        <v>608</v>
      </c>
      <c r="C26" s="15" t="s">
        <v>33</v>
      </c>
      <c r="D26" s="15" t="s">
        <v>454</v>
      </c>
      <c r="E26" s="28" t="s">
        <v>19</v>
      </c>
      <c r="F26" s="16"/>
      <c r="G26" s="17" t="s">
        <v>609</v>
      </c>
      <c r="H26" s="19" t="n">
        <f aca="false">LEN(IF(F26&lt;&gt;"",F26,D26))</f>
        <v>71</v>
      </c>
      <c r="I26" s="29" t="str">
        <f aca="false">IF(OR(H26&lt;25,H26&gt;140),"분량 확인","")</f>
        <v/>
      </c>
    </row>
    <row r="27" customFormat="false" ht="48" hidden="false" customHeight="true" outlineLevel="0" collapsed="false">
      <c r="A27" s="13" t="s">
        <v>610</v>
      </c>
      <c r="B27" s="14" t="s">
        <v>608</v>
      </c>
      <c r="C27" s="15" t="s">
        <v>559</v>
      </c>
      <c r="D27" s="15" t="s">
        <v>611</v>
      </c>
      <c r="E27" s="28" t="s">
        <v>19</v>
      </c>
      <c r="F27" s="16"/>
      <c r="G27" s="16"/>
      <c r="H27" s="19" t="n">
        <f aca="false">LEN(IF(F27&lt;&gt;"",F27,D27))</f>
        <v>81</v>
      </c>
      <c r="I27" s="29" t="str">
        <f aca="false">IF(OR(H27&lt;25,H27&gt;140),"분량 확인","")</f>
        <v/>
      </c>
    </row>
    <row r="28" customFormat="false" ht="61.5" hidden="false" customHeight="true" outlineLevel="0" collapsed="false">
      <c r="A28" s="13" t="s">
        <v>455</v>
      </c>
      <c r="B28" s="14" t="s">
        <v>608</v>
      </c>
      <c r="C28" s="15" t="s">
        <v>561</v>
      </c>
      <c r="D28" s="15" t="s">
        <v>458</v>
      </c>
      <c r="E28" s="28" t="s">
        <v>19</v>
      </c>
      <c r="F28" s="16"/>
      <c r="G28" s="17" t="s">
        <v>612</v>
      </c>
      <c r="H28" s="19" t="n">
        <f aca="false">LEN(IF(F28&lt;&gt;"",F28,D28))</f>
        <v>98</v>
      </c>
      <c r="I28" s="29" t="str">
        <f aca="false">IF(OR(H28&lt;25,H28&gt;140),"분량 확인","")</f>
        <v/>
      </c>
    </row>
    <row r="29" customFormat="false" ht="33.75" hidden="false" customHeight="true" outlineLevel="0" collapsed="false">
      <c r="A29" s="13" t="s">
        <v>613</v>
      </c>
      <c r="B29" s="14" t="s">
        <v>608</v>
      </c>
      <c r="C29" s="15" t="s">
        <v>564</v>
      </c>
      <c r="D29" s="15" t="s">
        <v>614</v>
      </c>
      <c r="E29" s="28" t="s">
        <v>19</v>
      </c>
      <c r="F29" s="16"/>
      <c r="G29" s="16"/>
      <c r="H29" s="19" t="n">
        <f aca="false">LEN(IF(F29&lt;&gt;"",F29,D29))</f>
        <v>55</v>
      </c>
      <c r="I29" s="29" t="str">
        <f aca="false">IF(OR(H29&lt;25,H29&gt;140),"분량 확인","")</f>
        <v/>
      </c>
    </row>
    <row r="30" customFormat="false" ht="33.75" hidden="false" customHeight="true" outlineLevel="0" collapsed="false">
      <c r="A30" s="13" t="s">
        <v>615</v>
      </c>
      <c r="B30" s="14" t="s">
        <v>608</v>
      </c>
      <c r="C30" s="15" t="s">
        <v>567</v>
      </c>
      <c r="D30" s="15" t="s">
        <v>616</v>
      </c>
      <c r="E30" s="28" t="s">
        <v>19</v>
      </c>
      <c r="F30" s="16"/>
      <c r="G30" s="16"/>
      <c r="H30" s="19" t="n">
        <f aca="false">LEN(IF(F30&lt;&gt;"",F30,D30))</f>
        <v>35</v>
      </c>
      <c r="I30" s="29" t="str">
        <f aca="false">IF(OR(H30&lt;25,H30&gt;140),"분량 확인","")</f>
        <v/>
      </c>
    </row>
    <row r="31" customFormat="false" ht="33.75" hidden="false" customHeight="true" outlineLevel="0" collapsed="false">
      <c r="A31" s="13" t="s">
        <v>617</v>
      </c>
      <c r="B31" s="14" t="s">
        <v>608</v>
      </c>
      <c r="C31" s="15" t="s">
        <v>570</v>
      </c>
      <c r="D31" s="15" t="s">
        <v>618</v>
      </c>
      <c r="E31" s="28" t="s">
        <v>19</v>
      </c>
      <c r="F31" s="16"/>
      <c r="G31" s="16"/>
      <c r="H31" s="19" t="n">
        <f aca="false">LEN(IF(F31&lt;&gt;"",F31,D31))</f>
        <v>43</v>
      </c>
      <c r="I31" s="29" t="str">
        <f aca="false">IF(OR(H31&lt;25,H31&gt;140),"분량 확인","")</f>
        <v/>
      </c>
    </row>
    <row r="32" customFormat="false" ht="48" hidden="false" customHeight="true" outlineLevel="0" collapsed="false">
      <c r="A32" s="13" t="s">
        <v>619</v>
      </c>
      <c r="B32" s="14" t="s">
        <v>620</v>
      </c>
      <c r="C32" s="15" t="s">
        <v>33</v>
      </c>
      <c r="D32" s="15" t="s">
        <v>621</v>
      </c>
      <c r="E32" s="28" t="s">
        <v>19</v>
      </c>
      <c r="F32" s="16"/>
      <c r="G32" s="16"/>
      <c r="H32" s="19" t="n">
        <f aca="false">LEN(IF(F32&lt;&gt;"",F32,D32))</f>
        <v>69</v>
      </c>
      <c r="I32" s="29" t="str">
        <f aca="false">IF(OR(H32&lt;25,H32&gt;140),"분량 확인","")</f>
        <v/>
      </c>
    </row>
    <row r="33" customFormat="false" ht="48" hidden="false" customHeight="true" outlineLevel="0" collapsed="false">
      <c r="A33" s="13" t="s">
        <v>622</v>
      </c>
      <c r="B33" s="14" t="s">
        <v>620</v>
      </c>
      <c r="C33" s="15" t="s">
        <v>559</v>
      </c>
      <c r="D33" s="14" t="s">
        <v>623</v>
      </c>
      <c r="E33" s="28" t="s">
        <v>19</v>
      </c>
      <c r="F33" s="16"/>
      <c r="G33" s="16"/>
      <c r="H33" s="19" t="n">
        <f aca="false">LEN(IF(F33&lt;&gt;"",F33,D33))</f>
        <v>77</v>
      </c>
      <c r="I33" s="29" t="str">
        <f aca="false">IF(OR(H33&lt;25,H33&gt;140),"분량 확인","")</f>
        <v/>
      </c>
    </row>
    <row r="34" customFormat="false" ht="48" hidden="false" customHeight="true" outlineLevel="0" collapsed="false">
      <c r="A34" s="13" t="s">
        <v>624</v>
      </c>
      <c r="B34" s="14" t="s">
        <v>620</v>
      </c>
      <c r="C34" s="15" t="s">
        <v>561</v>
      </c>
      <c r="D34" s="15" t="s">
        <v>625</v>
      </c>
      <c r="E34" s="28" t="s">
        <v>19</v>
      </c>
      <c r="F34" s="16"/>
      <c r="G34" s="16"/>
      <c r="H34" s="19" t="n">
        <f aca="false">LEN(IF(F34&lt;&gt;"",F34,D34))</f>
        <v>86</v>
      </c>
      <c r="I34" s="29" t="str">
        <f aca="false">IF(OR(H34&lt;25,H34&gt;140),"분량 확인","")</f>
        <v/>
      </c>
    </row>
    <row r="35" customFormat="false" ht="33.75" hidden="false" customHeight="true" outlineLevel="0" collapsed="false">
      <c r="A35" s="13" t="s">
        <v>626</v>
      </c>
      <c r="B35" s="14" t="s">
        <v>620</v>
      </c>
      <c r="C35" s="15" t="s">
        <v>564</v>
      </c>
      <c r="D35" s="15" t="s">
        <v>627</v>
      </c>
      <c r="E35" s="28" t="s">
        <v>19</v>
      </c>
      <c r="F35" s="16"/>
      <c r="G35" s="16"/>
      <c r="H35" s="19" t="n">
        <f aca="false">LEN(IF(F35&lt;&gt;"",F35,D35))</f>
        <v>39</v>
      </c>
      <c r="I35" s="29" t="str">
        <f aca="false">IF(OR(H35&lt;25,H35&gt;140),"분량 확인","")</f>
        <v/>
      </c>
    </row>
    <row r="36" customFormat="false" ht="33.75" hidden="false" customHeight="true" outlineLevel="0" collapsed="false">
      <c r="A36" s="13" t="s">
        <v>628</v>
      </c>
      <c r="B36" s="14" t="s">
        <v>620</v>
      </c>
      <c r="C36" s="15" t="s">
        <v>567</v>
      </c>
      <c r="D36" s="14" t="s">
        <v>629</v>
      </c>
      <c r="E36" s="28" t="s">
        <v>19</v>
      </c>
      <c r="F36" s="16"/>
      <c r="G36" s="16"/>
      <c r="H36" s="19" t="n">
        <f aca="false">LEN(IF(F36&lt;&gt;"",F36,D36))</f>
        <v>42</v>
      </c>
      <c r="I36" s="29" t="str">
        <f aca="false">IF(OR(H36&lt;25,H36&gt;140),"분량 확인","")</f>
        <v/>
      </c>
    </row>
    <row r="37" customFormat="false" ht="33.75" hidden="false" customHeight="true" outlineLevel="0" collapsed="false">
      <c r="A37" s="13" t="s">
        <v>630</v>
      </c>
      <c r="B37" s="14" t="s">
        <v>620</v>
      </c>
      <c r="C37" s="15" t="s">
        <v>570</v>
      </c>
      <c r="D37" s="15" t="s">
        <v>631</v>
      </c>
      <c r="E37" s="28" t="s">
        <v>19</v>
      </c>
      <c r="F37" s="16"/>
      <c r="G37" s="16"/>
      <c r="H37" s="19" t="n">
        <f aca="false">LEN(IF(F37&lt;&gt;"",F37,D37))</f>
        <v>44</v>
      </c>
      <c r="I37" s="29" t="str">
        <f aca="false">IF(OR(H37&lt;25,H37&gt;140),"분량 확인","")</f>
        <v/>
      </c>
    </row>
    <row r="38" customFormat="false" ht="48" hidden="false" customHeight="true" outlineLevel="0" collapsed="false">
      <c r="A38" s="13" t="s">
        <v>489</v>
      </c>
      <c r="B38" s="14" t="s">
        <v>632</v>
      </c>
      <c r="C38" s="15" t="s">
        <v>33</v>
      </c>
      <c r="D38" s="15" t="s">
        <v>492</v>
      </c>
      <c r="E38" s="28" t="s">
        <v>19</v>
      </c>
      <c r="F38" s="16"/>
      <c r="G38" s="17" t="s">
        <v>633</v>
      </c>
      <c r="H38" s="19" t="n">
        <f aca="false">LEN(IF(F38&lt;&gt;"",F38,D38))</f>
        <v>84</v>
      </c>
      <c r="I38" s="29" t="str">
        <f aca="false">IF(OR(H38&lt;25,H38&gt;140),"분량 확인","")</f>
        <v/>
      </c>
    </row>
    <row r="39" customFormat="false" ht="61.5" hidden="false" customHeight="true" outlineLevel="0" collapsed="false">
      <c r="A39" s="13" t="s">
        <v>634</v>
      </c>
      <c r="B39" s="14" t="s">
        <v>632</v>
      </c>
      <c r="C39" s="15" t="s">
        <v>559</v>
      </c>
      <c r="D39" s="15" t="s">
        <v>635</v>
      </c>
      <c r="E39" s="28" t="s">
        <v>19</v>
      </c>
      <c r="F39" s="16"/>
      <c r="G39" s="16"/>
      <c r="H39" s="19" t="n">
        <f aca="false">LEN(IF(F39&lt;&gt;"",F39,D39))</f>
        <v>91</v>
      </c>
      <c r="I39" s="29" t="str">
        <f aca="false">IF(OR(H39&lt;25,H39&gt;140),"분량 확인","")</f>
        <v/>
      </c>
    </row>
    <row r="40" customFormat="false" ht="48" hidden="false" customHeight="true" outlineLevel="0" collapsed="false">
      <c r="A40" s="13" t="s">
        <v>636</v>
      </c>
      <c r="B40" s="14" t="s">
        <v>632</v>
      </c>
      <c r="C40" s="15" t="s">
        <v>561</v>
      </c>
      <c r="D40" s="15" t="s">
        <v>637</v>
      </c>
      <c r="E40" s="28" t="s">
        <v>19</v>
      </c>
      <c r="F40" s="16"/>
      <c r="G40" s="16"/>
      <c r="H40" s="19" t="n">
        <f aca="false">LEN(IF(F40&lt;&gt;"",F40,D40))</f>
        <v>87</v>
      </c>
      <c r="I40" s="29" t="str">
        <f aca="false">IF(OR(H40&lt;25,H40&gt;140),"분량 확인","")</f>
        <v/>
      </c>
    </row>
    <row r="41" customFormat="false" ht="33.75" hidden="false" customHeight="true" outlineLevel="0" collapsed="false">
      <c r="A41" s="13" t="s">
        <v>638</v>
      </c>
      <c r="B41" s="14" t="s">
        <v>632</v>
      </c>
      <c r="C41" s="15" t="s">
        <v>564</v>
      </c>
      <c r="D41" s="15" t="s">
        <v>639</v>
      </c>
      <c r="E41" s="28" t="s">
        <v>19</v>
      </c>
      <c r="F41" s="16"/>
      <c r="G41" s="16"/>
      <c r="H41" s="19" t="n">
        <f aca="false">LEN(IF(F41&lt;&gt;"",F41,D41))</f>
        <v>46</v>
      </c>
      <c r="I41" s="29" t="str">
        <f aca="false">IF(OR(H41&lt;25,H41&gt;140),"분량 확인","")</f>
        <v/>
      </c>
    </row>
    <row r="42" customFormat="false" ht="33.75" hidden="false" customHeight="true" outlineLevel="0" collapsed="false">
      <c r="A42" s="13" t="s">
        <v>640</v>
      </c>
      <c r="B42" s="14" t="s">
        <v>632</v>
      </c>
      <c r="C42" s="15" t="s">
        <v>567</v>
      </c>
      <c r="D42" s="15" t="s">
        <v>641</v>
      </c>
      <c r="E42" s="28" t="s">
        <v>19</v>
      </c>
      <c r="F42" s="16"/>
      <c r="G42" s="16"/>
      <c r="H42" s="19" t="n">
        <f aca="false">LEN(IF(F42&lt;&gt;"",F42,D42))</f>
        <v>43</v>
      </c>
      <c r="I42" s="29" t="str">
        <f aca="false">IF(OR(H42&lt;25,H42&gt;140),"분량 확인","")</f>
        <v/>
      </c>
    </row>
    <row r="43" customFormat="false" ht="33.75" hidden="false" customHeight="true" outlineLevel="0" collapsed="false">
      <c r="A43" s="13" t="s">
        <v>642</v>
      </c>
      <c r="B43" s="14" t="s">
        <v>632</v>
      </c>
      <c r="C43" s="15" t="s">
        <v>570</v>
      </c>
      <c r="D43" s="15" t="s">
        <v>643</v>
      </c>
      <c r="E43" s="28" t="s">
        <v>19</v>
      </c>
      <c r="F43" s="16"/>
      <c r="G43" s="16"/>
      <c r="H43" s="19" t="n">
        <f aca="false">LEN(IF(F43&lt;&gt;"",F43,D43))</f>
        <v>48</v>
      </c>
      <c r="I43" s="29" t="str">
        <f aca="false">IF(OR(H43&lt;25,H43&gt;140),"분량 확인","")</f>
        <v/>
      </c>
    </row>
    <row r="44" customFormat="false" ht="48" hidden="false" customHeight="true" outlineLevel="0" collapsed="false">
      <c r="A44" s="13" t="s">
        <v>644</v>
      </c>
      <c r="B44" s="14" t="s">
        <v>645</v>
      </c>
      <c r="C44" s="15" t="s">
        <v>33</v>
      </c>
      <c r="D44" s="15" t="s">
        <v>646</v>
      </c>
      <c r="E44" s="28" t="s">
        <v>19</v>
      </c>
      <c r="F44" s="16"/>
      <c r="G44" s="16"/>
      <c r="H44" s="19" t="n">
        <f aca="false">LEN(IF(F44&lt;&gt;"",F44,D44))</f>
        <v>65</v>
      </c>
      <c r="I44" s="29" t="str">
        <f aca="false">IF(OR(H44&lt;25,H44&gt;140),"분량 확인","")</f>
        <v/>
      </c>
    </row>
    <row r="45" customFormat="false" ht="48" hidden="false" customHeight="true" outlineLevel="0" collapsed="false">
      <c r="A45" s="13" t="s">
        <v>647</v>
      </c>
      <c r="B45" s="14" t="s">
        <v>645</v>
      </c>
      <c r="C45" s="15" t="s">
        <v>559</v>
      </c>
      <c r="D45" s="15" t="s">
        <v>648</v>
      </c>
      <c r="E45" s="28" t="s">
        <v>19</v>
      </c>
      <c r="F45" s="16"/>
      <c r="G45" s="16"/>
      <c r="H45" s="19" t="n">
        <f aca="false">LEN(IF(F45&lt;&gt;"",F45,D45))</f>
        <v>72</v>
      </c>
      <c r="I45" s="29" t="str">
        <f aca="false">IF(OR(H45&lt;25,H45&gt;140),"분량 확인","")</f>
        <v/>
      </c>
    </row>
    <row r="46" customFormat="false" ht="48" hidden="false" customHeight="true" outlineLevel="0" collapsed="false">
      <c r="A46" s="13" t="s">
        <v>210</v>
      </c>
      <c r="B46" s="14" t="s">
        <v>645</v>
      </c>
      <c r="C46" s="15" t="s">
        <v>561</v>
      </c>
      <c r="D46" s="15" t="s">
        <v>213</v>
      </c>
      <c r="E46" s="28" t="s">
        <v>19</v>
      </c>
      <c r="F46" s="16"/>
      <c r="G46" s="17" t="s">
        <v>649</v>
      </c>
      <c r="H46" s="19" t="n">
        <f aca="false">LEN(IF(F46&lt;&gt;"",F46,D46))</f>
        <v>83</v>
      </c>
      <c r="I46" s="29" t="str">
        <f aca="false">IF(OR(H46&lt;25,H46&gt;140),"분량 확인","")</f>
        <v/>
      </c>
    </row>
    <row r="47" customFormat="false" ht="33.75" hidden="false" customHeight="true" outlineLevel="0" collapsed="false">
      <c r="A47" s="13" t="s">
        <v>650</v>
      </c>
      <c r="B47" s="14" t="s">
        <v>645</v>
      </c>
      <c r="C47" s="15" t="s">
        <v>564</v>
      </c>
      <c r="D47" s="15" t="s">
        <v>651</v>
      </c>
      <c r="E47" s="28" t="s">
        <v>19</v>
      </c>
      <c r="F47" s="16"/>
      <c r="G47" s="16"/>
      <c r="H47" s="19" t="n">
        <f aca="false">LEN(IF(F47&lt;&gt;"",F47,D47))</f>
        <v>38</v>
      </c>
      <c r="I47" s="29" t="str">
        <f aca="false">IF(OR(H47&lt;25,H47&gt;140),"분량 확인","")</f>
        <v/>
      </c>
    </row>
    <row r="48" customFormat="false" ht="33.75" hidden="false" customHeight="true" outlineLevel="0" collapsed="false">
      <c r="A48" s="13" t="s">
        <v>500</v>
      </c>
      <c r="B48" s="14" t="s">
        <v>645</v>
      </c>
      <c r="C48" s="15" t="s">
        <v>567</v>
      </c>
      <c r="D48" s="15" t="s">
        <v>503</v>
      </c>
      <c r="E48" s="28" t="s">
        <v>19</v>
      </c>
      <c r="F48" s="16"/>
      <c r="G48" s="17" t="s">
        <v>652</v>
      </c>
      <c r="H48" s="19" t="n">
        <f aca="false">LEN(IF(F48&lt;&gt;"",F48,D48))</f>
        <v>37</v>
      </c>
      <c r="I48" s="29" t="str">
        <f aca="false">IF(OR(H48&lt;25,H48&gt;140),"분량 확인","")</f>
        <v/>
      </c>
    </row>
    <row r="49" customFormat="false" ht="33.75" hidden="false" customHeight="true" outlineLevel="0" collapsed="false">
      <c r="A49" s="13" t="s">
        <v>653</v>
      </c>
      <c r="B49" s="14" t="s">
        <v>645</v>
      </c>
      <c r="C49" s="15" t="s">
        <v>570</v>
      </c>
      <c r="D49" s="15" t="s">
        <v>654</v>
      </c>
      <c r="E49" s="28" t="s">
        <v>19</v>
      </c>
      <c r="F49" s="16"/>
      <c r="G49" s="16"/>
      <c r="H49" s="19" t="n">
        <f aca="false">LEN(IF(F49&lt;&gt;"",F49,D49))</f>
        <v>35</v>
      </c>
      <c r="I49" s="29" t="str">
        <f aca="false">IF(OR(H49&lt;25,H49&gt;140),"분량 확인","")</f>
        <v/>
      </c>
    </row>
    <row r="50" customFormat="false" ht="48" hidden="false" customHeight="true" outlineLevel="0" collapsed="false">
      <c r="A50" s="13" t="s">
        <v>171</v>
      </c>
      <c r="B50" s="14" t="s">
        <v>655</v>
      </c>
      <c r="C50" s="15" t="s">
        <v>33</v>
      </c>
      <c r="D50" s="15" t="s">
        <v>174</v>
      </c>
      <c r="E50" s="28" t="s">
        <v>19</v>
      </c>
      <c r="F50" s="16"/>
      <c r="G50" s="17" t="s">
        <v>656</v>
      </c>
      <c r="H50" s="19" t="n">
        <f aca="false">LEN(IF(F50&lt;&gt;"",F50,D50))</f>
        <v>76</v>
      </c>
      <c r="I50" s="29" t="str">
        <f aca="false">IF(OR(H50&lt;25,H50&gt;140),"분량 확인","")</f>
        <v/>
      </c>
    </row>
    <row r="51" customFormat="false" ht="48" hidden="false" customHeight="true" outlineLevel="0" collapsed="false">
      <c r="A51" s="13" t="s">
        <v>657</v>
      </c>
      <c r="B51" s="14" t="s">
        <v>655</v>
      </c>
      <c r="C51" s="15" t="s">
        <v>559</v>
      </c>
      <c r="D51" s="15" t="s">
        <v>658</v>
      </c>
      <c r="E51" s="28" t="s">
        <v>19</v>
      </c>
      <c r="F51" s="16"/>
      <c r="G51" s="16"/>
      <c r="H51" s="19" t="n">
        <f aca="false">LEN(IF(F51&lt;&gt;"",F51,D51))</f>
        <v>73</v>
      </c>
      <c r="I51" s="29" t="str">
        <f aca="false">IF(OR(H51&lt;25,H51&gt;140),"분량 확인","")</f>
        <v/>
      </c>
    </row>
    <row r="52" customFormat="false" ht="48" hidden="false" customHeight="true" outlineLevel="0" collapsed="false">
      <c r="A52" s="13" t="s">
        <v>659</v>
      </c>
      <c r="B52" s="14" t="s">
        <v>655</v>
      </c>
      <c r="C52" s="15" t="s">
        <v>561</v>
      </c>
      <c r="D52" s="15" t="s">
        <v>660</v>
      </c>
      <c r="E52" s="28" t="s">
        <v>19</v>
      </c>
      <c r="F52" s="16"/>
      <c r="G52" s="16"/>
      <c r="H52" s="19" t="n">
        <f aca="false">LEN(IF(F52&lt;&gt;"",F52,D52))</f>
        <v>86</v>
      </c>
      <c r="I52" s="29" t="str">
        <f aca="false">IF(OR(H52&lt;25,H52&gt;140),"분량 확인","")</f>
        <v/>
      </c>
    </row>
    <row r="53" customFormat="false" ht="33.75" hidden="false" customHeight="true" outlineLevel="0" collapsed="false">
      <c r="A53" s="13" t="s">
        <v>661</v>
      </c>
      <c r="B53" s="14" t="s">
        <v>655</v>
      </c>
      <c r="C53" s="15" t="s">
        <v>564</v>
      </c>
      <c r="D53" s="15" t="s">
        <v>662</v>
      </c>
      <c r="E53" s="28" t="s">
        <v>19</v>
      </c>
      <c r="F53" s="16"/>
      <c r="G53" s="16"/>
      <c r="H53" s="19" t="n">
        <f aca="false">LEN(IF(F53&lt;&gt;"",F53,D53))</f>
        <v>40</v>
      </c>
      <c r="I53" s="29" t="str">
        <f aca="false">IF(OR(H53&lt;25,H53&gt;140),"분량 확인","")</f>
        <v/>
      </c>
    </row>
    <row r="54" customFormat="false" ht="33.75" hidden="false" customHeight="true" outlineLevel="0" collapsed="false">
      <c r="A54" s="13" t="s">
        <v>663</v>
      </c>
      <c r="B54" s="14" t="s">
        <v>655</v>
      </c>
      <c r="C54" s="15" t="s">
        <v>567</v>
      </c>
      <c r="D54" s="15" t="s">
        <v>664</v>
      </c>
      <c r="E54" s="28" t="s">
        <v>19</v>
      </c>
      <c r="F54" s="16"/>
      <c r="G54" s="16"/>
      <c r="H54" s="19" t="n">
        <f aca="false">LEN(IF(F54&lt;&gt;"",F54,D54))</f>
        <v>42</v>
      </c>
      <c r="I54" s="29" t="str">
        <f aca="false">IF(OR(H54&lt;25,H54&gt;140),"분량 확인","")</f>
        <v/>
      </c>
    </row>
    <row r="55" customFormat="false" ht="33.75" hidden="false" customHeight="true" outlineLevel="0" collapsed="false">
      <c r="A55" s="13" t="s">
        <v>665</v>
      </c>
      <c r="B55" s="14" t="s">
        <v>655</v>
      </c>
      <c r="C55" s="15" t="s">
        <v>570</v>
      </c>
      <c r="D55" s="15" t="s">
        <v>666</v>
      </c>
      <c r="E55" s="28" t="s">
        <v>19</v>
      </c>
      <c r="F55" s="16"/>
      <c r="G55" s="16"/>
      <c r="H55" s="19" t="n">
        <f aca="false">LEN(IF(F55&lt;&gt;"",F55,D55))</f>
        <v>37</v>
      </c>
      <c r="I55" s="29" t="str">
        <f aca="false">IF(OR(H55&lt;25,H55&gt;140),"분량 확인","")</f>
        <v/>
      </c>
    </row>
    <row r="56" customFormat="false" ht="48" hidden="false" customHeight="true" outlineLevel="0" collapsed="false">
      <c r="A56" s="13" t="s">
        <v>667</v>
      </c>
      <c r="B56" s="14" t="s">
        <v>668</v>
      </c>
      <c r="C56" s="15" t="s">
        <v>33</v>
      </c>
      <c r="D56" s="15" t="s">
        <v>669</v>
      </c>
      <c r="E56" s="28" t="s">
        <v>19</v>
      </c>
      <c r="F56" s="16"/>
      <c r="G56" s="16"/>
      <c r="H56" s="19" t="n">
        <f aca="false">LEN(IF(F56&lt;&gt;"",F56,D56))</f>
        <v>72</v>
      </c>
      <c r="I56" s="29" t="str">
        <f aca="false">IF(OR(H56&lt;25,H56&gt;140),"분량 확인","")</f>
        <v/>
      </c>
    </row>
    <row r="57" customFormat="false" ht="48" hidden="false" customHeight="true" outlineLevel="0" collapsed="false">
      <c r="A57" s="13" t="s">
        <v>670</v>
      </c>
      <c r="B57" s="14" t="s">
        <v>668</v>
      </c>
      <c r="C57" s="15" t="s">
        <v>559</v>
      </c>
      <c r="D57" s="15" t="s">
        <v>671</v>
      </c>
      <c r="E57" s="28" t="s">
        <v>19</v>
      </c>
      <c r="F57" s="16"/>
      <c r="G57" s="16"/>
      <c r="H57" s="19" t="n">
        <f aca="false">LEN(IF(F57&lt;&gt;"",F57,D57))</f>
        <v>79</v>
      </c>
      <c r="I57" s="29" t="str">
        <f aca="false">IF(OR(H57&lt;25,H57&gt;140),"분량 확인","")</f>
        <v/>
      </c>
    </row>
    <row r="58" customFormat="false" ht="48" hidden="false" customHeight="true" outlineLevel="0" collapsed="false">
      <c r="A58" s="13" t="s">
        <v>672</v>
      </c>
      <c r="B58" s="14" t="s">
        <v>668</v>
      </c>
      <c r="C58" s="15" t="s">
        <v>561</v>
      </c>
      <c r="D58" s="15" t="s">
        <v>673</v>
      </c>
      <c r="E58" s="28" t="s">
        <v>19</v>
      </c>
      <c r="F58" s="16"/>
      <c r="G58" s="16"/>
      <c r="H58" s="19" t="n">
        <f aca="false">LEN(IF(F58&lt;&gt;"",F58,D58))</f>
        <v>77</v>
      </c>
      <c r="I58" s="29" t="str">
        <f aca="false">IF(OR(H58&lt;25,H58&gt;140),"분량 확인","")</f>
        <v/>
      </c>
    </row>
    <row r="59" customFormat="false" ht="33.75" hidden="false" customHeight="true" outlineLevel="0" collapsed="false">
      <c r="A59" s="13" t="s">
        <v>674</v>
      </c>
      <c r="B59" s="14" t="s">
        <v>668</v>
      </c>
      <c r="C59" s="15" t="s">
        <v>564</v>
      </c>
      <c r="D59" s="15" t="s">
        <v>675</v>
      </c>
      <c r="E59" s="28" t="s">
        <v>19</v>
      </c>
      <c r="F59" s="16"/>
      <c r="G59" s="16"/>
      <c r="H59" s="19" t="n">
        <f aca="false">LEN(IF(F59&lt;&gt;"",F59,D59))</f>
        <v>37</v>
      </c>
      <c r="I59" s="29" t="str">
        <f aca="false">IF(OR(H59&lt;25,H59&gt;140),"분량 확인","")</f>
        <v/>
      </c>
    </row>
    <row r="60" customFormat="false" ht="33.75" hidden="false" customHeight="true" outlineLevel="0" collapsed="false">
      <c r="A60" s="13" t="s">
        <v>676</v>
      </c>
      <c r="B60" s="14" t="s">
        <v>668</v>
      </c>
      <c r="C60" s="15" t="s">
        <v>567</v>
      </c>
      <c r="D60" s="14" t="s">
        <v>677</v>
      </c>
      <c r="E60" s="28" t="s">
        <v>19</v>
      </c>
      <c r="F60" s="16"/>
      <c r="G60" s="16"/>
      <c r="H60" s="19" t="n">
        <f aca="false">LEN(IF(F60&lt;&gt;"",F60,D60))</f>
        <v>45</v>
      </c>
      <c r="I60" s="29" t="str">
        <f aca="false">IF(OR(H60&lt;25,H60&gt;140),"분량 확인","")</f>
        <v/>
      </c>
    </row>
    <row r="61" customFormat="false" ht="33.75" hidden="false" customHeight="true" outlineLevel="0" collapsed="false">
      <c r="A61" s="13" t="s">
        <v>526</v>
      </c>
      <c r="B61" s="14" t="s">
        <v>668</v>
      </c>
      <c r="C61" s="15" t="s">
        <v>570</v>
      </c>
      <c r="D61" s="15" t="s">
        <v>529</v>
      </c>
      <c r="E61" s="28" t="s">
        <v>19</v>
      </c>
      <c r="F61" s="16"/>
      <c r="G61" s="17" t="s">
        <v>678</v>
      </c>
      <c r="H61" s="19" t="n">
        <f aca="false">LEN(IF(F61&lt;&gt;"",F61,D61))</f>
        <v>46</v>
      </c>
      <c r="I61" s="29" t="str">
        <f aca="false">IF(OR(H61&lt;25,H61&gt;140),"분량 확인","")</f>
        <v/>
      </c>
    </row>
    <row r="62" customFormat="false" ht="48" hidden="false" customHeight="true" outlineLevel="0" collapsed="false">
      <c r="A62" s="13" t="s">
        <v>679</v>
      </c>
      <c r="B62" s="14" t="s">
        <v>680</v>
      </c>
      <c r="C62" s="15" t="s">
        <v>33</v>
      </c>
      <c r="D62" s="15" t="s">
        <v>681</v>
      </c>
      <c r="E62" s="28" t="s">
        <v>19</v>
      </c>
      <c r="F62" s="16"/>
      <c r="G62" s="16"/>
      <c r="H62" s="19" t="n">
        <f aca="false">LEN(IF(F62&lt;&gt;"",F62,D62))</f>
        <v>65</v>
      </c>
      <c r="I62" s="29" t="str">
        <f aca="false">IF(OR(H62&lt;25,H62&gt;140),"분량 확인","")</f>
        <v/>
      </c>
    </row>
    <row r="63" customFormat="false" ht="48" hidden="false" customHeight="true" outlineLevel="0" collapsed="false">
      <c r="A63" s="13" t="s">
        <v>682</v>
      </c>
      <c r="B63" s="14" t="s">
        <v>680</v>
      </c>
      <c r="C63" s="15" t="s">
        <v>559</v>
      </c>
      <c r="D63" s="14" t="s">
        <v>683</v>
      </c>
      <c r="E63" s="28" t="s">
        <v>19</v>
      </c>
      <c r="F63" s="16"/>
      <c r="G63" s="16"/>
      <c r="H63" s="19" t="n">
        <f aca="false">LEN(IF(F63&lt;&gt;"",F63,D63))</f>
        <v>74</v>
      </c>
      <c r="I63" s="29" t="str">
        <f aca="false">IF(OR(H63&lt;25,H63&gt;140),"분량 확인","")</f>
        <v/>
      </c>
    </row>
    <row r="64" customFormat="false" ht="48" hidden="false" customHeight="true" outlineLevel="0" collapsed="false">
      <c r="A64" s="13" t="s">
        <v>684</v>
      </c>
      <c r="B64" s="14" t="s">
        <v>680</v>
      </c>
      <c r="C64" s="15" t="s">
        <v>561</v>
      </c>
      <c r="D64" s="15" t="s">
        <v>685</v>
      </c>
      <c r="E64" s="28" t="s">
        <v>19</v>
      </c>
      <c r="F64" s="16"/>
      <c r="G64" s="16"/>
      <c r="H64" s="19" t="n">
        <f aca="false">LEN(IF(F64&lt;&gt;"",F64,D64))</f>
        <v>78</v>
      </c>
      <c r="I64" s="29" t="str">
        <f aca="false">IF(OR(H64&lt;25,H64&gt;140),"분량 확인","")</f>
        <v/>
      </c>
    </row>
    <row r="65" customFormat="false" ht="33.75" hidden="false" customHeight="true" outlineLevel="0" collapsed="false">
      <c r="A65" s="13" t="s">
        <v>686</v>
      </c>
      <c r="B65" s="14" t="s">
        <v>680</v>
      </c>
      <c r="C65" s="15" t="s">
        <v>564</v>
      </c>
      <c r="D65" s="15" t="s">
        <v>687</v>
      </c>
      <c r="E65" s="28" t="s">
        <v>19</v>
      </c>
      <c r="F65" s="16"/>
      <c r="G65" s="16"/>
      <c r="H65" s="19" t="n">
        <f aca="false">LEN(IF(F65&lt;&gt;"",F65,D65))</f>
        <v>39</v>
      </c>
      <c r="I65" s="29" t="str">
        <f aca="false">IF(OR(H65&lt;25,H65&gt;140),"분량 확인","")</f>
        <v/>
      </c>
    </row>
    <row r="66" customFormat="false" ht="33.75" hidden="false" customHeight="true" outlineLevel="0" collapsed="false">
      <c r="A66" s="13" t="s">
        <v>688</v>
      </c>
      <c r="B66" s="14" t="s">
        <v>680</v>
      </c>
      <c r="C66" s="15" t="s">
        <v>567</v>
      </c>
      <c r="D66" s="14" t="s">
        <v>689</v>
      </c>
      <c r="E66" s="28" t="s">
        <v>19</v>
      </c>
      <c r="F66" s="16"/>
      <c r="G66" s="16"/>
      <c r="H66" s="19" t="n">
        <f aca="false">LEN(IF(F66&lt;&gt;"",F66,D66))</f>
        <v>43</v>
      </c>
      <c r="I66" s="29" t="str">
        <f aca="false">IF(OR(H66&lt;25,H66&gt;140),"분량 확인","")</f>
        <v/>
      </c>
    </row>
    <row r="67" customFormat="false" ht="33.75" hidden="false" customHeight="true" outlineLevel="0" collapsed="false">
      <c r="A67" s="13" t="s">
        <v>690</v>
      </c>
      <c r="B67" s="14" t="s">
        <v>680</v>
      </c>
      <c r="C67" s="15" t="s">
        <v>570</v>
      </c>
      <c r="D67" s="15" t="s">
        <v>691</v>
      </c>
      <c r="E67" s="28" t="s">
        <v>19</v>
      </c>
      <c r="F67" s="16"/>
      <c r="G67" s="16"/>
      <c r="H67" s="19" t="n">
        <f aca="false">LEN(IF(F67&lt;&gt;"",F67,D67))</f>
        <v>43</v>
      </c>
      <c r="I67" s="29" t="str">
        <f aca="false">IF(OR(H67&lt;25,H67&gt;140),"분량 확인","")</f>
        <v/>
      </c>
    </row>
    <row r="68" customFormat="false" ht="48" hidden="false" customHeight="true" outlineLevel="0" collapsed="false">
      <c r="A68" s="13" t="s">
        <v>692</v>
      </c>
      <c r="B68" s="14" t="s">
        <v>693</v>
      </c>
      <c r="C68" s="15" t="s">
        <v>33</v>
      </c>
      <c r="D68" s="15" t="s">
        <v>694</v>
      </c>
      <c r="E68" s="28" t="s">
        <v>19</v>
      </c>
      <c r="F68" s="16"/>
      <c r="G68" s="16"/>
      <c r="H68" s="19" t="n">
        <f aca="false">LEN(IF(F68&lt;&gt;"",F68,D68))</f>
        <v>67</v>
      </c>
      <c r="I68" s="29" t="str">
        <f aca="false">IF(OR(H68&lt;25,H68&gt;140),"분량 확인","")</f>
        <v/>
      </c>
    </row>
    <row r="69" customFormat="false" ht="48" hidden="false" customHeight="true" outlineLevel="0" collapsed="false">
      <c r="A69" s="13" t="s">
        <v>695</v>
      </c>
      <c r="B69" s="14" t="s">
        <v>693</v>
      </c>
      <c r="C69" s="15" t="s">
        <v>559</v>
      </c>
      <c r="D69" s="15" t="s">
        <v>696</v>
      </c>
      <c r="E69" s="28" t="s">
        <v>19</v>
      </c>
      <c r="F69" s="16"/>
      <c r="G69" s="16"/>
      <c r="H69" s="19" t="n">
        <f aca="false">LEN(IF(F69&lt;&gt;"",F69,D69))</f>
        <v>75</v>
      </c>
      <c r="I69" s="29" t="str">
        <f aca="false">IF(OR(H69&lt;25,H69&gt;140),"분량 확인","")</f>
        <v/>
      </c>
    </row>
    <row r="70" customFormat="false" ht="48" hidden="false" customHeight="true" outlineLevel="0" collapsed="false">
      <c r="A70" s="13" t="s">
        <v>697</v>
      </c>
      <c r="B70" s="14" t="s">
        <v>693</v>
      </c>
      <c r="C70" s="15" t="s">
        <v>561</v>
      </c>
      <c r="D70" s="15" t="s">
        <v>698</v>
      </c>
      <c r="E70" s="28" t="s">
        <v>19</v>
      </c>
      <c r="F70" s="16"/>
      <c r="G70" s="16"/>
      <c r="H70" s="19" t="n">
        <f aca="false">LEN(IF(F70&lt;&gt;"",F70,D70))</f>
        <v>78</v>
      </c>
      <c r="I70" s="29" t="str">
        <f aca="false">IF(OR(H70&lt;25,H70&gt;140),"분량 확인","")</f>
        <v/>
      </c>
    </row>
    <row r="71" customFormat="false" ht="33.75" hidden="false" customHeight="true" outlineLevel="0" collapsed="false">
      <c r="A71" s="13" t="s">
        <v>699</v>
      </c>
      <c r="B71" s="14" t="s">
        <v>693</v>
      </c>
      <c r="C71" s="15" t="s">
        <v>564</v>
      </c>
      <c r="D71" s="15" t="s">
        <v>700</v>
      </c>
      <c r="E71" s="28" t="s">
        <v>19</v>
      </c>
      <c r="F71" s="16"/>
      <c r="G71" s="16"/>
      <c r="H71" s="19" t="n">
        <f aca="false">LEN(IF(F71&lt;&gt;"",F71,D71))</f>
        <v>42</v>
      </c>
      <c r="I71" s="29" t="str">
        <f aca="false">IF(OR(H71&lt;25,H71&gt;140),"분량 확인","")</f>
        <v/>
      </c>
    </row>
    <row r="72" customFormat="false" ht="33.75" hidden="false" customHeight="true" outlineLevel="0" collapsed="false">
      <c r="A72" s="13" t="s">
        <v>701</v>
      </c>
      <c r="B72" s="14" t="s">
        <v>693</v>
      </c>
      <c r="C72" s="15" t="s">
        <v>567</v>
      </c>
      <c r="D72" s="15" t="s">
        <v>702</v>
      </c>
      <c r="E72" s="28" t="s">
        <v>19</v>
      </c>
      <c r="F72" s="16"/>
      <c r="G72" s="16"/>
      <c r="H72" s="19" t="n">
        <f aca="false">LEN(IF(F72&lt;&gt;"",F72,D72))</f>
        <v>42</v>
      </c>
      <c r="I72" s="29" t="str">
        <f aca="false">IF(OR(H72&lt;25,H72&gt;140),"분량 확인","")</f>
        <v/>
      </c>
    </row>
    <row r="73" customFormat="false" ht="33.75" hidden="false" customHeight="true" outlineLevel="0" collapsed="false">
      <c r="A73" s="13" t="s">
        <v>703</v>
      </c>
      <c r="B73" s="14" t="s">
        <v>693</v>
      </c>
      <c r="C73" s="15" t="s">
        <v>570</v>
      </c>
      <c r="D73" s="15" t="s">
        <v>704</v>
      </c>
      <c r="E73" s="28" t="s">
        <v>19</v>
      </c>
      <c r="F73" s="16"/>
      <c r="G73" s="16"/>
      <c r="H73" s="19" t="n">
        <f aca="false">LEN(IF(F73&lt;&gt;"",F73,D73))</f>
        <v>38</v>
      </c>
      <c r="I73" s="29" t="str">
        <f aca="false">IF(OR(H73&lt;25,H73&gt;140),"분량 확인","")</f>
        <v/>
      </c>
    </row>
    <row r="74" customFormat="false" ht="48" hidden="false" customHeight="true" outlineLevel="0" collapsed="false">
      <c r="A74" s="13" t="s">
        <v>31</v>
      </c>
      <c r="B74" s="14" t="s">
        <v>32</v>
      </c>
      <c r="C74" s="15" t="s">
        <v>33</v>
      </c>
      <c r="D74" s="15" t="s">
        <v>34</v>
      </c>
      <c r="E74" s="28" t="s">
        <v>19</v>
      </c>
      <c r="F74" s="16"/>
      <c r="G74" s="16"/>
      <c r="H74" s="19" t="n">
        <f aca="false">LEN(IF(F74&lt;&gt;"",F74,D74))</f>
        <v>66</v>
      </c>
      <c r="I74" s="29" t="str">
        <f aca="false">IF(OR(H74&lt;25,H74&gt;140),"분량 확인","")</f>
        <v/>
      </c>
    </row>
    <row r="75" customFormat="false" ht="48" hidden="false" customHeight="true" outlineLevel="0" collapsed="false">
      <c r="A75" s="13" t="s">
        <v>705</v>
      </c>
      <c r="B75" s="14" t="s">
        <v>32</v>
      </c>
      <c r="C75" s="15" t="s">
        <v>559</v>
      </c>
      <c r="D75" s="14" t="s">
        <v>706</v>
      </c>
      <c r="E75" s="28" t="s">
        <v>19</v>
      </c>
      <c r="F75" s="16"/>
      <c r="G75" s="16"/>
      <c r="H75" s="19" t="n">
        <f aca="false">LEN(IF(F75&lt;&gt;"",F75,D75))</f>
        <v>76</v>
      </c>
      <c r="I75" s="29" t="str">
        <f aca="false">IF(OR(H75&lt;25,H75&gt;140),"분량 확인","")</f>
        <v/>
      </c>
    </row>
    <row r="76" customFormat="false" ht="48" hidden="false" customHeight="true" outlineLevel="0" collapsed="false">
      <c r="A76" s="13" t="s">
        <v>707</v>
      </c>
      <c r="B76" s="14" t="s">
        <v>32</v>
      </c>
      <c r="C76" s="15" t="s">
        <v>561</v>
      </c>
      <c r="D76" s="15" t="s">
        <v>708</v>
      </c>
      <c r="E76" s="28" t="s">
        <v>19</v>
      </c>
      <c r="F76" s="16"/>
      <c r="G76" s="16"/>
      <c r="H76" s="19" t="n">
        <f aca="false">LEN(IF(F76&lt;&gt;"",F76,D76))</f>
        <v>80</v>
      </c>
      <c r="I76" s="29" t="str">
        <f aca="false">IF(OR(H76&lt;25,H76&gt;140),"분량 확인","")</f>
        <v/>
      </c>
    </row>
    <row r="77" customFormat="false" ht="33.75" hidden="false" customHeight="true" outlineLevel="0" collapsed="false">
      <c r="A77" s="13" t="s">
        <v>709</v>
      </c>
      <c r="B77" s="14" t="s">
        <v>32</v>
      </c>
      <c r="C77" s="15" t="s">
        <v>564</v>
      </c>
      <c r="D77" s="15" t="s">
        <v>710</v>
      </c>
      <c r="E77" s="28" t="s">
        <v>19</v>
      </c>
      <c r="F77" s="16"/>
      <c r="G77" s="16"/>
      <c r="H77" s="19" t="n">
        <f aca="false">LEN(IF(F77&lt;&gt;"",F77,D77))</f>
        <v>38</v>
      </c>
      <c r="I77" s="29" t="str">
        <f aca="false">IF(OR(H77&lt;25,H77&gt;140),"분량 확인","")</f>
        <v/>
      </c>
    </row>
    <row r="78" customFormat="false" ht="33.75" hidden="false" customHeight="true" outlineLevel="0" collapsed="false">
      <c r="A78" s="13" t="s">
        <v>711</v>
      </c>
      <c r="B78" s="14" t="s">
        <v>32</v>
      </c>
      <c r="C78" s="15" t="s">
        <v>567</v>
      </c>
      <c r="D78" s="14" t="s">
        <v>712</v>
      </c>
      <c r="E78" s="28" t="s">
        <v>19</v>
      </c>
      <c r="F78" s="16"/>
      <c r="G78" s="16"/>
      <c r="H78" s="19" t="n">
        <f aca="false">LEN(IF(F78&lt;&gt;"",F78,D78))</f>
        <v>47</v>
      </c>
      <c r="I78" s="29" t="str">
        <f aca="false">IF(OR(H78&lt;25,H78&gt;140),"분량 확인","")</f>
        <v/>
      </c>
    </row>
    <row r="79" customFormat="false" ht="33.75" hidden="false" customHeight="true" outlineLevel="0" collapsed="false">
      <c r="A79" s="13" t="s">
        <v>713</v>
      </c>
      <c r="B79" s="14" t="s">
        <v>32</v>
      </c>
      <c r="C79" s="15" t="s">
        <v>570</v>
      </c>
      <c r="D79" s="15" t="s">
        <v>714</v>
      </c>
      <c r="E79" s="28" t="s">
        <v>19</v>
      </c>
      <c r="F79" s="16"/>
      <c r="G79" s="16"/>
      <c r="H79" s="19" t="n">
        <f aca="false">LEN(IF(F79&lt;&gt;"",F79,D79))</f>
        <v>44</v>
      </c>
      <c r="I79" s="29" t="str">
        <f aca="false">IF(OR(H79&lt;25,H79&gt;140),"분량 확인","")</f>
        <v/>
      </c>
    </row>
    <row r="80" customFormat="false" ht="48" hidden="false" customHeight="true" outlineLevel="0" collapsed="false">
      <c r="A80" s="13" t="s">
        <v>715</v>
      </c>
      <c r="B80" s="14" t="s">
        <v>716</v>
      </c>
      <c r="C80" s="15" t="s">
        <v>33</v>
      </c>
      <c r="D80" s="15" t="s">
        <v>717</v>
      </c>
      <c r="E80" s="28" t="s">
        <v>19</v>
      </c>
      <c r="F80" s="16"/>
      <c r="G80" s="16"/>
      <c r="H80" s="19" t="n">
        <f aca="false">LEN(IF(F80&lt;&gt;"",F80,D80))</f>
        <v>76</v>
      </c>
      <c r="I80" s="29" t="str">
        <f aca="false">IF(OR(H80&lt;25,H80&gt;140),"분량 확인","")</f>
        <v/>
      </c>
    </row>
    <row r="81" customFormat="false" ht="48" hidden="false" customHeight="true" outlineLevel="0" collapsed="false">
      <c r="A81" s="13" t="s">
        <v>718</v>
      </c>
      <c r="B81" s="14" t="s">
        <v>716</v>
      </c>
      <c r="C81" s="15" t="s">
        <v>559</v>
      </c>
      <c r="D81" s="15" t="s">
        <v>719</v>
      </c>
      <c r="E81" s="28" t="s">
        <v>19</v>
      </c>
      <c r="F81" s="16"/>
      <c r="G81" s="16"/>
      <c r="H81" s="19" t="n">
        <f aca="false">LEN(IF(F81&lt;&gt;"",F81,D81))</f>
        <v>68</v>
      </c>
      <c r="I81" s="29" t="str">
        <f aca="false">IF(OR(H81&lt;25,H81&gt;140),"분량 확인","")</f>
        <v/>
      </c>
    </row>
    <row r="82" customFormat="false" ht="48" hidden="false" customHeight="true" outlineLevel="0" collapsed="false">
      <c r="A82" s="13" t="s">
        <v>720</v>
      </c>
      <c r="B82" s="14" t="s">
        <v>716</v>
      </c>
      <c r="C82" s="15" t="s">
        <v>561</v>
      </c>
      <c r="D82" s="15" t="s">
        <v>721</v>
      </c>
      <c r="E82" s="28" t="s">
        <v>19</v>
      </c>
      <c r="F82" s="16"/>
      <c r="G82" s="16"/>
      <c r="H82" s="19" t="n">
        <f aca="false">LEN(IF(F82&lt;&gt;"",F82,D82))</f>
        <v>85</v>
      </c>
      <c r="I82" s="29" t="str">
        <f aca="false">IF(OR(H82&lt;25,H82&gt;140),"분량 확인","")</f>
        <v/>
      </c>
    </row>
    <row r="83" customFormat="false" ht="33.75" hidden="false" customHeight="true" outlineLevel="0" collapsed="false">
      <c r="A83" s="13" t="s">
        <v>722</v>
      </c>
      <c r="B83" s="14" t="s">
        <v>716</v>
      </c>
      <c r="C83" s="15" t="s">
        <v>564</v>
      </c>
      <c r="D83" s="15" t="s">
        <v>723</v>
      </c>
      <c r="E83" s="28" t="s">
        <v>19</v>
      </c>
      <c r="F83" s="16"/>
      <c r="G83" s="16"/>
      <c r="H83" s="19" t="n">
        <f aca="false">LEN(IF(F83&lt;&gt;"",F83,D83))</f>
        <v>42</v>
      </c>
      <c r="I83" s="29" t="str">
        <f aca="false">IF(OR(H83&lt;25,H83&gt;140),"분량 확인","")</f>
        <v/>
      </c>
    </row>
    <row r="84" customFormat="false" ht="33.75" hidden="false" customHeight="true" outlineLevel="0" collapsed="false">
      <c r="A84" s="13" t="s">
        <v>307</v>
      </c>
      <c r="B84" s="14" t="s">
        <v>716</v>
      </c>
      <c r="C84" s="15" t="s">
        <v>567</v>
      </c>
      <c r="D84" s="15" t="s">
        <v>310</v>
      </c>
      <c r="E84" s="28" t="s">
        <v>19</v>
      </c>
      <c r="F84" s="16"/>
      <c r="G84" s="17" t="s">
        <v>724</v>
      </c>
      <c r="H84" s="19" t="n">
        <f aca="false">LEN(IF(F84&lt;&gt;"",F84,D84))</f>
        <v>57</v>
      </c>
      <c r="I84" s="29" t="str">
        <f aca="false">IF(OR(H84&lt;25,H84&gt;140),"분량 확인","")</f>
        <v/>
      </c>
    </row>
    <row r="85" customFormat="false" ht="33.75" hidden="false" customHeight="true" outlineLevel="0" collapsed="false">
      <c r="A85" s="13" t="s">
        <v>725</v>
      </c>
      <c r="B85" s="14" t="s">
        <v>716</v>
      </c>
      <c r="C85" s="15" t="s">
        <v>570</v>
      </c>
      <c r="D85" s="15" t="s">
        <v>726</v>
      </c>
      <c r="E85" s="28" t="s">
        <v>19</v>
      </c>
      <c r="F85" s="16"/>
      <c r="G85" s="16"/>
      <c r="H85" s="19" t="n">
        <f aca="false">LEN(IF(F85&lt;&gt;"",F85,D85))</f>
        <v>46</v>
      </c>
      <c r="I85" s="29" t="str">
        <f aca="false">IF(OR(H85&lt;25,H85&gt;140),"분량 확인","")</f>
        <v/>
      </c>
    </row>
    <row r="86" customFormat="false" ht="48" hidden="false" customHeight="true" outlineLevel="0" collapsed="false">
      <c r="A86" s="13" t="s">
        <v>314</v>
      </c>
      <c r="B86" s="14" t="s">
        <v>727</v>
      </c>
      <c r="C86" s="15" t="s">
        <v>33</v>
      </c>
      <c r="D86" s="15" t="s">
        <v>317</v>
      </c>
      <c r="E86" s="28" t="s">
        <v>19</v>
      </c>
      <c r="F86" s="16"/>
      <c r="G86" s="17" t="s">
        <v>728</v>
      </c>
      <c r="H86" s="19" t="n">
        <f aca="false">LEN(IF(F86&lt;&gt;"",F86,D86))</f>
        <v>75</v>
      </c>
      <c r="I86" s="29" t="str">
        <f aca="false">IF(OR(H86&lt;25,H86&gt;140),"분량 확인","")</f>
        <v/>
      </c>
    </row>
    <row r="87" customFormat="false" ht="48" hidden="false" customHeight="true" outlineLevel="0" collapsed="false">
      <c r="A87" s="13" t="s">
        <v>729</v>
      </c>
      <c r="B87" s="14" t="s">
        <v>727</v>
      </c>
      <c r="C87" s="15" t="s">
        <v>559</v>
      </c>
      <c r="D87" s="14" t="s">
        <v>730</v>
      </c>
      <c r="E87" s="28" t="s">
        <v>19</v>
      </c>
      <c r="F87" s="16"/>
      <c r="G87" s="16"/>
      <c r="H87" s="19" t="n">
        <f aca="false">LEN(IF(F87&lt;&gt;"",F87,D87))</f>
        <v>63</v>
      </c>
      <c r="I87" s="29" t="str">
        <f aca="false">IF(OR(H87&lt;25,H87&gt;140),"분량 확인","")</f>
        <v/>
      </c>
    </row>
    <row r="88" customFormat="false" ht="48" hidden="false" customHeight="true" outlineLevel="0" collapsed="false">
      <c r="A88" s="13" t="s">
        <v>731</v>
      </c>
      <c r="B88" s="14" t="s">
        <v>727</v>
      </c>
      <c r="C88" s="15" t="s">
        <v>561</v>
      </c>
      <c r="D88" s="15" t="s">
        <v>732</v>
      </c>
      <c r="E88" s="28" t="s">
        <v>19</v>
      </c>
      <c r="F88" s="16"/>
      <c r="G88" s="16"/>
      <c r="H88" s="19" t="n">
        <f aca="false">LEN(IF(F88&lt;&gt;"",F88,D88))</f>
        <v>82</v>
      </c>
      <c r="I88" s="29" t="str">
        <f aca="false">IF(OR(H88&lt;25,H88&gt;140),"분량 확인","")</f>
        <v/>
      </c>
    </row>
    <row r="89" customFormat="false" ht="33.75" hidden="false" customHeight="true" outlineLevel="0" collapsed="false">
      <c r="A89" s="13" t="s">
        <v>733</v>
      </c>
      <c r="B89" s="14" t="s">
        <v>727</v>
      </c>
      <c r="C89" s="15" t="s">
        <v>564</v>
      </c>
      <c r="D89" s="15" t="s">
        <v>734</v>
      </c>
      <c r="E89" s="28" t="s">
        <v>19</v>
      </c>
      <c r="F89" s="16"/>
      <c r="G89" s="16"/>
      <c r="H89" s="19" t="n">
        <f aca="false">LEN(IF(F89&lt;&gt;"",F89,D89))</f>
        <v>41</v>
      </c>
      <c r="I89" s="29" t="str">
        <f aca="false">IF(OR(H89&lt;25,H89&gt;140),"분량 확인","")</f>
        <v/>
      </c>
    </row>
    <row r="90" customFormat="false" ht="33.75" hidden="false" customHeight="true" outlineLevel="0" collapsed="false">
      <c r="A90" s="13" t="s">
        <v>318</v>
      </c>
      <c r="B90" s="14" t="s">
        <v>727</v>
      </c>
      <c r="C90" s="15" t="s">
        <v>567</v>
      </c>
      <c r="D90" s="15" t="s">
        <v>321</v>
      </c>
      <c r="E90" s="28" t="s">
        <v>19</v>
      </c>
      <c r="F90" s="16"/>
      <c r="G90" s="17" t="s">
        <v>735</v>
      </c>
      <c r="H90" s="19" t="n">
        <f aca="false">LEN(IF(F90&lt;&gt;"",F90,D90))</f>
        <v>56</v>
      </c>
      <c r="I90" s="29" t="str">
        <f aca="false">IF(OR(H90&lt;25,H90&gt;140),"분량 확인","")</f>
        <v/>
      </c>
    </row>
    <row r="91" customFormat="false" ht="33.75" hidden="false" customHeight="true" outlineLevel="0" collapsed="false">
      <c r="A91" s="13" t="s">
        <v>736</v>
      </c>
      <c r="B91" s="14" t="s">
        <v>727</v>
      </c>
      <c r="C91" s="15" t="s">
        <v>570</v>
      </c>
      <c r="D91" s="15" t="s">
        <v>737</v>
      </c>
      <c r="E91" s="28" t="s">
        <v>19</v>
      </c>
      <c r="F91" s="16"/>
      <c r="G91" s="16"/>
      <c r="H91" s="19" t="n">
        <f aca="false">LEN(IF(F91&lt;&gt;"",F91,D91))</f>
        <v>35</v>
      </c>
      <c r="I91" s="29" t="str">
        <f aca="false">IF(OR(H91&lt;25,H91&gt;140),"분량 확인","")</f>
        <v/>
      </c>
    </row>
    <row r="92" customFormat="false" ht="48" hidden="false" customHeight="true" outlineLevel="0" collapsed="false">
      <c r="A92" s="13" t="s">
        <v>738</v>
      </c>
      <c r="B92" s="14" t="s">
        <v>739</v>
      </c>
      <c r="C92" s="15" t="s">
        <v>33</v>
      </c>
      <c r="D92" s="15" t="s">
        <v>740</v>
      </c>
      <c r="E92" s="28" t="s">
        <v>19</v>
      </c>
      <c r="F92" s="16"/>
      <c r="G92" s="16"/>
      <c r="H92" s="19" t="n">
        <f aca="false">LEN(IF(F92&lt;&gt;"",F92,D92))</f>
        <v>72</v>
      </c>
      <c r="I92" s="29" t="str">
        <f aca="false">IF(OR(H92&lt;25,H92&gt;140),"분량 확인","")</f>
        <v/>
      </c>
    </row>
    <row r="93" customFormat="false" ht="61.5" hidden="false" customHeight="true" outlineLevel="0" collapsed="false">
      <c r="A93" s="13" t="s">
        <v>741</v>
      </c>
      <c r="B93" s="14" t="s">
        <v>739</v>
      </c>
      <c r="C93" s="15" t="s">
        <v>559</v>
      </c>
      <c r="D93" s="15" t="s">
        <v>742</v>
      </c>
      <c r="E93" s="28" t="s">
        <v>19</v>
      </c>
      <c r="F93" s="16"/>
      <c r="G93" s="16"/>
      <c r="H93" s="19" t="n">
        <f aca="false">LEN(IF(F93&lt;&gt;"",F93,D93))</f>
        <v>94</v>
      </c>
      <c r="I93" s="29" t="str">
        <f aca="false">IF(OR(H93&lt;25,H93&gt;140),"분량 확인","")</f>
        <v/>
      </c>
    </row>
    <row r="94" customFormat="false" ht="61.5" hidden="false" customHeight="true" outlineLevel="0" collapsed="false">
      <c r="A94" s="13" t="s">
        <v>743</v>
      </c>
      <c r="B94" s="14" t="s">
        <v>739</v>
      </c>
      <c r="C94" s="15" t="s">
        <v>561</v>
      </c>
      <c r="D94" s="15" t="s">
        <v>744</v>
      </c>
      <c r="E94" s="28" t="s">
        <v>19</v>
      </c>
      <c r="F94" s="16"/>
      <c r="G94" s="16"/>
      <c r="H94" s="19" t="n">
        <f aca="false">LEN(IF(F94&lt;&gt;"",F94,D94))</f>
        <v>94</v>
      </c>
      <c r="I94" s="29" t="str">
        <f aca="false">IF(OR(H94&lt;25,H94&gt;140),"분량 확인","")</f>
        <v/>
      </c>
    </row>
    <row r="95" customFormat="false" ht="33.75" hidden="false" customHeight="true" outlineLevel="0" collapsed="false">
      <c r="A95" s="13" t="s">
        <v>745</v>
      </c>
      <c r="B95" s="14" t="s">
        <v>739</v>
      </c>
      <c r="C95" s="15" t="s">
        <v>564</v>
      </c>
      <c r="D95" s="15" t="s">
        <v>746</v>
      </c>
      <c r="E95" s="28" t="s">
        <v>19</v>
      </c>
      <c r="F95" s="16"/>
      <c r="G95" s="16"/>
      <c r="H95" s="19" t="n">
        <f aca="false">LEN(IF(F95&lt;&gt;"",F95,D95))</f>
        <v>42</v>
      </c>
      <c r="I95" s="29" t="str">
        <f aca="false">IF(OR(H95&lt;25,H95&gt;140),"분량 확인","")</f>
        <v/>
      </c>
    </row>
    <row r="96" customFormat="false" ht="33.75" hidden="false" customHeight="true" outlineLevel="0" collapsed="false">
      <c r="A96" s="13" t="s">
        <v>747</v>
      </c>
      <c r="B96" s="14" t="s">
        <v>739</v>
      </c>
      <c r="C96" s="15" t="s">
        <v>567</v>
      </c>
      <c r="D96" s="15" t="s">
        <v>748</v>
      </c>
      <c r="E96" s="28" t="s">
        <v>19</v>
      </c>
      <c r="F96" s="16"/>
      <c r="G96" s="16"/>
      <c r="H96" s="19" t="n">
        <f aca="false">LEN(IF(F96&lt;&gt;"",F96,D96))</f>
        <v>42</v>
      </c>
      <c r="I96" s="29" t="str">
        <f aca="false">IF(OR(H96&lt;25,H96&gt;140),"분량 확인","")</f>
        <v/>
      </c>
    </row>
    <row r="97" customFormat="false" ht="33.75" hidden="false" customHeight="true" outlineLevel="0" collapsed="false">
      <c r="A97" s="13" t="s">
        <v>749</v>
      </c>
      <c r="B97" s="14" t="s">
        <v>739</v>
      </c>
      <c r="C97" s="15" t="s">
        <v>570</v>
      </c>
      <c r="D97" s="15" t="s">
        <v>750</v>
      </c>
      <c r="E97" s="28" t="s">
        <v>19</v>
      </c>
      <c r="F97" s="16"/>
      <c r="G97" s="16"/>
      <c r="H97" s="19" t="n">
        <f aca="false">LEN(IF(F97&lt;&gt;"",F97,D97))</f>
        <v>40</v>
      </c>
      <c r="I97" s="29" t="str">
        <f aca="false">IF(OR(H97&lt;25,H97&gt;140),"분량 확인","")</f>
        <v/>
      </c>
    </row>
    <row r="98" customFormat="false" ht="48" hidden="false" customHeight="true" outlineLevel="0" collapsed="false">
      <c r="A98" s="13" t="s">
        <v>751</v>
      </c>
      <c r="B98" s="14" t="s">
        <v>752</v>
      </c>
      <c r="C98" s="15" t="s">
        <v>33</v>
      </c>
      <c r="D98" s="15" t="s">
        <v>753</v>
      </c>
      <c r="E98" s="28" t="s">
        <v>19</v>
      </c>
      <c r="F98" s="16"/>
      <c r="G98" s="16"/>
      <c r="H98" s="19" t="n">
        <f aca="false">LEN(IF(F98&lt;&gt;"",F98,D98))</f>
        <v>60</v>
      </c>
      <c r="I98" s="29" t="str">
        <f aca="false">IF(OR(H98&lt;25,H98&gt;140),"분량 확인","")</f>
        <v/>
      </c>
    </row>
    <row r="99" customFormat="false" ht="48" hidden="false" customHeight="true" outlineLevel="0" collapsed="false">
      <c r="A99" s="13" t="s">
        <v>754</v>
      </c>
      <c r="B99" s="14" t="s">
        <v>752</v>
      </c>
      <c r="C99" s="15" t="s">
        <v>559</v>
      </c>
      <c r="D99" s="14" t="s">
        <v>755</v>
      </c>
      <c r="E99" s="28" t="s">
        <v>19</v>
      </c>
      <c r="F99" s="16"/>
      <c r="G99" s="16"/>
      <c r="H99" s="19" t="n">
        <f aca="false">LEN(IF(F99&lt;&gt;"",F99,D99))</f>
        <v>71</v>
      </c>
      <c r="I99" s="29" t="str">
        <f aca="false">IF(OR(H99&lt;25,H99&gt;140),"분량 확인","")</f>
        <v/>
      </c>
    </row>
    <row r="100" customFormat="false" ht="48" hidden="false" customHeight="true" outlineLevel="0" collapsed="false">
      <c r="A100" s="13" t="s">
        <v>348</v>
      </c>
      <c r="B100" s="14" t="s">
        <v>752</v>
      </c>
      <c r="C100" s="15" t="s">
        <v>561</v>
      </c>
      <c r="D100" s="15" t="s">
        <v>351</v>
      </c>
      <c r="E100" s="28" t="s">
        <v>19</v>
      </c>
      <c r="F100" s="16"/>
      <c r="G100" s="17" t="s">
        <v>756</v>
      </c>
      <c r="H100" s="19" t="n">
        <f aca="false">LEN(IF(F100&lt;&gt;"",F100,D100))</f>
        <v>86</v>
      </c>
      <c r="I100" s="29" t="str">
        <f aca="false">IF(OR(H100&lt;25,H100&gt;140),"분량 확인","")</f>
        <v/>
      </c>
    </row>
    <row r="101" customFormat="false" ht="33.75" hidden="false" customHeight="true" outlineLevel="0" collapsed="false">
      <c r="A101" s="13" t="s">
        <v>757</v>
      </c>
      <c r="B101" s="14" t="s">
        <v>752</v>
      </c>
      <c r="C101" s="15" t="s">
        <v>564</v>
      </c>
      <c r="D101" s="15" t="s">
        <v>758</v>
      </c>
      <c r="E101" s="28" t="s">
        <v>19</v>
      </c>
      <c r="F101" s="16"/>
      <c r="G101" s="16"/>
      <c r="H101" s="19" t="n">
        <f aca="false">LEN(IF(F101&lt;&gt;"",F101,D101))</f>
        <v>52</v>
      </c>
      <c r="I101" s="29" t="str">
        <f aca="false">IF(OR(H101&lt;25,H101&gt;140),"분량 확인","")</f>
        <v/>
      </c>
    </row>
    <row r="102" customFormat="false" ht="33.75" hidden="false" customHeight="true" outlineLevel="0" collapsed="false">
      <c r="A102" s="13" t="s">
        <v>759</v>
      </c>
      <c r="B102" s="14" t="s">
        <v>752</v>
      </c>
      <c r="C102" s="15" t="s">
        <v>567</v>
      </c>
      <c r="D102" s="14" t="s">
        <v>760</v>
      </c>
      <c r="E102" s="28" t="s">
        <v>19</v>
      </c>
      <c r="F102" s="16"/>
      <c r="G102" s="16"/>
      <c r="H102" s="19" t="n">
        <f aca="false">LEN(IF(F102&lt;&gt;"",F102,D102))</f>
        <v>46</v>
      </c>
      <c r="I102" s="29" t="str">
        <f aca="false">IF(OR(H102&lt;25,H102&gt;140),"분량 확인","")</f>
        <v/>
      </c>
    </row>
    <row r="103" customFormat="false" ht="33.75" hidden="false" customHeight="true" outlineLevel="0" collapsed="false">
      <c r="A103" s="13" t="s">
        <v>761</v>
      </c>
      <c r="B103" s="14" t="s">
        <v>752</v>
      </c>
      <c r="C103" s="15" t="s">
        <v>570</v>
      </c>
      <c r="D103" s="15" t="s">
        <v>762</v>
      </c>
      <c r="E103" s="28" t="s">
        <v>19</v>
      </c>
      <c r="F103" s="16"/>
      <c r="G103" s="16"/>
      <c r="H103" s="19" t="n">
        <f aca="false">LEN(IF(F103&lt;&gt;"",F103,D103))</f>
        <v>35</v>
      </c>
      <c r="I103" s="29" t="str">
        <f aca="false">IF(OR(H103&lt;25,H103&gt;140),"분량 확인","")</f>
        <v/>
      </c>
    </row>
    <row r="104" customFormat="false" ht="48" hidden="false" customHeight="true" outlineLevel="0" collapsed="false">
      <c r="A104" s="13" t="s">
        <v>763</v>
      </c>
      <c r="B104" s="14" t="s">
        <v>764</v>
      </c>
      <c r="C104" s="15" t="s">
        <v>33</v>
      </c>
      <c r="D104" s="15" t="s">
        <v>765</v>
      </c>
      <c r="E104" s="28" t="s">
        <v>19</v>
      </c>
      <c r="F104" s="16"/>
      <c r="G104" s="16"/>
      <c r="H104" s="19" t="n">
        <f aca="false">LEN(IF(F104&lt;&gt;"",F104,D104))</f>
        <v>64</v>
      </c>
      <c r="I104" s="29" t="str">
        <f aca="false">IF(OR(H104&lt;25,H104&gt;140),"분량 확인","")</f>
        <v/>
      </c>
    </row>
    <row r="105" customFormat="false" ht="48" hidden="false" customHeight="true" outlineLevel="0" collapsed="false">
      <c r="A105" s="13" t="s">
        <v>359</v>
      </c>
      <c r="B105" s="14" t="s">
        <v>764</v>
      </c>
      <c r="C105" s="15" t="s">
        <v>559</v>
      </c>
      <c r="D105" s="14" t="s">
        <v>362</v>
      </c>
      <c r="E105" s="28" t="s">
        <v>19</v>
      </c>
      <c r="F105" s="16"/>
      <c r="G105" s="17" t="s">
        <v>766</v>
      </c>
      <c r="H105" s="19" t="n">
        <f aca="false">LEN(IF(F105&lt;&gt;"",F105,D105))</f>
        <v>81</v>
      </c>
      <c r="I105" s="29" t="str">
        <f aca="false">IF(OR(H105&lt;25,H105&gt;140),"분량 확인","")</f>
        <v/>
      </c>
    </row>
    <row r="106" customFormat="false" ht="48" hidden="false" customHeight="true" outlineLevel="0" collapsed="false">
      <c r="A106" s="13" t="s">
        <v>363</v>
      </c>
      <c r="B106" s="14" t="s">
        <v>764</v>
      </c>
      <c r="C106" s="15" t="s">
        <v>561</v>
      </c>
      <c r="D106" s="15" t="s">
        <v>366</v>
      </c>
      <c r="E106" s="28" t="s">
        <v>19</v>
      </c>
      <c r="F106" s="16"/>
      <c r="G106" s="17" t="s">
        <v>767</v>
      </c>
      <c r="H106" s="19" t="n">
        <f aca="false">LEN(IF(F106&lt;&gt;"",F106,D106))</f>
        <v>75</v>
      </c>
      <c r="I106" s="29" t="str">
        <f aca="false">IF(OR(H106&lt;25,H106&gt;140),"분량 확인","")</f>
        <v/>
      </c>
    </row>
    <row r="107" customFormat="false" ht="33.75" hidden="false" customHeight="true" outlineLevel="0" collapsed="false">
      <c r="A107" s="13" t="s">
        <v>768</v>
      </c>
      <c r="B107" s="14" t="s">
        <v>764</v>
      </c>
      <c r="C107" s="15" t="s">
        <v>564</v>
      </c>
      <c r="D107" s="15" t="s">
        <v>769</v>
      </c>
      <c r="E107" s="28" t="s">
        <v>19</v>
      </c>
      <c r="F107" s="16"/>
      <c r="G107" s="16"/>
      <c r="H107" s="19" t="n">
        <f aca="false">LEN(IF(F107&lt;&gt;"",F107,D107))</f>
        <v>39</v>
      </c>
      <c r="I107" s="29" t="str">
        <f aca="false">IF(OR(H107&lt;25,H107&gt;140),"분량 확인","")</f>
        <v/>
      </c>
    </row>
    <row r="108" customFormat="false" ht="33.75" hidden="false" customHeight="true" outlineLevel="0" collapsed="false">
      <c r="A108" s="13" t="s">
        <v>770</v>
      </c>
      <c r="B108" s="14" t="s">
        <v>764</v>
      </c>
      <c r="C108" s="15" t="s">
        <v>567</v>
      </c>
      <c r="D108" s="15" t="s">
        <v>771</v>
      </c>
      <c r="E108" s="28" t="s">
        <v>19</v>
      </c>
      <c r="F108" s="16"/>
      <c r="G108" s="16"/>
      <c r="H108" s="19" t="n">
        <f aca="false">LEN(IF(F108&lt;&gt;"",F108,D108))</f>
        <v>39</v>
      </c>
      <c r="I108" s="29" t="str">
        <f aca="false">IF(OR(H108&lt;25,H108&gt;140),"분량 확인","")</f>
        <v/>
      </c>
    </row>
    <row r="109" customFormat="false" ht="33.75" hidden="false" customHeight="true" outlineLevel="0" collapsed="false">
      <c r="A109" s="13" t="s">
        <v>772</v>
      </c>
      <c r="B109" s="14" t="s">
        <v>764</v>
      </c>
      <c r="C109" s="15" t="s">
        <v>570</v>
      </c>
      <c r="D109" s="15" t="s">
        <v>773</v>
      </c>
      <c r="E109" s="28" t="s">
        <v>19</v>
      </c>
      <c r="F109" s="16"/>
      <c r="G109" s="16"/>
      <c r="H109" s="19" t="n">
        <f aca="false">LEN(IF(F109&lt;&gt;"",F109,D109))</f>
        <v>33</v>
      </c>
      <c r="I109" s="29" t="str">
        <f aca="false">IF(OR(H109&lt;25,H109&gt;140),"분량 확인","")</f>
        <v/>
      </c>
    </row>
    <row r="110" customFormat="false" ht="48" hidden="false" customHeight="true" outlineLevel="0" collapsed="false">
      <c r="A110" s="13" t="s">
        <v>774</v>
      </c>
      <c r="B110" s="14" t="s">
        <v>775</v>
      </c>
      <c r="C110" s="15" t="s">
        <v>33</v>
      </c>
      <c r="D110" s="15" t="s">
        <v>776</v>
      </c>
      <c r="E110" s="28" t="s">
        <v>19</v>
      </c>
      <c r="F110" s="16"/>
      <c r="G110" s="16"/>
      <c r="H110" s="19" t="n">
        <f aca="false">LEN(IF(F110&lt;&gt;"",F110,D110))</f>
        <v>70</v>
      </c>
      <c r="I110" s="29" t="str">
        <f aca="false">IF(OR(H110&lt;25,H110&gt;140),"분량 확인","")</f>
        <v/>
      </c>
    </row>
    <row r="111" customFormat="false" ht="48" hidden="false" customHeight="true" outlineLevel="0" collapsed="false">
      <c r="A111" s="13" t="s">
        <v>777</v>
      </c>
      <c r="B111" s="14" t="s">
        <v>775</v>
      </c>
      <c r="C111" s="15" t="s">
        <v>559</v>
      </c>
      <c r="D111" s="14" t="s">
        <v>778</v>
      </c>
      <c r="E111" s="28" t="s">
        <v>19</v>
      </c>
      <c r="F111" s="16"/>
      <c r="G111" s="16"/>
      <c r="H111" s="19" t="n">
        <f aca="false">LEN(IF(F111&lt;&gt;"",F111,D111))</f>
        <v>73</v>
      </c>
      <c r="I111" s="29" t="str">
        <f aca="false">IF(OR(H111&lt;25,H111&gt;140),"분량 확인","")</f>
        <v/>
      </c>
    </row>
    <row r="112" customFormat="false" ht="48" hidden="false" customHeight="true" outlineLevel="0" collapsed="false">
      <c r="A112" s="13" t="s">
        <v>374</v>
      </c>
      <c r="B112" s="14" t="s">
        <v>775</v>
      </c>
      <c r="C112" s="15" t="s">
        <v>561</v>
      </c>
      <c r="D112" s="15" t="s">
        <v>377</v>
      </c>
      <c r="E112" s="28" t="s">
        <v>19</v>
      </c>
      <c r="F112" s="16"/>
      <c r="G112" s="17" t="s">
        <v>779</v>
      </c>
      <c r="H112" s="19" t="n">
        <f aca="false">LEN(IF(F112&lt;&gt;"",F112,D112))</f>
        <v>82</v>
      </c>
      <c r="I112" s="29" t="str">
        <f aca="false">IF(OR(H112&lt;25,H112&gt;140),"분량 확인","")</f>
        <v/>
      </c>
    </row>
    <row r="113" customFormat="false" ht="33.75" hidden="false" customHeight="true" outlineLevel="0" collapsed="false">
      <c r="A113" s="13" t="s">
        <v>780</v>
      </c>
      <c r="B113" s="14" t="s">
        <v>775</v>
      </c>
      <c r="C113" s="15" t="s">
        <v>564</v>
      </c>
      <c r="D113" s="15" t="s">
        <v>781</v>
      </c>
      <c r="E113" s="28" t="s">
        <v>19</v>
      </c>
      <c r="F113" s="16"/>
      <c r="G113" s="16"/>
      <c r="H113" s="19" t="n">
        <f aca="false">LEN(IF(F113&lt;&gt;"",F113,D113))</f>
        <v>45</v>
      </c>
      <c r="I113" s="29" t="str">
        <f aca="false">IF(OR(H113&lt;25,H113&gt;140),"분량 확인","")</f>
        <v/>
      </c>
    </row>
    <row r="114" customFormat="false" ht="33.75" hidden="false" customHeight="true" outlineLevel="0" collapsed="false">
      <c r="A114" s="13" t="s">
        <v>782</v>
      </c>
      <c r="B114" s="14" t="s">
        <v>775</v>
      </c>
      <c r="C114" s="15" t="s">
        <v>567</v>
      </c>
      <c r="D114" s="15" t="s">
        <v>783</v>
      </c>
      <c r="E114" s="28" t="s">
        <v>19</v>
      </c>
      <c r="F114" s="16"/>
      <c r="G114" s="16"/>
      <c r="H114" s="19" t="n">
        <f aca="false">LEN(IF(F114&lt;&gt;"",F114,D114))</f>
        <v>42</v>
      </c>
      <c r="I114" s="29" t="str">
        <f aca="false">IF(OR(H114&lt;25,H114&gt;140),"분량 확인","")</f>
        <v/>
      </c>
    </row>
    <row r="115" customFormat="false" ht="33.75" hidden="false" customHeight="true" outlineLevel="0" collapsed="false">
      <c r="A115" s="13" t="s">
        <v>784</v>
      </c>
      <c r="B115" s="14" t="s">
        <v>775</v>
      </c>
      <c r="C115" s="15" t="s">
        <v>570</v>
      </c>
      <c r="D115" s="15" t="s">
        <v>785</v>
      </c>
      <c r="E115" s="28" t="s">
        <v>19</v>
      </c>
      <c r="F115" s="16"/>
      <c r="G115" s="16"/>
      <c r="H115" s="19" t="n">
        <f aca="false">LEN(IF(F115&lt;&gt;"",F115,D115))</f>
        <v>39</v>
      </c>
      <c r="I115" s="29" t="str">
        <f aca="false">IF(OR(H115&lt;25,H115&gt;140),"분량 확인","")</f>
        <v/>
      </c>
    </row>
    <row r="116" customFormat="false" ht="48" hidden="false" customHeight="true" outlineLevel="0" collapsed="false">
      <c r="A116" s="13" t="s">
        <v>385</v>
      </c>
      <c r="B116" s="14" t="s">
        <v>786</v>
      </c>
      <c r="C116" s="15" t="s">
        <v>33</v>
      </c>
      <c r="D116" s="15" t="s">
        <v>388</v>
      </c>
      <c r="E116" s="28" t="s">
        <v>19</v>
      </c>
      <c r="F116" s="16"/>
      <c r="G116" s="17" t="s">
        <v>787</v>
      </c>
      <c r="H116" s="19" t="n">
        <f aca="false">LEN(IF(F116&lt;&gt;"",F116,D116))</f>
        <v>62</v>
      </c>
      <c r="I116" s="29" t="str">
        <f aca="false">IF(OR(H116&lt;25,H116&gt;140),"분량 확인","")</f>
        <v/>
      </c>
    </row>
    <row r="117" customFormat="false" ht="33.75" hidden="false" customHeight="true" outlineLevel="0" collapsed="false">
      <c r="A117" s="13" t="s">
        <v>788</v>
      </c>
      <c r="B117" s="14" t="s">
        <v>786</v>
      </c>
      <c r="C117" s="15" t="s">
        <v>559</v>
      </c>
      <c r="D117" s="15" t="s">
        <v>789</v>
      </c>
      <c r="E117" s="28" t="s">
        <v>19</v>
      </c>
      <c r="F117" s="16"/>
      <c r="G117" s="16"/>
      <c r="H117" s="19" t="n">
        <f aca="false">LEN(IF(F117&lt;&gt;"",F117,D117))</f>
        <v>54</v>
      </c>
      <c r="I117" s="29" t="str">
        <f aca="false">IF(OR(H117&lt;25,H117&gt;140),"분량 확인","")</f>
        <v/>
      </c>
    </row>
    <row r="118" customFormat="false" ht="48" hidden="false" customHeight="true" outlineLevel="0" collapsed="false">
      <c r="A118" s="13" t="s">
        <v>389</v>
      </c>
      <c r="B118" s="14" t="s">
        <v>786</v>
      </c>
      <c r="C118" s="15" t="s">
        <v>561</v>
      </c>
      <c r="D118" s="15" t="s">
        <v>392</v>
      </c>
      <c r="E118" s="28" t="s">
        <v>19</v>
      </c>
      <c r="F118" s="16"/>
      <c r="G118" s="17" t="s">
        <v>790</v>
      </c>
      <c r="H118" s="19" t="n">
        <f aca="false">LEN(IF(F118&lt;&gt;"",F118,D118))</f>
        <v>77</v>
      </c>
      <c r="I118" s="29" t="str">
        <f aca="false">IF(OR(H118&lt;25,H118&gt;140),"분량 확인","")</f>
        <v/>
      </c>
    </row>
    <row r="119" customFormat="false" ht="33.75" hidden="false" customHeight="true" outlineLevel="0" collapsed="false">
      <c r="A119" s="13" t="s">
        <v>791</v>
      </c>
      <c r="B119" s="14" t="s">
        <v>786</v>
      </c>
      <c r="C119" s="15" t="s">
        <v>564</v>
      </c>
      <c r="D119" s="15" t="s">
        <v>792</v>
      </c>
      <c r="E119" s="28" t="s">
        <v>19</v>
      </c>
      <c r="F119" s="16"/>
      <c r="G119" s="16"/>
      <c r="H119" s="19" t="n">
        <f aca="false">LEN(IF(F119&lt;&gt;"",F119,D119))</f>
        <v>41</v>
      </c>
      <c r="I119" s="29" t="str">
        <f aca="false">IF(OR(H119&lt;25,H119&gt;140),"분량 확인","")</f>
        <v/>
      </c>
    </row>
    <row r="120" customFormat="false" ht="33.75" hidden="false" customHeight="true" outlineLevel="0" collapsed="false">
      <c r="A120" s="13" t="s">
        <v>793</v>
      </c>
      <c r="B120" s="14" t="s">
        <v>786</v>
      </c>
      <c r="C120" s="15" t="s">
        <v>567</v>
      </c>
      <c r="D120" s="15" t="s">
        <v>794</v>
      </c>
      <c r="E120" s="28" t="s">
        <v>19</v>
      </c>
      <c r="F120" s="16"/>
      <c r="G120" s="16"/>
      <c r="H120" s="19" t="n">
        <f aca="false">LEN(IF(F120&lt;&gt;"",F120,D120))</f>
        <v>45</v>
      </c>
      <c r="I120" s="29" t="str">
        <f aca="false">IF(OR(H120&lt;25,H120&gt;140),"분량 확인","")</f>
        <v/>
      </c>
    </row>
    <row r="121" customFormat="false" ht="33.75" hidden="false" customHeight="true" outlineLevel="0" collapsed="false">
      <c r="A121" s="13" t="s">
        <v>795</v>
      </c>
      <c r="B121" s="14" t="s">
        <v>786</v>
      </c>
      <c r="C121" s="15" t="s">
        <v>570</v>
      </c>
      <c r="D121" s="15" t="s">
        <v>796</v>
      </c>
      <c r="E121" s="28" t="s">
        <v>19</v>
      </c>
      <c r="F121" s="16"/>
      <c r="G121" s="16"/>
      <c r="H121" s="19" t="n">
        <f aca="false">LEN(IF(F121&lt;&gt;"",F121,D121))</f>
        <v>28</v>
      </c>
      <c r="I121" s="29" t="str">
        <f aca="false">IF(OR(H121&lt;25,H121&gt;140),"분량 확인","")</f>
        <v/>
      </c>
    </row>
    <row r="122" customFormat="false" ht="48" hidden="false" customHeight="true" outlineLevel="0" collapsed="false">
      <c r="A122" s="13" t="s">
        <v>797</v>
      </c>
      <c r="B122" s="14" t="s">
        <v>798</v>
      </c>
      <c r="C122" s="15" t="s">
        <v>33</v>
      </c>
      <c r="D122" s="15" t="s">
        <v>799</v>
      </c>
      <c r="E122" s="28" t="s">
        <v>19</v>
      </c>
      <c r="F122" s="16"/>
      <c r="G122" s="16"/>
      <c r="H122" s="19" t="n">
        <f aca="false">LEN(IF(F122&lt;&gt;"",F122,D122))</f>
        <v>67</v>
      </c>
      <c r="I122" s="29" t="str">
        <f aca="false">IF(OR(H122&lt;25,H122&gt;140),"분량 확인","")</f>
        <v/>
      </c>
    </row>
    <row r="123" customFormat="false" ht="33.75" hidden="false" customHeight="true" outlineLevel="0" collapsed="false">
      <c r="A123" s="13" t="s">
        <v>800</v>
      </c>
      <c r="B123" s="14" t="s">
        <v>798</v>
      </c>
      <c r="C123" s="15" t="s">
        <v>559</v>
      </c>
      <c r="D123" s="15" t="s">
        <v>801</v>
      </c>
      <c r="E123" s="28" t="s">
        <v>19</v>
      </c>
      <c r="F123" s="16"/>
      <c r="G123" s="16"/>
      <c r="H123" s="19" t="n">
        <f aca="false">LEN(IF(F123&lt;&gt;"",F123,D123))</f>
        <v>53</v>
      </c>
      <c r="I123" s="29" t="str">
        <f aca="false">IF(OR(H123&lt;25,H123&gt;140),"분량 확인","")</f>
        <v/>
      </c>
    </row>
    <row r="124" customFormat="false" ht="48" hidden="false" customHeight="true" outlineLevel="0" collapsed="false">
      <c r="A124" s="13" t="s">
        <v>802</v>
      </c>
      <c r="B124" s="14" t="s">
        <v>798</v>
      </c>
      <c r="C124" s="15" t="s">
        <v>561</v>
      </c>
      <c r="D124" s="15" t="s">
        <v>803</v>
      </c>
      <c r="E124" s="28" t="s">
        <v>19</v>
      </c>
      <c r="F124" s="16"/>
      <c r="G124" s="16"/>
      <c r="H124" s="19" t="n">
        <f aca="false">LEN(IF(F124&lt;&gt;"",F124,D124))</f>
        <v>85</v>
      </c>
      <c r="I124" s="29" t="str">
        <f aca="false">IF(OR(H124&lt;25,H124&gt;140),"분량 확인","")</f>
        <v/>
      </c>
    </row>
    <row r="125" customFormat="false" ht="33.75" hidden="false" customHeight="true" outlineLevel="0" collapsed="false">
      <c r="A125" s="13" t="s">
        <v>804</v>
      </c>
      <c r="B125" s="14" t="s">
        <v>798</v>
      </c>
      <c r="C125" s="15" t="s">
        <v>564</v>
      </c>
      <c r="D125" s="15" t="s">
        <v>805</v>
      </c>
      <c r="E125" s="28" t="s">
        <v>19</v>
      </c>
      <c r="F125" s="16"/>
      <c r="G125" s="16"/>
      <c r="H125" s="19" t="n">
        <f aca="false">LEN(IF(F125&lt;&gt;"",F125,D125))</f>
        <v>42</v>
      </c>
      <c r="I125" s="29" t="str">
        <f aca="false">IF(OR(H125&lt;25,H125&gt;140),"분량 확인","")</f>
        <v/>
      </c>
    </row>
    <row r="126" customFormat="false" ht="33.75" hidden="false" customHeight="true" outlineLevel="0" collapsed="false">
      <c r="A126" s="13" t="s">
        <v>423</v>
      </c>
      <c r="B126" s="14" t="s">
        <v>798</v>
      </c>
      <c r="C126" s="15" t="s">
        <v>567</v>
      </c>
      <c r="D126" s="15" t="s">
        <v>426</v>
      </c>
      <c r="E126" s="28" t="s">
        <v>19</v>
      </c>
      <c r="F126" s="16"/>
      <c r="G126" s="17" t="s">
        <v>806</v>
      </c>
      <c r="H126" s="19" t="n">
        <f aca="false">LEN(IF(F126&lt;&gt;"",F126,D126))</f>
        <v>47</v>
      </c>
      <c r="I126" s="29" t="str">
        <f aca="false">IF(OR(H126&lt;25,H126&gt;140),"분량 확인","")</f>
        <v/>
      </c>
    </row>
    <row r="127" customFormat="false" ht="33.75" hidden="false" customHeight="true" outlineLevel="0" collapsed="false">
      <c r="A127" s="13" t="s">
        <v>807</v>
      </c>
      <c r="B127" s="14" t="s">
        <v>798</v>
      </c>
      <c r="C127" s="15" t="s">
        <v>570</v>
      </c>
      <c r="D127" s="15" t="s">
        <v>808</v>
      </c>
      <c r="E127" s="28" t="s">
        <v>19</v>
      </c>
      <c r="F127" s="16"/>
      <c r="G127" s="16"/>
      <c r="H127" s="19" t="n">
        <f aca="false">LEN(IF(F127&lt;&gt;"",F127,D127))</f>
        <v>40</v>
      </c>
      <c r="I127" s="29" t="str">
        <f aca="false">IF(OR(H127&lt;25,H127&gt;140),"분량 확인","")</f>
        <v/>
      </c>
    </row>
    <row r="128" customFormat="false" ht="48" hidden="false" customHeight="true" outlineLevel="0" collapsed="false">
      <c r="A128" s="13" t="s">
        <v>809</v>
      </c>
      <c r="B128" s="14" t="s">
        <v>810</v>
      </c>
      <c r="C128" s="15" t="s">
        <v>33</v>
      </c>
      <c r="D128" s="15" t="s">
        <v>811</v>
      </c>
      <c r="E128" s="28" t="s">
        <v>19</v>
      </c>
      <c r="F128" s="16"/>
      <c r="G128" s="16"/>
      <c r="H128" s="19" t="n">
        <f aca="false">LEN(IF(F128&lt;&gt;"",F128,D128))</f>
        <v>56</v>
      </c>
      <c r="I128" s="29" t="str">
        <f aca="false">IF(OR(H128&lt;25,H128&gt;140),"분량 확인","")</f>
        <v/>
      </c>
    </row>
    <row r="129" customFormat="false" ht="48" hidden="false" customHeight="true" outlineLevel="0" collapsed="false">
      <c r="A129" s="13" t="s">
        <v>812</v>
      </c>
      <c r="B129" s="14" t="s">
        <v>810</v>
      </c>
      <c r="C129" s="15" t="s">
        <v>559</v>
      </c>
      <c r="D129" s="15" t="s">
        <v>813</v>
      </c>
      <c r="E129" s="28" t="s">
        <v>19</v>
      </c>
      <c r="F129" s="16"/>
      <c r="G129" s="16"/>
      <c r="H129" s="19" t="n">
        <f aca="false">LEN(IF(F129&lt;&gt;"",F129,D129))</f>
        <v>46</v>
      </c>
      <c r="I129" s="29" t="str">
        <f aca="false">IF(OR(H129&lt;25,H129&gt;140),"분량 확인","")</f>
        <v/>
      </c>
    </row>
    <row r="130" customFormat="false" ht="48" hidden="false" customHeight="true" outlineLevel="0" collapsed="false">
      <c r="A130" s="13" t="s">
        <v>814</v>
      </c>
      <c r="B130" s="14" t="s">
        <v>810</v>
      </c>
      <c r="C130" s="15" t="s">
        <v>561</v>
      </c>
      <c r="D130" s="15" t="s">
        <v>815</v>
      </c>
      <c r="E130" s="28" t="s">
        <v>19</v>
      </c>
      <c r="F130" s="16"/>
      <c r="G130" s="16"/>
      <c r="H130" s="19" t="n">
        <f aca="false">LEN(IF(F130&lt;&gt;"",F130,D130))</f>
        <v>74</v>
      </c>
      <c r="I130" s="29" t="str">
        <f aca="false">IF(OR(H130&lt;25,H130&gt;140),"분량 확인","")</f>
        <v/>
      </c>
    </row>
    <row r="131" customFormat="false" ht="48" hidden="false" customHeight="true" outlineLevel="0" collapsed="false">
      <c r="A131" s="13" t="s">
        <v>816</v>
      </c>
      <c r="B131" s="14" t="s">
        <v>810</v>
      </c>
      <c r="C131" s="15" t="s">
        <v>564</v>
      </c>
      <c r="D131" s="15" t="s">
        <v>817</v>
      </c>
      <c r="E131" s="28" t="s">
        <v>19</v>
      </c>
      <c r="F131" s="16"/>
      <c r="G131" s="16"/>
      <c r="H131" s="19" t="n">
        <f aca="false">LEN(IF(F131&lt;&gt;"",F131,D131))</f>
        <v>36</v>
      </c>
      <c r="I131" s="29" t="str">
        <f aca="false">IF(OR(H131&lt;25,H131&gt;140),"분량 확인","")</f>
        <v/>
      </c>
    </row>
    <row r="132" customFormat="false" ht="48" hidden="false" customHeight="true" outlineLevel="0" collapsed="false">
      <c r="A132" s="13" t="s">
        <v>818</v>
      </c>
      <c r="B132" s="14" t="s">
        <v>810</v>
      </c>
      <c r="C132" s="15" t="s">
        <v>567</v>
      </c>
      <c r="D132" s="15" t="s">
        <v>819</v>
      </c>
      <c r="E132" s="28" t="s">
        <v>19</v>
      </c>
      <c r="F132" s="16"/>
      <c r="G132" s="16"/>
      <c r="H132" s="19" t="n">
        <f aca="false">LEN(IF(F132&lt;&gt;"",F132,D132))</f>
        <v>38</v>
      </c>
      <c r="I132" s="29" t="str">
        <f aca="false">IF(OR(H132&lt;25,H132&gt;140),"분량 확인","")</f>
        <v/>
      </c>
    </row>
    <row r="133" customFormat="false" ht="48" hidden="false" customHeight="true" outlineLevel="0" collapsed="false">
      <c r="A133" s="13" t="s">
        <v>820</v>
      </c>
      <c r="B133" s="14" t="s">
        <v>810</v>
      </c>
      <c r="C133" s="15" t="s">
        <v>570</v>
      </c>
      <c r="D133" s="15" t="s">
        <v>821</v>
      </c>
      <c r="E133" s="28" t="s">
        <v>19</v>
      </c>
      <c r="F133" s="16"/>
      <c r="G133" s="16"/>
      <c r="H133" s="19" t="n">
        <f aca="false">LEN(IF(F133&lt;&gt;"",F133,D133))</f>
        <v>35</v>
      </c>
      <c r="I133" s="29" t="str">
        <f aca="false">IF(OR(H133&lt;25,H133&gt;140),"분량 확인","")</f>
        <v/>
      </c>
    </row>
  </sheetData>
  <autoFilter ref="A1:I133"/>
  <conditionalFormatting sqref="E2:E133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133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133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C68E"/>
    <pageSetUpPr fitToPage="false"/>
  </sheetPr>
  <dimension ref="A1:I19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61.5" hidden="false" customHeight="true" outlineLevel="0" collapsed="false">
      <c r="A2" s="13" t="s">
        <v>245</v>
      </c>
      <c r="B2" s="14" t="s">
        <v>556</v>
      </c>
      <c r="C2" s="15" t="s">
        <v>822</v>
      </c>
      <c r="D2" s="15" t="s">
        <v>248</v>
      </c>
      <c r="E2" s="28" t="s">
        <v>19</v>
      </c>
      <c r="F2" s="16"/>
      <c r="G2" s="17" t="s">
        <v>823</v>
      </c>
      <c r="H2" s="19" t="n">
        <f aca="false">LEN(IF(F2&lt;&gt;"",F2,D2))</f>
        <v>109</v>
      </c>
      <c r="I2" s="29" t="str">
        <f aca="false">IF(OR(H2&lt;60,H2&gt;220),"분량 확인","")</f>
        <v/>
      </c>
    </row>
    <row r="3" customFormat="false" ht="61.5" hidden="false" customHeight="true" outlineLevel="0" collapsed="false">
      <c r="A3" s="13" t="s">
        <v>824</v>
      </c>
      <c r="B3" s="14" t="s">
        <v>556</v>
      </c>
      <c r="C3" s="15" t="s">
        <v>825</v>
      </c>
      <c r="D3" s="15" t="s">
        <v>826</v>
      </c>
      <c r="E3" s="28" t="s">
        <v>19</v>
      </c>
      <c r="F3" s="16"/>
      <c r="G3" s="16"/>
      <c r="H3" s="19" t="n">
        <f aca="false">LEN(IF(F3&lt;&gt;"",F3,D3))</f>
        <v>98</v>
      </c>
      <c r="I3" s="29" t="str">
        <f aca="false">IF(OR(H3&lt;60,H3&gt;220),"분량 확인","")</f>
        <v/>
      </c>
    </row>
    <row r="4" customFormat="false" ht="61.5" hidden="false" customHeight="true" outlineLevel="0" collapsed="false">
      <c r="A4" s="13" t="s">
        <v>827</v>
      </c>
      <c r="B4" s="14" t="s">
        <v>556</v>
      </c>
      <c r="C4" s="15" t="s">
        <v>828</v>
      </c>
      <c r="D4" s="15" t="s">
        <v>829</v>
      </c>
      <c r="E4" s="28" t="s">
        <v>19</v>
      </c>
      <c r="F4" s="16"/>
      <c r="G4" s="16"/>
      <c r="H4" s="19" t="n">
        <f aca="false">LEN(IF(F4&lt;&gt;"",F4,D4))</f>
        <v>93</v>
      </c>
      <c r="I4" s="29" t="str">
        <f aca="false">IF(OR(H4&lt;60,H4&gt;220),"분량 확인","")</f>
        <v/>
      </c>
    </row>
    <row r="5" customFormat="false" ht="61.5" hidden="false" customHeight="true" outlineLevel="0" collapsed="false">
      <c r="A5" s="13" t="s">
        <v>830</v>
      </c>
      <c r="B5" s="14" t="s">
        <v>556</v>
      </c>
      <c r="C5" s="15" t="s">
        <v>831</v>
      </c>
      <c r="D5" s="15" t="s">
        <v>832</v>
      </c>
      <c r="E5" s="28" t="s">
        <v>19</v>
      </c>
      <c r="F5" s="16"/>
      <c r="G5" s="16"/>
      <c r="H5" s="19" t="n">
        <f aca="false">LEN(IF(F5&lt;&gt;"",F5,D5))</f>
        <v>96</v>
      </c>
      <c r="I5" s="29" t="str">
        <f aca="false">IF(OR(H5&lt;60,H5&gt;220),"분량 확인","")</f>
        <v/>
      </c>
    </row>
    <row r="6" customFormat="false" ht="61.5" hidden="false" customHeight="true" outlineLevel="0" collapsed="false">
      <c r="A6" s="13" t="s">
        <v>833</v>
      </c>
      <c r="B6" s="14" t="s">
        <v>556</v>
      </c>
      <c r="C6" s="15" t="s">
        <v>834</v>
      </c>
      <c r="D6" s="15" t="s">
        <v>835</v>
      </c>
      <c r="E6" s="28" t="s">
        <v>19</v>
      </c>
      <c r="F6" s="16"/>
      <c r="G6" s="16"/>
      <c r="H6" s="19" t="n">
        <f aca="false">LEN(IF(F6&lt;&gt;"",F6,D6))</f>
        <v>94</v>
      </c>
      <c r="I6" s="29" t="str">
        <f aca="false">IF(OR(H6&lt;60,H6&gt;220),"분량 확인","")</f>
        <v/>
      </c>
    </row>
    <row r="7" customFormat="false" ht="61.5" hidden="false" customHeight="true" outlineLevel="0" collapsed="false">
      <c r="A7" s="13" t="s">
        <v>836</v>
      </c>
      <c r="B7" s="14" t="s">
        <v>556</v>
      </c>
      <c r="C7" s="15" t="s">
        <v>837</v>
      </c>
      <c r="D7" s="15" t="s">
        <v>838</v>
      </c>
      <c r="E7" s="28" t="s">
        <v>19</v>
      </c>
      <c r="F7" s="16"/>
      <c r="G7" s="16"/>
      <c r="H7" s="19" t="n">
        <f aca="false">LEN(IF(F7&lt;&gt;"",F7,D7))</f>
        <v>113</v>
      </c>
      <c r="I7" s="29" t="str">
        <f aca="false">IF(OR(H7&lt;60,H7&gt;220),"분량 확인","")</f>
        <v/>
      </c>
    </row>
    <row r="8" customFormat="false" ht="48" hidden="false" customHeight="true" outlineLevel="0" collapsed="false">
      <c r="A8" s="13" t="s">
        <v>263</v>
      </c>
      <c r="B8" s="14" t="s">
        <v>573</v>
      </c>
      <c r="C8" s="15" t="s">
        <v>822</v>
      </c>
      <c r="D8" s="15" t="s">
        <v>266</v>
      </c>
      <c r="E8" s="28" t="s">
        <v>19</v>
      </c>
      <c r="F8" s="16"/>
      <c r="G8" s="17" t="s">
        <v>839</v>
      </c>
      <c r="H8" s="19" t="n">
        <f aca="false">LEN(IF(F8&lt;&gt;"",F8,D8))</f>
        <v>77</v>
      </c>
      <c r="I8" s="29" t="str">
        <f aca="false">IF(OR(H8&lt;60,H8&gt;220),"분량 확인","")</f>
        <v/>
      </c>
    </row>
    <row r="9" customFormat="false" ht="61.5" hidden="false" customHeight="true" outlineLevel="0" collapsed="false">
      <c r="A9" s="13" t="s">
        <v>267</v>
      </c>
      <c r="B9" s="14" t="s">
        <v>573</v>
      </c>
      <c r="C9" s="15" t="s">
        <v>825</v>
      </c>
      <c r="D9" s="15" t="s">
        <v>270</v>
      </c>
      <c r="E9" s="28" t="s">
        <v>19</v>
      </c>
      <c r="F9" s="16"/>
      <c r="G9" s="17" t="s">
        <v>840</v>
      </c>
      <c r="H9" s="19" t="n">
        <f aca="false">LEN(IF(F9&lt;&gt;"",F9,D9))</f>
        <v>106</v>
      </c>
      <c r="I9" s="29" t="str">
        <f aca="false">IF(OR(H9&lt;60,H9&gt;220),"분량 확인","")</f>
        <v/>
      </c>
    </row>
    <row r="10" customFormat="false" ht="61.5" hidden="false" customHeight="true" outlineLevel="0" collapsed="false">
      <c r="A10" s="13" t="s">
        <v>841</v>
      </c>
      <c r="B10" s="14" t="s">
        <v>573</v>
      </c>
      <c r="C10" s="15" t="s">
        <v>828</v>
      </c>
      <c r="D10" s="15" t="s">
        <v>842</v>
      </c>
      <c r="E10" s="28" t="s">
        <v>19</v>
      </c>
      <c r="F10" s="16"/>
      <c r="G10" s="16"/>
      <c r="H10" s="19" t="n">
        <f aca="false">LEN(IF(F10&lt;&gt;"",F10,D10))</f>
        <v>97</v>
      </c>
      <c r="I10" s="29" t="str">
        <f aca="false">IF(OR(H10&lt;60,H10&gt;220),"분량 확인","")</f>
        <v/>
      </c>
    </row>
    <row r="11" customFormat="false" ht="61.5" hidden="false" customHeight="true" outlineLevel="0" collapsed="false">
      <c r="A11" s="13" t="s">
        <v>843</v>
      </c>
      <c r="B11" s="14" t="s">
        <v>573</v>
      </c>
      <c r="C11" s="15" t="s">
        <v>831</v>
      </c>
      <c r="D11" s="15" t="s">
        <v>844</v>
      </c>
      <c r="E11" s="28" t="s">
        <v>19</v>
      </c>
      <c r="F11" s="16"/>
      <c r="G11" s="16"/>
      <c r="H11" s="19" t="n">
        <f aca="false">LEN(IF(F11&lt;&gt;"",F11,D11))</f>
        <v>105</v>
      </c>
      <c r="I11" s="29" t="str">
        <f aca="false">IF(OR(H11&lt;60,H11&gt;220),"분량 확인","")</f>
        <v/>
      </c>
    </row>
    <row r="12" customFormat="false" ht="61.5" hidden="false" customHeight="true" outlineLevel="0" collapsed="false">
      <c r="A12" s="13" t="s">
        <v>845</v>
      </c>
      <c r="B12" s="14" t="s">
        <v>573</v>
      </c>
      <c r="C12" s="15" t="s">
        <v>834</v>
      </c>
      <c r="D12" s="15" t="s">
        <v>846</v>
      </c>
      <c r="E12" s="28" t="s">
        <v>19</v>
      </c>
      <c r="F12" s="16"/>
      <c r="G12" s="16"/>
      <c r="H12" s="19" t="n">
        <f aca="false">LEN(IF(F12&lt;&gt;"",F12,D12))</f>
        <v>102</v>
      </c>
      <c r="I12" s="29" t="str">
        <f aca="false">IF(OR(H12&lt;60,H12&gt;220),"분량 확인","")</f>
        <v/>
      </c>
    </row>
    <row r="13" customFormat="false" ht="61.5" hidden="false" customHeight="true" outlineLevel="0" collapsed="false">
      <c r="A13" s="13" t="s">
        <v>847</v>
      </c>
      <c r="B13" s="14" t="s">
        <v>573</v>
      </c>
      <c r="C13" s="15" t="s">
        <v>837</v>
      </c>
      <c r="D13" s="15" t="s">
        <v>848</v>
      </c>
      <c r="E13" s="28" t="s">
        <v>19</v>
      </c>
      <c r="F13" s="16"/>
      <c r="G13" s="16"/>
      <c r="H13" s="19" t="n">
        <f aca="false">LEN(IF(F13&lt;&gt;"",F13,D13))</f>
        <v>109</v>
      </c>
      <c r="I13" s="29" t="str">
        <f aca="false">IF(OR(H13&lt;60,H13&gt;220),"분량 확인","")</f>
        <v/>
      </c>
    </row>
    <row r="14" customFormat="false" ht="61.5" hidden="false" customHeight="true" outlineLevel="0" collapsed="false">
      <c r="A14" s="13" t="s">
        <v>849</v>
      </c>
      <c r="B14" s="14" t="s">
        <v>585</v>
      </c>
      <c r="C14" s="15" t="s">
        <v>822</v>
      </c>
      <c r="D14" s="15" t="s">
        <v>850</v>
      </c>
      <c r="E14" s="28" t="s">
        <v>19</v>
      </c>
      <c r="F14" s="16"/>
      <c r="G14" s="16"/>
      <c r="H14" s="19" t="n">
        <f aca="false">LEN(IF(F14&lt;&gt;"",F14,D14))</f>
        <v>95</v>
      </c>
      <c r="I14" s="29" t="str">
        <f aca="false">IF(OR(H14&lt;60,H14&gt;220),"분량 확인","")</f>
        <v/>
      </c>
    </row>
    <row r="15" customFormat="false" ht="61.5" hidden="false" customHeight="true" outlineLevel="0" collapsed="false">
      <c r="A15" s="13" t="s">
        <v>851</v>
      </c>
      <c r="B15" s="14" t="s">
        <v>585</v>
      </c>
      <c r="C15" s="15" t="s">
        <v>825</v>
      </c>
      <c r="D15" s="15" t="s">
        <v>852</v>
      </c>
      <c r="E15" s="28" t="s">
        <v>19</v>
      </c>
      <c r="F15" s="16"/>
      <c r="G15" s="16"/>
      <c r="H15" s="19" t="n">
        <f aca="false">LEN(IF(F15&lt;&gt;"",F15,D15))</f>
        <v>93</v>
      </c>
      <c r="I15" s="29" t="str">
        <f aca="false">IF(OR(H15&lt;60,H15&gt;220),"분량 확인","")</f>
        <v/>
      </c>
    </row>
    <row r="16" customFormat="false" ht="61.5" hidden="false" customHeight="true" outlineLevel="0" collapsed="false">
      <c r="A16" s="13" t="s">
        <v>400</v>
      </c>
      <c r="B16" s="14" t="s">
        <v>585</v>
      </c>
      <c r="C16" s="15" t="s">
        <v>828</v>
      </c>
      <c r="D16" s="15" t="s">
        <v>403</v>
      </c>
      <c r="E16" s="28" t="s">
        <v>19</v>
      </c>
      <c r="F16" s="16"/>
      <c r="G16" s="17" t="s">
        <v>853</v>
      </c>
      <c r="H16" s="19" t="n">
        <f aca="false">LEN(IF(F16&lt;&gt;"",F16,D16))</f>
        <v>93</v>
      </c>
      <c r="I16" s="29" t="str">
        <f aca="false">IF(OR(H16&lt;60,H16&gt;220),"분량 확인","")</f>
        <v/>
      </c>
    </row>
    <row r="17" customFormat="false" ht="61.5" hidden="false" customHeight="true" outlineLevel="0" collapsed="false">
      <c r="A17" s="13" t="s">
        <v>854</v>
      </c>
      <c r="B17" s="14" t="s">
        <v>585</v>
      </c>
      <c r="C17" s="15" t="s">
        <v>831</v>
      </c>
      <c r="D17" s="15" t="s">
        <v>855</v>
      </c>
      <c r="E17" s="28" t="s">
        <v>19</v>
      </c>
      <c r="F17" s="16"/>
      <c r="G17" s="16"/>
      <c r="H17" s="19" t="n">
        <f aca="false">LEN(IF(F17&lt;&gt;"",F17,D17))</f>
        <v>107</v>
      </c>
      <c r="I17" s="29" t="str">
        <f aca="false">IF(OR(H17&lt;60,H17&gt;220),"분량 확인","")</f>
        <v/>
      </c>
    </row>
    <row r="18" customFormat="false" ht="48" hidden="false" customHeight="true" outlineLevel="0" collapsed="false">
      <c r="A18" s="13" t="s">
        <v>856</v>
      </c>
      <c r="B18" s="14" t="s">
        <v>585</v>
      </c>
      <c r="C18" s="15" t="s">
        <v>834</v>
      </c>
      <c r="D18" s="15" t="s">
        <v>857</v>
      </c>
      <c r="E18" s="28" t="s">
        <v>19</v>
      </c>
      <c r="F18" s="16"/>
      <c r="G18" s="16"/>
      <c r="H18" s="19" t="n">
        <f aca="false">LEN(IF(F18&lt;&gt;"",F18,D18))</f>
        <v>73</v>
      </c>
      <c r="I18" s="29" t="str">
        <f aca="false">IF(OR(H18&lt;60,H18&gt;220),"분량 확인","")</f>
        <v/>
      </c>
    </row>
    <row r="19" customFormat="false" ht="61.5" hidden="false" customHeight="true" outlineLevel="0" collapsed="false">
      <c r="A19" s="13" t="s">
        <v>858</v>
      </c>
      <c r="B19" s="14" t="s">
        <v>585</v>
      </c>
      <c r="C19" s="15" t="s">
        <v>837</v>
      </c>
      <c r="D19" s="15" t="s">
        <v>859</v>
      </c>
      <c r="E19" s="28" t="s">
        <v>19</v>
      </c>
      <c r="F19" s="16"/>
      <c r="G19" s="16"/>
      <c r="H19" s="19" t="n">
        <f aca="false">LEN(IF(F19&lt;&gt;"",F19,D19))</f>
        <v>108</v>
      </c>
      <c r="I19" s="29" t="str">
        <f aca="false">IF(OR(H19&lt;60,H19&gt;220),"분량 확인","")</f>
        <v/>
      </c>
    </row>
    <row r="20" customFormat="false" ht="48" hidden="false" customHeight="true" outlineLevel="0" collapsed="false">
      <c r="A20" s="13" t="s">
        <v>198</v>
      </c>
      <c r="B20" s="14" t="s">
        <v>596</v>
      </c>
      <c r="C20" s="15" t="s">
        <v>822</v>
      </c>
      <c r="D20" s="15" t="s">
        <v>201</v>
      </c>
      <c r="E20" s="28" t="s">
        <v>19</v>
      </c>
      <c r="F20" s="16"/>
      <c r="G20" s="17" t="s">
        <v>860</v>
      </c>
      <c r="H20" s="19" t="n">
        <f aca="false">LEN(IF(F20&lt;&gt;"",F20,D20))</f>
        <v>81</v>
      </c>
      <c r="I20" s="29" t="str">
        <f aca="false">IF(OR(H20&lt;60,H20&gt;220),"분량 확인","")</f>
        <v/>
      </c>
    </row>
    <row r="21" customFormat="false" ht="61.5" hidden="false" customHeight="true" outlineLevel="0" collapsed="false">
      <c r="A21" s="13" t="s">
        <v>861</v>
      </c>
      <c r="B21" s="14" t="s">
        <v>596</v>
      </c>
      <c r="C21" s="15" t="s">
        <v>825</v>
      </c>
      <c r="D21" s="15" t="s">
        <v>862</v>
      </c>
      <c r="E21" s="28" t="s">
        <v>19</v>
      </c>
      <c r="F21" s="16"/>
      <c r="G21" s="16"/>
      <c r="H21" s="19" t="n">
        <f aca="false">LEN(IF(F21&lt;&gt;"",F21,D21))</f>
        <v>107</v>
      </c>
      <c r="I21" s="29" t="str">
        <f aca="false">IF(OR(H21&lt;60,H21&gt;220),"분량 확인","")</f>
        <v/>
      </c>
    </row>
    <row r="22" customFormat="false" ht="61.5" hidden="false" customHeight="true" outlineLevel="0" collapsed="false">
      <c r="A22" s="13" t="s">
        <v>863</v>
      </c>
      <c r="B22" s="14" t="s">
        <v>596</v>
      </c>
      <c r="C22" s="15" t="s">
        <v>828</v>
      </c>
      <c r="D22" s="15" t="s">
        <v>864</v>
      </c>
      <c r="E22" s="28" t="s">
        <v>19</v>
      </c>
      <c r="F22" s="16"/>
      <c r="G22" s="16"/>
      <c r="H22" s="19" t="n">
        <f aca="false">LEN(IF(F22&lt;&gt;"",F22,D22))</f>
        <v>106</v>
      </c>
      <c r="I22" s="29" t="str">
        <f aca="false">IF(OR(H22&lt;60,H22&gt;220),"분량 확인","")</f>
        <v/>
      </c>
    </row>
    <row r="23" customFormat="false" ht="61.5" hidden="false" customHeight="true" outlineLevel="0" collapsed="false">
      <c r="A23" s="13" t="s">
        <v>440</v>
      </c>
      <c r="B23" s="14" t="s">
        <v>596</v>
      </c>
      <c r="C23" s="15" t="s">
        <v>831</v>
      </c>
      <c r="D23" s="15" t="s">
        <v>443</v>
      </c>
      <c r="E23" s="28" t="s">
        <v>19</v>
      </c>
      <c r="F23" s="16"/>
      <c r="G23" s="17" t="s">
        <v>865</v>
      </c>
      <c r="H23" s="19" t="n">
        <f aca="false">LEN(IF(F23&lt;&gt;"",F23,D23))</f>
        <v>93</v>
      </c>
      <c r="I23" s="29" t="str">
        <f aca="false">IF(OR(H23&lt;60,H23&gt;220),"분량 확인","")</f>
        <v/>
      </c>
    </row>
    <row r="24" customFormat="false" ht="61.5" hidden="false" customHeight="true" outlineLevel="0" collapsed="false">
      <c r="A24" s="13" t="s">
        <v>866</v>
      </c>
      <c r="B24" s="14" t="s">
        <v>596</v>
      </c>
      <c r="C24" s="15" t="s">
        <v>834</v>
      </c>
      <c r="D24" s="15" t="s">
        <v>867</v>
      </c>
      <c r="E24" s="28" t="s">
        <v>19</v>
      </c>
      <c r="F24" s="16"/>
      <c r="G24" s="16"/>
      <c r="H24" s="19" t="n">
        <f aca="false">LEN(IF(F24&lt;&gt;"",F24,D24))</f>
        <v>99</v>
      </c>
      <c r="I24" s="29" t="str">
        <f aca="false">IF(OR(H24&lt;60,H24&gt;220),"분량 확인","")</f>
        <v/>
      </c>
    </row>
    <row r="25" customFormat="false" ht="61.5" hidden="false" customHeight="true" outlineLevel="0" collapsed="false">
      <c r="A25" s="13" t="s">
        <v>868</v>
      </c>
      <c r="B25" s="14" t="s">
        <v>596</v>
      </c>
      <c r="C25" s="15" t="s">
        <v>837</v>
      </c>
      <c r="D25" s="15" t="s">
        <v>869</v>
      </c>
      <c r="E25" s="28" t="s">
        <v>19</v>
      </c>
      <c r="F25" s="16"/>
      <c r="G25" s="16"/>
      <c r="H25" s="19" t="n">
        <f aca="false">LEN(IF(F25&lt;&gt;"",F25,D25))</f>
        <v>106</v>
      </c>
      <c r="I25" s="29" t="str">
        <f aca="false">IF(OR(H25&lt;60,H25&gt;220),"분량 확인","")</f>
        <v/>
      </c>
    </row>
    <row r="26" customFormat="false" ht="48" hidden="false" customHeight="true" outlineLevel="0" collapsed="false">
      <c r="A26" s="13" t="s">
        <v>447</v>
      </c>
      <c r="B26" s="14" t="s">
        <v>608</v>
      </c>
      <c r="C26" s="15" t="s">
        <v>822</v>
      </c>
      <c r="D26" s="15" t="s">
        <v>450</v>
      </c>
      <c r="E26" s="28" t="s">
        <v>19</v>
      </c>
      <c r="F26" s="16"/>
      <c r="G26" s="17" t="s">
        <v>870</v>
      </c>
      <c r="H26" s="19" t="n">
        <f aca="false">LEN(IF(F26&lt;&gt;"",F26,D26))</f>
        <v>87</v>
      </c>
      <c r="I26" s="29" t="str">
        <f aca="false">IF(OR(H26&lt;60,H26&gt;220),"분량 확인","")</f>
        <v/>
      </c>
    </row>
    <row r="27" customFormat="false" ht="61.5" hidden="false" customHeight="true" outlineLevel="0" collapsed="false">
      <c r="A27" s="13" t="s">
        <v>871</v>
      </c>
      <c r="B27" s="14" t="s">
        <v>608</v>
      </c>
      <c r="C27" s="15" t="s">
        <v>825</v>
      </c>
      <c r="D27" s="15" t="s">
        <v>872</v>
      </c>
      <c r="E27" s="28" t="s">
        <v>19</v>
      </c>
      <c r="F27" s="16"/>
      <c r="G27" s="16"/>
      <c r="H27" s="19" t="n">
        <f aca="false">LEN(IF(F27&lt;&gt;"",F27,D27))</f>
        <v>88</v>
      </c>
      <c r="I27" s="29" t="str">
        <f aca="false">IF(OR(H27&lt;60,H27&gt;220),"분량 확인","")</f>
        <v/>
      </c>
    </row>
    <row r="28" customFormat="false" ht="61.5" hidden="false" customHeight="true" outlineLevel="0" collapsed="false">
      <c r="A28" s="13" t="s">
        <v>873</v>
      </c>
      <c r="B28" s="14" t="s">
        <v>608</v>
      </c>
      <c r="C28" s="15" t="s">
        <v>828</v>
      </c>
      <c r="D28" s="15" t="s">
        <v>874</v>
      </c>
      <c r="E28" s="28" t="s">
        <v>19</v>
      </c>
      <c r="F28" s="16"/>
      <c r="G28" s="16"/>
      <c r="H28" s="19" t="n">
        <f aca="false">LEN(IF(F28&lt;&gt;"",F28,D28))</f>
        <v>102</v>
      </c>
      <c r="I28" s="29" t="str">
        <f aca="false">IF(OR(H28&lt;60,H28&gt;220),"분량 확인","")</f>
        <v/>
      </c>
    </row>
    <row r="29" customFormat="false" ht="61.5" hidden="false" customHeight="true" outlineLevel="0" collapsed="false">
      <c r="A29" s="13" t="s">
        <v>875</v>
      </c>
      <c r="B29" s="14" t="s">
        <v>608</v>
      </c>
      <c r="C29" s="15" t="s">
        <v>831</v>
      </c>
      <c r="D29" s="15" t="s">
        <v>876</v>
      </c>
      <c r="E29" s="28" t="s">
        <v>19</v>
      </c>
      <c r="F29" s="16"/>
      <c r="G29" s="16"/>
      <c r="H29" s="19" t="n">
        <f aca="false">LEN(IF(F29&lt;&gt;"",F29,D29))</f>
        <v>106</v>
      </c>
      <c r="I29" s="29" t="str">
        <f aca="false">IF(OR(H29&lt;60,H29&gt;220),"분량 확인","")</f>
        <v/>
      </c>
    </row>
    <row r="30" customFormat="false" ht="48" hidden="false" customHeight="true" outlineLevel="0" collapsed="false">
      <c r="A30" s="13" t="s">
        <v>877</v>
      </c>
      <c r="B30" s="14" t="s">
        <v>608</v>
      </c>
      <c r="C30" s="15" t="s">
        <v>834</v>
      </c>
      <c r="D30" s="15" t="s">
        <v>878</v>
      </c>
      <c r="E30" s="28" t="s">
        <v>19</v>
      </c>
      <c r="F30" s="16"/>
      <c r="G30" s="16"/>
      <c r="H30" s="19" t="n">
        <f aca="false">LEN(IF(F30&lt;&gt;"",F30,D30))</f>
        <v>87</v>
      </c>
      <c r="I30" s="29" t="str">
        <f aca="false">IF(OR(H30&lt;60,H30&gt;220),"분량 확인","")</f>
        <v/>
      </c>
    </row>
    <row r="31" customFormat="false" ht="61.5" hidden="false" customHeight="true" outlineLevel="0" collapsed="false">
      <c r="A31" s="13" t="s">
        <v>879</v>
      </c>
      <c r="B31" s="14" t="s">
        <v>608</v>
      </c>
      <c r="C31" s="15" t="s">
        <v>837</v>
      </c>
      <c r="D31" s="15" t="s">
        <v>880</v>
      </c>
      <c r="E31" s="28" t="s">
        <v>19</v>
      </c>
      <c r="F31" s="16"/>
      <c r="G31" s="16"/>
      <c r="H31" s="19" t="n">
        <f aca="false">LEN(IF(F31&lt;&gt;"",F31,D31))</f>
        <v>105</v>
      </c>
      <c r="I31" s="29" t="str">
        <f aca="false">IF(OR(H31&lt;60,H31&gt;220),"분량 확인","")</f>
        <v/>
      </c>
    </row>
    <row r="32" customFormat="false" ht="48" hidden="false" customHeight="true" outlineLevel="0" collapsed="false">
      <c r="A32" s="13" t="s">
        <v>470</v>
      </c>
      <c r="B32" s="14" t="s">
        <v>620</v>
      </c>
      <c r="C32" s="15" t="s">
        <v>822</v>
      </c>
      <c r="D32" s="15" t="s">
        <v>473</v>
      </c>
      <c r="E32" s="28" t="s">
        <v>19</v>
      </c>
      <c r="F32" s="16"/>
      <c r="G32" s="17" t="s">
        <v>881</v>
      </c>
      <c r="H32" s="19" t="n">
        <f aca="false">LEN(IF(F32&lt;&gt;"",F32,D32))</f>
        <v>83</v>
      </c>
      <c r="I32" s="29" t="str">
        <f aca="false">IF(OR(H32&lt;60,H32&gt;220),"분량 확인","")</f>
        <v/>
      </c>
    </row>
    <row r="33" customFormat="false" ht="61.5" hidden="false" customHeight="true" outlineLevel="0" collapsed="false">
      <c r="A33" s="13" t="s">
        <v>882</v>
      </c>
      <c r="B33" s="14" t="s">
        <v>620</v>
      </c>
      <c r="C33" s="15" t="s">
        <v>825</v>
      </c>
      <c r="D33" s="15" t="s">
        <v>883</v>
      </c>
      <c r="E33" s="28" t="s">
        <v>19</v>
      </c>
      <c r="F33" s="16"/>
      <c r="G33" s="16"/>
      <c r="H33" s="19" t="n">
        <f aca="false">LEN(IF(F33&lt;&gt;"",F33,D33))</f>
        <v>110</v>
      </c>
      <c r="I33" s="29" t="str">
        <f aca="false">IF(OR(H33&lt;60,H33&gt;220),"분량 확인","")</f>
        <v/>
      </c>
    </row>
    <row r="34" customFormat="false" ht="61.5" hidden="false" customHeight="true" outlineLevel="0" collapsed="false">
      <c r="A34" s="13" t="s">
        <v>884</v>
      </c>
      <c r="B34" s="14" t="s">
        <v>620</v>
      </c>
      <c r="C34" s="15" t="s">
        <v>828</v>
      </c>
      <c r="D34" s="15" t="s">
        <v>885</v>
      </c>
      <c r="E34" s="28" t="s">
        <v>19</v>
      </c>
      <c r="F34" s="16"/>
      <c r="G34" s="16"/>
      <c r="H34" s="19" t="n">
        <f aca="false">LEN(IF(F34&lt;&gt;"",F34,D34))</f>
        <v>99</v>
      </c>
      <c r="I34" s="29" t="str">
        <f aca="false">IF(OR(H34&lt;60,H34&gt;220),"분량 확인","")</f>
        <v/>
      </c>
    </row>
    <row r="35" customFormat="false" ht="61.5" hidden="false" customHeight="true" outlineLevel="0" collapsed="false">
      <c r="A35" s="13" t="s">
        <v>886</v>
      </c>
      <c r="B35" s="14" t="s">
        <v>620</v>
      </c>
      <c r="C35" s="15" t="s">
        <v>831</v>
      </c>
      <c r="D35" s="15" t="s">
        <v>887</v>
      </c>
      <c r="E35" s="28" t="s">
        <v>19</v>
      </c>
      <c r="F35" s="16"/>
      <c r="G35" s="16"/>
      <c r="H35" s="19" t="n">
        <f aca="false">LEN(IF(F35&lt;&gt;"",F35,D35))</f>
        <v>99</v>
      </c>
      <c r="I35" s="29" t="str">
        <f aca="false">IF(OR(H35&lt;60,H35&gt;220),"분량 확인","")</f>
        <v/>
      </c>
    </row>
    <row r="36" customFormat="false" ht="61.5" hidden="false" customHeight="true" outlineLevel="0" collapsed="false">
      <c r="A36" s="13" t="s">
        <v>474</v>
      </c>
      <c r="B36" s="14" t="s">
        <v>620</v>
      </c>
      <c r="C36" s="15" t="s">
        <v>834</v>
      </c>
      <c r="D36" s="15" t="s">
        <v>477</v>
      </c>
      <c r="E36" s="28" t="s">
        <v>19</v>
      </c>
      <c r="F36" s="16"/>
      <c r="G36" s="17" t="s">
        <v>888</v>
      </c>
      <c r="H36" s="19" t="n">
        <f aca="false">LEN(IF(F36&lt;&gt;"",F36,D36))</f>
        <v>109</v>
      </c>
      <c r="I36" s="29" t="str">
        <f aca="false">IF(OR(H36&lt;60,H36&gt;220),"분량 확인","")</f>
        <v/>
      </c>
    </row>
    <row r="37" customFormat="false" ht="61.5" hidden="false" customHeight="true" outlineLevel="0" collapsed="false">
      <c r="A37" s="13" t="s">
        <v>889</v>
      </c>
      <c r="B37" s="14" t="s">
        <v>620</v>
      </c>
      <c r="C37" s="15" t="s">
        <v>837</v>
      </c>
      <c r="D37" s="15" t="s">
        <v>890</v>
      </c>
      <c r="E37" s="28" t="s">
        <v>19</v>
      </c>
      <c r="F37" s="16"/>
      <c r="G37" s="16"/>
      <c r="H37" s="19" t="n">
        <f aca="false">LEN(IF(F37&lt;&gt;"",F37,D37))</f>
        <v>104</v>
      </c>
      <c r="I37" s="29" t="str">
        <f aca="false">IF(OR(H37&lt;60,H37&gt;220),"분량 확인","")</f>
        <v/>
      </c>
    </row>
    <row r="38" customFormat="false" ht="61.5" hidden="false" customHeight="true" outlineLevel="0" collapsed="false">
      <c r="A38" s="13" t="s">
        <v>891</v>
      </c>
      <c r="B38" s="14" t="s">
        <v>632</v>
      </c>
      <c r="C38" s="15" t="s">
        <v>822</v>
      </c>
      <c r="D38" s="15" t="s">
        <v>892</v>
      </c>
      <c r="E38" s="28" t="s">
        <v>19</v>
      </c>
      <c r="F38" s="16"/>
      <c r="G38" s="16"/>
      <c r="H38" s="19" t="n">
        <f aca="false">LEN(IF(F38&lt;&gt;"",F38,D38))</f>
        <v>95</v>
      </c>
      <c r="I38" s="29" t="str">
        <f aca="false">IF(OR(H38&lt;60,H38&gt;220),"분량 확인","")</f>
        <v/>
      </c>
    </row>
    <row r="39" customFormat="false" ht="61.5" hidden="false" customHeight="true" outlineLevel="0" collapsed="false">
      <c r="A39" s="13" t="s">
        <v>485</v>
      </c>
      <c r="B39" s="14" t="s">
        <v>632</v>
      </c>
      <c r="C39" s="15" t="s">
        <v>825</v>
      </c>
      <c r="D39" s="15" t="s">
        <v>488</v>
      </c>
      <c r="E39" s="28" t="s">
        <v>19</v>
      </c>
      <c r="F39" s="16"/>
      <c r="G39" s="17" t="s">
        <v>893</v>
      </c>
      <c r="H39" s="19" t="n">
        <f aca="false">LEN(IF(F39&lt;&gt;"",F39,D39))</f>
        <v>106</v>
      </c>
      <c r="I39" s="29" t="str">
        <f aca="false">IF(OR(H39&lt;60,H39&gt;220),"분량 확인","")</f>
        <v/>
      </c>
    </row>
    <row r="40" customFormat="false" ht="61.5" hidden="false" customHeight="true" outlineLevel="0" collapsed="false">
      <c r="A40" s="13" t="s">
        <v>481</v>
      </c>
      <c r="B40" s="14" t="s">
        <v>632</v>
      </c>
      <c r="C40" s="15" t="s">
        <v>828</v>
      </c>
      <c r="D40" s="15" t="s">
        <v>484</v>
      </c>
      <c r="E40" s="28" t="s">
        <v>19</v>
      </c>
      <c r="F40" s="16"/>
      <c r="G40" s="17" t="s">
        <v>894</v>
      </c>
      <c r="H40" s="19" t="n">
        <f aca="false">LEN(IF(F40&lt;&gt;"",F40,D40))</f>
        <v>100</v>
      </c>
      <c r="I40" s="29" t="str">
        <f aca="false">IF(OR(H40&lt;60,H40&gt;220),"분량 확인","")</f>
        <v/>
      </c>
    </row>
    <row r="41" customFormat="false" ht="61.5" hidden="false" customHeight="true" outlineLevel="0" collapsed="false">
      <c r="A41" s="13" t="s">
        <v>895</v>
      </c>
      <c r="B41" s="14" t="s">
        <v>632</v>
      </c>
      <c r="C41" s="15" t="s">
        <v>831</v>
      </c>
      <c r="D41" s="15" t="s">
        <v>896</v>
      </c>
      <c r="E41" s="28" t="s">
        <v>19</v>
      </c>
      <c r="F41" s="16"/>
      <c r="G41" s="16"/>
      <c r="H41" s="19" t="n">
        <f aca="false">LEN(IF(F41&lt;&gt;"",F41,D41))</f>
        <v>108</v>
      </c>
      <c r="I41" s="29" t="str">
        <f aca="false">IF(OR(H41&lt;60,H41&gt;220),"분량 확인","")</f>
        <v/>
      </c>
    </row>
    <row r="42" customFormat="false" ht="61.5" hidden="false" customHeight="true" outlineLevel="0" collapsed="false">
      <c r="A42" s="13" t="s">
        <v>897</v>
      </c>
      <c r="B42" s="14" t="s">
        <v>632</v>
      </c>
      <c r="C42" s="15" t="s">
        <v>834</v>
      </c>
      <c r="D42" s="15" t="s">
        <v>898</v>
      </c>
      <c r="E42" s="28" t="s">
        <v>19</v>
      </c>
      <c r="F42" s="16"/>
      <c r="G42" s="16"/>
      <c r="H42" s="19" t="n">
        <f aca="false">LEN(IF(F42&lt;&gt;"",F42,D42))</f>
        <v>88</v>
      </c>
      <c r="I42" s="29" t="str">
        <f aca="false">IF(OR(H42&lt;60,H42&gt;220),"분량 확인","")</f>
        <v/>
      </c>
    </row>
    <row r="43" customFormat="false" ht="61.5" hidden="false" customHeight="true" outlineLevel="0" collapsed="false">
      <c r="A43" s="13" t="s">
        <v>142</v>
      </c>
      <c r="B43" s="14" t="s">
        <v>632</v>
      </c>
      <c r="C43" s="15" t="s">
        <v>837</v>
      </c>
      <c r="D43" s="15" t="s">
        <v>145</v>
      </c>
      <c r="E43" s="28" t="s">
        <v>19</v>
      </c>
      <c r="F43" s="16"/>
      <c r="G43" s="17" t="s">
        <v>899</v>
      </c>
      <c r="H43" s="19" t="n">
        <f aca="false">LEN(IF(F43&lt;&gt;"",F43,D43))</f>
        <v>112</v>
      </c>
      <c r="I43" s="29" t="str">
        <f aca="false">IF(OR(H43&lt;60,H43&gt;220),"분량 확인","")</f>
        <v/>
      </c>
    </row>
    <row r="44" customFormat="false" ht="61.5" hidden="false" customHeight="true" outlineLevel="0" collapsed="false">
      <c r="A44" s="13" t="s">
        <v>900</v>
      </c>
      <c r="B44" s="14" t="s">
        <v>645</v>
      </c>
      <c r="C44" s="15" t="s">
        <v>822</v>
      </c>
      <c r="D44" s="15" t="s">
        <v>901</v>
      </c>
      <c r="E44" s="28" t="s">
        <v>19</v>
      </c>
      <c r="F44" s="16"/>
      <c r="G44" s="16"/>
      <c r="H44" s="19" t="n">
        <f aca="false">LEN(IF(F44&lt;&gt;"",F44,D44))</f>
        <v>95</v>
      </c>
      <c r="I44" s="29" t="str">
        <f aca="false">IF(OR(H44&lt;60,H44&gt;220),"분량 확인","")</f>
        <v/>
      </c>
    </row>
    <row r="45" customFormat="false" ht="48" hidden="false" customHeight="true" outlineLevel="0" collapsed="false">
      <c r="A45" s="13" t="s">
        <v>902</v>
      </c>
      <c r="B45" s="14" t="s">
        <v>645</v>
      </c>
      <c r="C45" s="15" t="s">
        <v>825</v>
      </c>
      <c r="D45" s="15" t="s">
        <v>903</v>
      </c>
      <c r="E45" s="28" t="s">
        <v>19</v>
      </c>
      <c r="F45" s="16"/>
      <c r="G45" s="16"/>
      <c r="H45" s="19" t="n">
        <f aca="false">LEN(IF(F45&lt;&gt;"",F45,D45))</f>
        <v>72</v>
      </c>
      <c r="I45" s="29" t="str">
        <f aca="false">IF(OR(H45&lt;60,H45&gt;220),"분량 확인","")</f>
        <v/>
      </c>
    </row>
    <row r="46" customFormat="false" ht="48" hidden="false" customHeight="true" outlineLevel="0" collapsed="false">
      <c r="A46" s="13" t="s">
        <v>904</v>
      </c>
      <c r="B46" s="14" t="s">
        <v>645</v>
      </c>
      <c r="C46" s="15" t="s">
        <v>828</v>
      </c>
      <c r="D46" s="15" t="s">
        <v>905</v>
      </c>
      <c r="E46" s="28" t="s">
        <v>19</v>
      </c>
      <c r="F46" s="16"/>
      <c r="G46" s="16"/>
      <c r="H46" s="19" t="n">
        <f aca="false">LEN(IF(F46&lt;&gt;"",F46,D46))</f>
        <v>86</v>
      </c>
      <c r="I46" s="29" t="str">
        <f aca="false">IF(OR(H46&lt;60,H46&gt;220),"분량 확인","")</f>
        <v/>
      </c>
    </row>
    <row r="47" customFormat="false" ht="61.5" hidden="false" customHeight="true" outlineLevel="0" collapsed="false">
      <c r="A47" s="13" t="s">
        <v>496</v>
      </c>
      <c r="B47" s="14" t="s">
        <v>645</v>
      </c>
      <c r="C47" s="15" t="s">
        <v>831</v>
      </c>
      <c r="D47" s="15" t="s">
        <v>499</v>
      </c>
      <c r="E47" s="28" t="s">
        <v>19</v>
      </c>
      <c r="F47" s="16"/>
      <c r="G47" s="17" t="s">
        <v>906</v>
      </c>
      <c r="H47" s="19" t="n">
        <f aca="false">LEN(IF(F47&lt;&gt;"",F47,D47))</f>
        <v>103</v>
      </c>
      <c r="I47" s="29" t="str">
        <f aca="false">IF(OR(H47&lt;60,H47&gt;220),"분량 확인","")</f>
        <v/>
      </c>
    </row>
    <row r="48" customFormat="false" ht="61.5" hidden="false" customHeight="true" outlineLevel="0" collapsed="false">
      <c r="A48" s="13" t="s">
        <v>907</v>
      </c>
      <c r="B48" s="14" t="s">
        <v>645</v>
      </c>
      <c r="C48" s="15" t="s">
        <v>834</v>
      </c>
      <c r="D48" s="15" t="s">
        <v>908</v>
      </c>
      <c r="E48" s="28" t="s">
        <v>19</v>
      </c>
      <c r="F48" s="16"/>
      <c r="G48" s="16"/>
      <c r="H48" s="19" t="n">
        <f aca="false">LEN(IF(F48&lt;&gt;"",F48,D48))</f>
        <v>96</v>
      </c>
      <c r="I48" s="29" t="str">
        <f aca="false">IF(OR(H48&lt;60,H48&gt;220),"분량 확인","")</f>
        <v/>
      </c>
    </row>
    <row r="49" customFormat="false" ht="61.5" hidden="false" customHeight="true" outlineLevel="0" collapsed="false">
      <c r="A49" s="13" t="s">
        <v>909</v>
      </c>
      <c r="B49" s="14" t="s">
        <v>645</v>
      </c>
      <c r="C49" s="15" t="s">
        <v>837</v>
      </c>
      <c r="D49" s="15" t="s">
        <v>910</v>
      </c>
      <c r="E49" s="28" t="s">
        <v>19</v>
      </c>
      <c r="F49" s="16"/>
      <c r="G49" s="16"/>
      <c r="H49" s="19" t="n">
        <f aca="false">LEN(IF(F49&lt;&gt;"",F49,D49))</f>
        <v>107</v>
      </c>
      <c r="I49" s="29" t="str">
        <f aca="false">IF(OR(H49&lt;60,H49&gt;220),"분량 확인","")</f>
        <v/>
      </c>
    </row>
    <row r="50" customFormat="false" ht="61.5" hidden="false" customHeight="true" outlineLevel="0" collapsed="false">
      <c r="A50" s="13" t="s">
        <v>163</v>
      </c>
      <c r="B50" s="14" t="s">
        <v>655</v>
      </c>
      <c r="C50" s="15" t="s">
        <v>822</v>
      </c>
      <c r="D50" s="15" t="s">
        <v>166</v>
      </c>
      <c r="E50" s="28" t="s">
        <v>19</v>
      </c>
      <c r="F50" s="16"/>
      <c r="G50" s="17" t="s">
        <v>911</v>
      </c>
      <c r="H50" s="19" t="n">
        <f aca="false">LEN(IF(F50&lt;&gt;"",F50,D50))</f>
        <v>90</v>
      </c>
      <c r="I50" s="29" t="str">
        <f aca="false">IF(OR(H50&lt;60,H50&gt;220),"분량 확인","")</f>
        <v/>
      </c>
    </row>
    <row r="51" customFormat="false" ht="61.5" hidden="false" customHeight="true" outlineLevel="0" collapsed="false">
      <c r="A51" s="13" t="s">
        <v>912</v>
      </c>
      <c r="B51" s="14" t="s">
        <v>655</v>
      </c>
      <c r="C51" s="15" t="s">
        <v>825</v>
      </c>
      <c r="D51" s="15" t="s">
        <v>913</v>
      </c>
      <c r="E51" s="28" t="s">
        <v>19</v>
      </c>
      <c r="F51" s="16"/>
      <c r="G51" s="16"/>
      <c r="H51" s="19" t="n">
        <f aca="false">LEN(IF(F51&lt;&gt;"",F51,D51))</f>
        <v>94</v>
      </c>
      <c r="I51" s="29" t="str">
        <f aca="false">IF(OR(H51&lt;60,H51&gt;220),"분량 확인","")</f>
        <v/>
      </c>
    </row>
    <row r="52" customFormat="false" ht="48" hidden="false" customHeight="true" outlineLevel="0" collapsed="false">
      <c r="A52" s="13" t="s">
        <v>914</v>
      </c>
      <c r="B52" s="14" t="s">
        <v>655</v>
      </c>
      <c r="C52" s="15" t="s">
        <v>828</v>
      </c>
      <c r="D52" s="15" t="s">
        <v>915</v>
      </c>
      <c r="E52" s="28" t="s">
        <v>19</v>
      </c>
      <c r="F52" s="16"/>
      <c r="G52" s="16"/>
      <c r="H52" s="19" t="n">
        <f aca="false">LEN(IF(F52&lt;&gt;"",F52,D52))</f>
        <v>73</v>
      </c>
      <c r="I52" s="29" t="str">
        <f aca="false">IF(OR(H52&lt;60,H52&gt;220),"분량 확인","")</f>
        <v/>
      </c>
    </row>
    <row r="53" customFormat="false" ht="61.5" hidden="false" customHeight="true" outlineLevel="0" collapsed="false">
      <c r="A53" s="13" t="s">
        <v>507</v>
      </c>
      <c r="B53" s="14" t="s">
        <v>655</v>
      </c>
      <c r="C53" s="15" t="s">
        <v>831</v>
      </c>
      <c r="D53" s="15" t="s">
        <v>510</v>
      </c>
      <c r="E53" s="28" t="s">
        <v>19</v>
      </c>
      <c r="F53" s="16"/>
      <c r="G53" s="17" t="s">
        <v>916</v>
      </c>
      <c r="H53" s="19" t="n">
        <f aca="false">LEN(IF(F53&lt;&gt;"",F53,D53))</f>
        <v>96</v>
      </c>
      <c r="I53" s="29" t="str">
        <f aca="false">IF(OR(H53&lt;60,H53&gt;220),"분량 확인","")</f>
        <v/>
      </c>
    </row>
    <row r="54" customFormat="false" ht="61.5" hidden="false" customHeight="true" outlineLevel="0" collapsed="false">
      <c r="A54" s="13" t="s">
        <v>167</v>
      </c>
      <c r="B54" s="14" t="s">
        <v>655</v>
      </c>
      <c r="C54" s="15" t="s">
        <v>834</v>
      </c>
      <c r="D54" s="15" t="s">
        <v>170</v>
      </c>
      <c r="E54" s="28" t="s">
        <v>19</v>
      </c>
      <c r="F54" s="16"/>
      <c r="G54" s="17" t="s">
        <v>917</v>
      </c>
      <c r="H54" s="19" t="n">
        <f aca="false">LEN(IF(F54&lt;&gt;"",F54,D54))</f>
        <v>102</v>
      </c>
      <c r="I54" s="29" t="str">
        <f aca="false">IF(OR(H54&lt;60,H54&gt;220),"분량 확인","")</f>
        <v/>
      </c>
    </row>
    <row r="55" customFormat="false" ht="61.5" hidden="false" customHeight="true" outlineLevel="0" collapsed="false">
      <c r="A55" s="13" t="s">
        <v>511</v>
      </c>
      <c r="B55" s="14" t="s">
        <v>655</v>
      </c>
      <c r="C55" s="15" t="s">
        <v>837</v>
      </c>
      <c r="D55" s="15" t="s">
        <v>514</v>
      </c>
      <c r="E55" s="28" t="s">
        <v>19</v>
      </c>
      <c r="F55" s="16"/>
      <c r="G55" s="17" t="s">
        <v>918</v>
      </c>
      <c r="H55" s="19" t="n">
        <f aca="false">LEN(IF(F55&lt;&gt;"",F55,D55))</f>
        <v>105</v>
      </c>
      <c r="I55" s="29" t="str">
        <f aca="false">IF(OR(H55&lt;60,H55&gt;220),"분량 확인","")</f>
        <v/>
      </c>
    </row>
    <row r="56" customFormat="false" ht="61.5" hidden="false" customHeight="true" outlineLevel="0" collapsed="false">
      <c r="A56" s="13" t="s">
        <v>919</v>
      </c>
      <c r="B56" s="14" t="s">
        <v>668</v>
      </c>
      <c r="C56" s="15" t="s">
        <v>822</v>
      </c>
      <c r="D56" s="15" t="s">
        <v>920</v>
      </c>
      <c r="E56" s="28" t="s">
        <v>19</v>
      </c>
      <c r="F56" s="16"/>
      <c r="G56" s="16"/>
      <c r="H56" s="19" t="n">
        <f aca="false">LEN(IF(F56&lt;&gt;"",F56,D56))</f>
        <v>95</v>
      </c>
      <c r="I56" s="29" t="str">
        <f aca="false">IF(OR(H56&lt;60,H56&gt;220),"분량 확인","")</f>
        <v/>
      </c>
    </row>
    <row r="57" customFormat="false" ht="61.5" hidden="false" customHeight="true" outlineLevel="0" collapsed="false">
      <c r="A57" s="13" t="s">
        <v>921</v>
      </c>
      <c r="B57" s="14" t="s">
        <v>668</v>
      </c>
      <c r="C57" s="15" t="s">
        <v>825</v>
      </c>
      <c r="D57" s="15" t="s">
        <v>922</v>
      </c>
      <c r="E57" s="28" t="s">
        <v>19</v>
      </c>
      <c r="F57" s="16"/>
      <c r="G57" s="16"/>
      <c r="H57" s="19" t="n">
        <f aca="false">LEN(IF(F57&lt;&gt;"",F57,D57))</f>
        <v>104</v>
      </c>
      <c r="I57" s="29" t="str">
        <f aca="false">IF(OR(H57&lt;60,H57&gt;220),"분량 확인","")</f>
        <v/>
      </c>
    </row>
    <row r="58" customFormat="false" ht="48" hidden="false" customHeight="true" outlineLevel="0" collapsed="false">
      <c r="A58" s="13" t="s">
        <v>923</v>
      </c>
      <c r="B58" s="14" t="s">
        <v>668</v>
      </c>
      <c r="C58" s="15" t="s">
        <v>828</v>
      </c>
      <c r="D58" s="15" t="s">
        <v>924</v>
      </c>
      <c r="E58" s="28" t="s">
        <v>19</v>
      </c>
      <c r="F58" s="16"/>
      <c r="G58" s="16"/>
      <c r="H58" s="19" t="n">
        <f aca="false">LEN(IF(F58&lt;&gt;"",F58,D58))</f>
        <v>85</v>
      </c>
      <c r="I58" s="29" t="str">
        <f aca="false">IF(OR(H58&lt;60,H58&gt;220),"분량 확인","")</f>
        <v/>
      </c>
    </row>
    <row r="59" customFormat="false" ht="61.5" hidden="false" customHeight="true" outlineLevel="0" collapsed="false">
      <c r="A59" s="13" t="s">
        <v>925</v>
      </c>
      <c r="B59" s="14" t="s">
        <v>668</v>
      </c>
      <c r="C59" s="15" t="s">
        <v>831</v>
      </c>
      <c r="D59" s="15" t="s">
        <v>926</v>
      </c>
      <c r="E59" s="28" t="s">
        <v>19</v>
      </c>
      <c r="F59" s="16"/>
      <c r="G59" s="16"/>
      <c r="H59" s="19" t="n">
        <f aca="false">LEN(IF(F59&lt;&gt;"",F59,D59))</f>
        <v>114</v>
      </c>
      <c r="I59" s="29" t="str">
        <f aca="false">IF(OR(H59&lt;60,H59&gt;220),"분량 확인","")</f>
        <v/>
      </c>
    </row>
    <row r="60" customFormat="false" ht="61.5" hidden="false" customHeight="true" outlineLevel="0" collapsed="false">
      <c r="A60" s="13" t="s">
        <v>927</v>
      </c>
      <c r="B60" s="14" t="s">
        <v>668</v>
      </c>
      <c r="C60" s="15" t="s">
        <v>834</v>
      </c>
      <c r="D60" s="15" t="s">
        <v>928</v>
      </c>
      <c r="E60" s="28" t="s">
        <v>19</v>
      </c>
      <c r="F60" s="16"/>
      <c r="G60" s="16"/>
      <c r="H60" s="19" t="n">
        <f aca="false">LEN(IF(F60&lt;&gt;"",F60,D60))</f>
        <v>102</v>
      </c>
      <c r="I60" s="29" t="str">
        <f aca="false">IF(OR(H60&lt;60,H60&gt;220),"분량 확인","")</f>
        <v/>
      </c>
    </row>
    <row r="61" customFormat="false" ht="61.5" hidden="false" customHeight="true" outlineLevel="0" collapsed="false">
      <c r="A61" s="13" t="s">
        <v>929</v>
      </c>
      <c r="B61" s="14" t="s">
        <v>668</v>
      </c>
      <c r="C61" s="15" t="s">
        <v>837</v>
      </c>
      <c r="D61" s="15" t="s">
        <v>930</v>
      </c>
      <c r="E61" s="28" t="s">
        <v>19</v>
      </c>
      <c r="F61" s="16"/>
      <c r="G61" s="16"/>
      <c r="H61" s="19" t="n">
        <f aca="false">LEN(IF(F61&lt;&gt;"",F61,D61))</f>
        <v>111</v>
      </c>
      <c r="I61" s="29" t="str">
        <f aca="false">IF(OR(H61&lt;60,H61&gt;220),"분량 확인","")</f>
        <v/>
      </c>
    </row>
    <row r="62" customFormat="false" ht="61.5" hidden="false" customHeight="true" outlineLevel="0" collapsed="false">
      <c r="A62" s="13" t="s">
        <v>931</v>
      </c>
      <c r="B62" s="14" t="s">
        <v>680</v>
      </c>
      <c r="C62" s="15" t="s">
        <v>822</v>
      </c>
      <c r="D62" s="15" t="s">
        <v>932</v>
      </c>
      <c r="E62" s="28" t="s">
        <v>19</v>
      </c>
      <c r="F62" s="16"/>
      <c r="G62" s="16"/>
      <c r="H62" s="19" t="n">
        <f aca="false">LEN(IF(F62&lt;&gt;"",F62,D62))</f>
        <v>105</v>
      </c>
      <c r="I62" s="29" t="str">
        <f aca="false">IF(OR(H62&lt;60,H62&gt;220),"분량 확인","")</f>
        <v/>
      </c>
    </row>
    <row r="63" customFormat="false" ht="61.5" hidden="false" customHeight="true" outlineLevel="0" collapsed="false">
      <c r="A63" s="13" t="s">
        <v>933</v>
      </c>
      <c r="B63" s="14" t="s">
        <v>680</v>
      </c>
      <c r="C63" s="15" t="s">
        <v>825</v>
      </c>
      <c r="D63" s="15" t="s">
        <v>934</v>
      </c>
      <c r="E63" s="28" t="s">
        <v>19</v>
      </c>
      <c r="F63" s="16"/>
      <c r="G63" s="16"/>
      <c r="H63" s="19" t="n">
        <f aca="false">LEN(IF(F63&lt;&gt;"",F63,D63))</f>
        <v>96</v>
      </c>
      <c r="I63" s="29" t="str">
        <f aca="false">IF(OR(H63&lt;60,H63&gt;220),"분량 확인","")</f>
        <v/>
      </c>
    </row>
    <row r="64" customFormat="false" ht="48" hidden="false" customHeight="true" outlineLevel="0" collapsed="false">
      <c r="A64" s="13" t="s">
        <v>278</v>
      </c>
      <c r="B64" s="14" t="s">
        <v>680</v>
      </c>
      <c r="C64" s="15" t="s">
        <v>828</v>
      </c>
      <c r="D64" s="15" t="s">
        <v>281</v>
      </c>
      <c r="E64" s="28" t="s">
        <v>19</v>
      </c>
      <c r="F64" s="16"/>
      <c r="G64" s="17" t="s">
        <v>935</v>
      </c>
      <c r="H64" s="19" t="n">
        <f aca="false">LEN(IF(F64&lt;&gt;"",F64,D64))</f>
        <v>69</v>
      </c>
      <c r="I64" s="29" t="str">
        <f aca="false">IF(OR(H64&lt;60,H64&gt;220),"분량 확인","")</f>
        <v/>
      </c>
    </row>
    <row r="65" customFormat="false" ht="61.5" hidden="false" customHeight="true" outlineLevel="0" collapsed="false">
      <c r="A65" s="13" t="s">
        <v>282</v>
      </c>
      <c r="B65" s="14" t="s">
        <v>680</v>
      </c>
      <c r="C65" s="15" t="s">
        <v>831</v>
      </c>
      <c r="D65" s="15" t="s">
        <v>285</v>
      </c>
      <c r="E65" s="28" t="s">
        <v>19</v>
      </c>
      <c r="F65" s="16"/>
      <c r="G65" s="17" t="s">
        <v>936</v>
      </c>
      <c r="H65" s="19" t="n">
        <f aca="false">LEN(IF(F65&lt;&gt;"",F65,D65))</f>
        <v>110</v>
      </c>
      <c r="I65" s="29" t="str">
        <f aca="false">IF(OR(H65&lt;60,H65&gt;220),"분량 확인","")</f>
        <v/>
      </c>
    </row>
    <row r="66" customFormat="false" ht="48" hidden="false" customHeight="true" outlineLevel="0" collapsed="false">
      <c r="A66" s="13" t="s">
        <v>937</v>
      </c>
      <c r="B66" s="14" t="s">
        <v>680</v>
      </c>
      <c r="C66" s="15" t="s">
        <v>834</v>
      </c>
      <c r="D66" s="15" t="s">
        <v>938</v>
      </c>
      <c r="E66" s="28" t="s">
        <v>19</v>
      </c>
      <c r="F66" s="16"/>
      <c r="G66" s="16"/>
      <c r="H66" s="19" t="n">
        <f aca="false">LEN(IF(F66&lt;&gt;"",F66,D66))</f>
        <v>79</v>
      </c>
      <c r="I66" s="29" t="str">
        <f aca="false">IF(OR(H66&lt;60,H66&gt;220),"분량 확인","")</f>
        <v/>
      </c>
    </row>
    <row r="67" customFormat="false" ht="61.5" hidden="false" customHeight="true" outlineLevel="0" collapsed="false">
      <c r="A67" s="13" t="s">
        <v>939</v>
      </c>
      <c r="B67" s="14" t="s">
        <v>680</v>
      </c>
      <c r="C67" s="15" t="s">
        <v>837</v>
      </c>
      <c r="D67" s="15" t="s">
        <v>940</v>
      </c>
      <c r="E67" s="28" t="s">
        <v>19</v>
      </c>
      <c r="F67" s="16"/>
      <c r="G67" s="16"/>
      <c r="H67" s="19" t="n">
        <f aca="false">LEN(IF(F67&lt;&gt;"",F67,D67))</f>
        <v>112</v>
      </c>
      <c r="I67" s="29" t="str">
        <f aca="false">IF(OR(H67&lt;60,H67&gt;220),"분량 확인","")</f>
        <v/>
      </c>
    </row>
    <row r="68" customFormat="false" ht="61.5" hidden="false" customHeight="true" outlineLevel="0" collapsed="false">
      <c r="A68" s="13" t="s">
        <v>941</v>
      </c>
      <c r="B68" s="14" t="s">
        <v>693</v>
      </c>
      <c r="C68" s="15" t="s">
        <v>822</v>
      </c>
      <c r="D68" s="15" t="s">
        <v>942</v>
      </c>
      <c r="E68" s="28" t="s">
        <v>19</v>
      </c>
      <c r="F68" s="16"/>
      <c r="G68" s="16"/>
      <c r="H68" s="19" t="n">
        <f aca="false">LEN(IF(F68&lt;&gt;"",F68,D68))</f>
        <v>88</v>
      </c>
      <c r="I68" s="29" t="str">
        <f aca="false">IF(OR(H68&lt;60,H68&gt;220),"분량 확인","")</f>
        <v/>
      </c>
    </row>
    <row r="69" customFormat="false" ht="61.5" hidden="false" customHeight="true" outlineLevel="0" collapsed="false">
      <c r="A69" s="13" t="s">
        <v>943</v>
      </c>
      <c r="B69" s="14" t="s">
        <v>693</v>
      </c>
      <c r="C69" s="15" t="s">
        <v>825</v>
      </c>
      <c r="D69" s="15" t="s">
        <v>944</v>
      </c>
      <c r="E69" s="28" t="s">
        <v>19</v>
      </c>
      <c r="F69" s="16"/>
      <c r="G69" s="16"/>
      <c r="H69" s="19" t="n">
        <f aca="false">LEN(IF(F69&lt;&gt;"",F69,D69))</f>
        <v>89</v>
      </c>
      <c r="I69" s="29" t="str">
        <f aca="false">IF(OR(H69&lt;60,H69&gt;220),"분량 확인","")</f>
        <v/>
      </c>
    </row>
    <row r="70" customFormat="false" ht="61.5" hidden="false" customHeight="true" outlineLevel="0" collapsed="false">
      <c r="A70" s="13" t="s">
        <v>945</v>
      </c>
      <c r="B70" s="14" t="s">
        <v>693</v>
      </c>
      <c r="C70" s="15" t="s">
        <v>828</v>
      </c>
      <c r="D70" s="15" t="s">
        <v>946</v>
      </c>
      <c r="E70" s="28" t="s">
        <v>19</v>
      </c>
      <c r="F70" s="16"/>
      <c r="G70" s="16"/>
      <c r="H70" s="19" t="n">
        <f aca="false">LEN(IF(F70&lt;&gt;"",F70,D70))</f>
        <v>89</v>
      </c>
      <c r="I70" s="29" t="str">
        <f aca="false">IF(OR(H70&lt;60,H70&gt;220),"분량 확인","")</f>
        <v/>
      </c>
    </row>
    <row r="71" customFormat="false" ht="61.5" hidden="false" customHeight="true" outlineLevel="0" collapsed="false">
      <c r="A71" s="13" t="s">
        <v>947</v>
      </c>
      <c r="B71" s="14" t="s">
        <v>693</v>
      </c>
      <c r="C71" s="15" t="s">
        <v>831</v>
      </c>
      <c r="D71" s="15" t="s">
        <v>948</v>
      </c>
      <c r="E71" s="28" t="s">
        <v>19</v>
      </c>
      <c r="F71" s="16"/>
      <c r="G71" s="16"/>
      <c r="H71" s="19" t="n">
        <f aca="false">LEN(IF(F71&lt;&gt;"",F71,D71))</f>
        <v>88</v>
      </c>
      <c r="I71" s="29" t="str">
        <f aca="false">IF(OR(H71&lt;60,H71&gt;220),"분량 확인","")</f>
        <v/>
      </c>
    </row>
    <row r="72" customFormat="false" ht="61.5" hidden="false" customHeight="true" outlineLevel="0" collapsed="false">
      <c r="A72" s="13" t="s">
        <v>91</v>
      </c>
      <c r="B72" s="14" t="s">
        <v>693</v>
      </c>
      <c r="C72" s="15" t="s">
        <v>834</v>
      </c>
      <c r="D72" s="15" t="s">
        <v>96</v>
      </c>
      <c r="E72" s="28" t="s">
        <v>19</v>
      </c>
      <c r="F72" s="16"/>
      <c r="G72" s="17" t="s">
        <v>949</v>
      </c>
      <c r="H72" s="19" t="n">
        <f aca="false">LEN(IF(F72&lt;&gt;"",F72,D72))</f>
        <v>97</v>
      </c>
      <c r="I72" s="29" t="str">
        <f aca="false">IF(OR(H72&lt;60,H72&gt;220),"분량 확인","")</f>
        <v/>
      </c>
    </row>
    <row r="73" customFormat="false" ht="61.5" hidden="false" customHeight="true" outlineLevel="0" collapsed="false">
      <c r="A73" s="13" t="s">
        <v>950</v>
      </c>
      <c r="B73" s="14" t="s">
        <v>693</v>
      </c>
      <c r="C73" s="15" t="s">
        <v>837</v>
      </c>
      <c r="D73" s="15" t="s">
        <v>951</v>
      </c>
      <c r="E73" s="28" t="s">
        <v>19</v>
      </c>
      <c r="F73" s="16"/>
      <c r="G73" s="16"/>
      <c r="H73" s="19" t="n">
        <f aca="false">LEN(IF(F73&lt;&gt;"",F73,D73))</f>
        <v>103</v>
      </c>
      <c r="I73" s="29" t="str">
        <f aca="false">IF(OR(H73&lt;60,H73&gt;220),"분량 확인","")</f>
        <v/>
      </c>
    </row>
    <row r="74" customFormat="false" ht="61.5" hidden="false" customHeight="true" outlineLevel="0" collapsed="false">
      <c r="A74" s="13" t="s">
        <v>952</v>
      </c>
      <c r="B74" s="14" t="s">
        <v>32</v>
      </c>
      <c r="C74" s="15" t="s">
        <v>822</v>
      </c>
      <c r="D74" s="15" t="s">
        <v>953</v>
      </c>
      <c r="E74" s="28" t="s">
        <v>19</v>
      </c>
      <c r="F74" s="16"/>
      <c r="G74" s="16"/>
      <c r="H74" s="19" t="n">
        <f aca="false">LEN(IF(F74&lt;&gt;"",F74,D74))</f>
        <v>100</v>
      </c>
      <c r="I74" s="29" t="str">
        <f aca="false">IF(OR(H74&lt;60,H74&gt;220),"분량 확인","")</f>
        <v/>
      </c>
    </row>
    <row r="75" customFormat="false" ht="61.5" hidden="false" customHeight="true" outlineLevel="0" collapsed="false">
      <c r="A75" s="13" t="s">
        <v>954</v>
      </c>
      <c r="B75" s="14" t="s">
        <v>32</v>
      </c>
      <c r="C75" s="15" t="s">
        <v>825</v>
      </c>
      <c r="D75" s="15" t="s">
        <v>955</v>
      </c>
      <c r="E75" s="28" t="s">
        <v>19</v>
      </c>
      <c r="F75" s="16"/>
      <c r="G75" s="16"/>
      <c r="H75" s="19" t="n">
        <f aca="false">LEN(IF(F75&lt;&gt;"",F75,D75))</f>
        <v>96</v>
      </c>
      <c r="I75" s="29" t="str">
        <f aca="false">IF(OR(H75&lt;60,H75&gt;220),"분량 확인","")</f>
        <v/>
      </c>
    </row>
    <row r="76" customFormat="false" ht="61.5" hidden="false" customHeight="true" outlineLevel="0" collapsed="false">
      <c r="A76" s="13" t="s">
        <v>956</v>
      </c>
      <c r="B76" s="14" t="s">
        <v>32</v>
      </c>
      <c r="C76" s="15" t="s">
        <v>828</v>
      </c>
      <c r="D76" s="15" t="s">
        <v>957</v>
      </c>
      <c r="E76" s="28" t="s">
        <v>19</v>
      </c>
      <c r="F76" s="16"/>
      <c r="G76" s="16"/>
      <c r="H76" s="19" t="n">
        <f aca="false">LEN(IF(F76&lt;&gt;"",F76,D76))</f>
        <v>98</v>
      </c>
      <c r="I76" s="29" t="str">
        <f aca="false">IF(OR(H76&lt;60,H76&gt;220),"분량 확인","")</f>
        <v/>
      </c>
    </row>
    <row r="77" customFormat="false" ht="61.5" hidden="false" customHeight="true" outlineLevel="0" collapsed="false">
      <c r="A77" s="13" t="s">
        <v>958</v>
      </c>
      <c r="B77" s="14" t="s">
        <v>32</v>
      </c>
      <c r="C77" s="15" t="s">
        <v>831</v>
      </c>
      <c r="D77" s="15" t="s">
        <v>959</v>
      </c>
      <c r="E77" s="28" t="s">
        <v>19</v>
      </c>
      <c r="F77" s="16"/>
      <c r="G77" s="16"/>
      <c r="H77" s="19" t="n">
        <f aca="false">LEN(IF(F77&lt;&gt;"",F77,D77))</f>
        <v>106</v>
      </c>
      <c r="I77" s="29" t="str">
        <f aca="false">IF(OR(H77&lt;60,H77&gt;220),"분량 확인","")</f>
        <v/>
      </c>
    </row>
    <row r="78" customFormat="false" ht="48" hidden="false" customHeight="true" outlineLevel="0" collapsed="false">
      <c r="A78" s="13" t="s">
        <v>960</v>
      </c>
      <c r="B78" s="14" t="s">
        <v>32</v>
      </c>
      <c r="C78" s="15" t="s">
        <v>834</v>
      </c>
      <c r="D78" s="15" t="s">
        <v>961</v>
      </c>
      <c r="E78" s="28" t="s">
        <v>19</v>
      </c>
      <c r="F78" s="16"/>
      <c r="G78" s="16"/>
      <c r="H78" s="19" t="n">
        <f aca="false">LEN(IF(F78&lt;&gt;"",F78,D78))</f>
        <v>87</v>
      </c>
      <c r="I78" s="29" t="str">
        <f aca="false">IF(OR(H78&lt;60,H78&gt;220),"분량 확인","")</f>
        <v/>
      </c>
    </row>
    <row r="79" customFormat="false" ht="61.5" hidden="false" customHeight="true" outlineLevel="0" collapsed="false">
      <c r="A79" s="13" t="s">
        <v>962</v>
      </c>
      <c r="B79" s="14" t="s">
        <v>32</v>
      </c>
      <c r="C79" s="15" t="s">
        <v>837</v>
      </c>
      <c r="D79" s="15" t="s">
        <v>963</v>
      </c>
      <c r="E79" s="28" t="s">
        <v>19</v>
      </c>
      <c r="F79" s="16"/>
      <c r="G79" s="16"/>
      <c r="H79" s="19" t="n">
        <f aca="false">LEN(IF(F79&lt;&gt;"",F79,D79))</f>
        <v>108</v>
      </c>
      <c r="I79" s="29" t="str">
        <f aca="false">IF(OR(H79&lt;60,H79&gt;220),"분량 확인","")</f>
        <v/>
      </c>
    </row>
    <row r="80" customFormat="false" ht="48" hidden="false" customHeight="true" outlineLevel="0" collapsed="false">
      <c r="A80" s="13" t="s">
        <v>299</v>
      </c>
      <c r="B80" s="14" t="s">
        <v>716</v>
      </c>
      <c r="C80" s="15" t="s">
        <v>822</v>
      </c>
      <c r="D80" s="15" t="s">
        <v>302</v>
      </c>
      <c r="E80" s="28" t="s">
        <v>19</v>
      </c>
      <c r="F80" s="16"/>
      <c r="G80" s="17" t="s">
        <v>964</v>
      </c>
      <c r="H80" s="19" t="n">
        <f aca="false">LEN(IF(F80&lt;&gt;"",F80,D80))</f>
        <v>87</v>
      </c>
      <c r="I80" s="29" t="str">
        <f aca="false">IF(OR(H80&lt;60,H80&gt;220),"분량 확인","")</f>
        <v/>
      </c>
    </row>
    <row r="81" customFormat="false" ht="61.5" hidden="false" customHeight="true" outlineLevel="0" collapsed="false">
      <c r="A81" s="13" t="s">
        <v>965</v>
      </c>
      <c r="B81" s="14" t="s">
        <v>716</v>
      </c>
      <c r="C81" s="15" t="s">
        <v>825</v>
      </c>
      <c r="D81" s="15" t="s">
        <v>966</v>
      </c>
      <c r="E81" s="28" t="s">
        <v>19</v>
      </c>
      <c r="F81" s="16"/>
      <c r="G81" s="16"/>
      <c r="H81" s="19" t="n">
        <f aca="false">LEN(IF(F81&lt;&gt;"",F81,D81))</f>
        <v>98</v>
      </c>
      <c r="I81" s="29" t="str">
        <f aca="false">IF(OR(H81&lt;60,H81&gt;220),"분량 확인","")</f>
        <v/>
      </c>
    </row>
    <row r="82" customFormat="false" ht="61.5" hidden="false" customHeight="true" outlineLevel="0" collapsed="false">
      <c r="A82" s="13" t="s">
        <v>967</v>
      </c>
      <c r="B82" s="14" t="s">
        <v>716</v>
      </c>
      <c r="C82" s="15" t="s">
        <v>828</v>
      </c>
      <c r="D82" s="15" t="s">
        <v>968</v>
      </c>
      <c r="E82" s="28" t="s">
        <v>19</v>
      </c>
      <c r="F82" s="16"/>
      <c r="G82" s="16"/>
      <c r="H82" s="19" t="n">
        <f aca="false">LEN(IF(F82&lt;&gt;"",F82,D82))</f>
        <v>88</v>
      </c>
      <c r="I82" s="29" t="str">
        <f aca="false">IF(OR(H82&lt;60,H82&gt;220),"분량 확인","")</f>
        <v/>
      </c>
    </row>
    <row r="83" customFormat="false" ht="61.5" hidden="false" customHeight="true" outlineLevel="0" collapsed="false">
      <c r="A83" s="13" t="s">
        <v>969</v>
      </c>
      <c r="B83" s="14" t="s">
        <v>716</v>
      </c>
      <c r="C83" s="15" t="s">
        <v>831</v>
      </c>
      <c r="D83" s="15" t="s">
        <v>970</v>
      </c>
      <c r="E83" s="28" t="s">
        <v>19</v>
      </c>
      <c r="F83" s="16"/>
      <c r="G83" s="16"/>
      <c r="H83" s="19" t="n">
        <f aca="false">LEN(IF(F83&lt;&gt;"",F83,D83))</f>
        <v>110</v>
      </c>
      <c r="I83" s="29" t="str">
        <f aca="false">IF(OR(H83&lt;60,H83&gt;220),"분량 확인","")</f>
        <v/>
      </c>
    </row>
    <row r="84" customFormat="false" ht="61.5" hidden="false" customHeight="true" outlineLevel="0" collapsed="false">
      <c r="A84" s="13" t="s">
        <v>971</v>
      </c>
      <c r="B84" s="14" t="s">
        <v>716</v>
      </c>
      <c r="C84" s="15" t="s">
        <v>834</v>
      </c>
      <c r="D84" s="15" t="s">
        <v>972</v>
      </c>
      <c r="E84" s="28" t="s">
        <v>19</v>
      </c>
      <c r="F84" s="16"/>
      <c r="G84" s="16"/>
      <c r="H84" s="19" t="n">
        <f aca="false">LEN(IF(F84&lt;&gt;"",F84,D84))</f>
        <v>101</v>
      </c>
      <c r="I84" s="29" t="str">
        <f aca="false">IF(OR(H84&lt;60,H84&gt;220),"분량 확인","")</f>
        <v/>
      </c>
    </row>
    <row r="85" customFormat="false" ht="61.5" hidden="false" customHeight="true" outlineLevel="0" collapsed="false">
      <c r="A85" s="13" t="s">
        <v>973</v>
      </c>
      <c r="B85" s="14" t="s">
        <v>716</v>
      </c>
      <c r="C85" s="15" t="s">
        <v>837</v>
      </c>
      <c r="D85" s="15" t="s">
        <v>974</v>
      </c>
      <c r="E85" s="28" t="s">
        <v>19</v>
      </c>
      <c r="F85" s="16"/>
      <c r="G85" s="16"/>
      <c r="H85" s="19" t="n">
        <f aca="false">LEN(IF(F85&lt;&gt;"",F85,D85))</f>
        <v>115</v>
      </c>
      <c r="I85" s="29" t="str">
        <f aca="false">IF(OR(H85&lt;60,H85&gt;220),"분량 확인","")</f>
        <v/>
      </c>
    </row>
    <row r="86" customFormat="false" ht="61.5" hidden="false" customHeight="true" outlineLevel="0" collapsed="false">
      <c r="A86" s="13" t="s">
        <v>975</v>
      </c>
      <c r="B86" s="14" t="s">
        <v>727</v>
      </c>
      <c r="C86" s="15" t="s">
        <v>822</v>
      </c>
      <c r="D86" s="15" t="s">
        <v>976</v>
      </c>
      <c r="E86" s="28" t="s">
        <v>19</v>
      </c>
      <c r="F86" s="16"/>
      <c r="G86" s="16"/>
      <c r="H86" s="19" t="n">
        <f aca="false">LEN(IF(F86&lt;&gt;"",F86,D86))</f>
        <v>95</v>
      </c>
      <c r="I86" s="29" t="str">
        <f aca="false">IF(OR(H86&lt;60,H86&gt;220),"분량 확인","")</f>
        <v/>
      </c>
    </row>
    <row r="87" customFormat="false" ht="61.5" hidden="false" customHeight="true" outlineLevel="0" collapsed="false">
      <c r="A87" s="13" t="s">
        <v>977</v>
      </c>
      <c r="B87" s="14" t="s">
        <v>727</v>
      </c>
      <c r="C87" s="15" t="s">
        <v>825</v>
      </c>
      <c r="D87" s="15" t="s">
        <v>978</v>
      </c>
      <c r="E87" s="28" t="s">
        <v>19</v>
      </c>
      <c r="F87" s="16"/>
      <c r="G87" s="16"/>
      <c r="H87" s="19" t="n">
        <f aca="false">LEN(IF(F87&lt;&gt;"",F87,D87))</f>
        <v>97</v>
      </c>
      <c r="I87" s="29" t="str">
        <f aca="false">IF(OR(H87&lt;60,H87&gt;220),"분량 확인","")</f>
        <v/>
      </c>
    </row>
    <row r="88" customFormat="false" ht="61.5" hidden="false" customHeight="true" outlineLevel="0" collapsed="false">
      <c r="A88" s="13" t="s">
        <v>979</v>
      </c>
      <c r="B88" s="14" t="s">
        <v>727</v>
      </c>
      <c r="C88" s="15" t="s">
        <v>828</v>
      </c>
      <c r="D88" s="14" t="s">
        <v>980</v>
      </c>
      <c r="E88" s="28" t="s">
        <v>19</v>
      </c>
      <c r="F88" s="16"/>
      <c r="G88" s="16"/>
      <c r="H88" s="19" t="n">
        <f aca="false">LEN(IF(F88&lt;&gt;"",F88,D88))</f>
        <v>95</v>
      </c>
      <c r="I88" s="29" t="str">
        <f aca="false">IF(OR(H88&lt;60,H88&gt;220),"분량 확인","")</f>
        <v/>
      </c>
    </row>
    <row r="89" customFormat="false" ht="61.5" hidden="false" customHeight="true" outlineLevel="0" collapsed="false">
      <c r="A89" s="13" t="s">
        <v>981</v>
      </c>
      <c r="B89" s="14" t="s">
        <v>727</v>
      </c>
      <c r="C89" s="15" t="s">
        <v>831</v>
      </c>
      <c r="D89" s="15" t="s">
        <v>982</v>
      </c>
      <c r="E89" s="28" t="s">
        <v>19</v>
      </c>
      <c r="F89" s="16"/>
      <c r="G89" s="16"/>
      <c r="H89" s="19" t="n">
        <f aca="false">LEN(IF(F89&lt;&gt;"",F89,D89))</f>
        <v>100</v>
      </c>
      <c r="I89" s="29" t="str">
        <f aca="false">IF(OR(H89&lt;60,H89&gt;220),"분량 확인","")</f>
        <v/>
      </c>
    </row>
    <row r="90" customFormat="false" ht="61.5" hidden="false" customHeight="true" outlineLevel="0" collapsed="false">
      <c r="A90" s="13" t="s">
        <v>983</v>
      </c>
      <c r="B90" s="14" t="s">
        <v>727</v>
      </c>
      <c r="C90" s="15" t="s">
        <v>834</v>
      </c>
      <c r="D90" s="15" t="s">
        <v>984</v>
      </c>
      <c r="E90" s="28" t="s">
        <v>19</v>
      </c>
      <c r="F90" s="16"/>
      <c r="G90" s="16"/>
      <c r="H90" s="19" t="n">
        <f aca="false">LEN(IF(F90&lt;&gt;"",F90,D90))</f>
        <v>92</v>
      </c>
      <c r="I90" s="29" t="str">
        <f aca="false">IF(OR(H90&lt;60,H90&gt;220),"분량 확인","")</f>
        <v/>
      </c>
    </row>
    <row r="91" customFormat="false" ht="75.75" hidden="false" customHeight="true" outlineLevel="0" collapsed="false">
      <c r="A91" s="13" t="s">
        <v>985</v>
      </c>
      <c r="B91" s="14" t="s">
        <v>727</v>
      </c>
      <c r="C91" s="15" t="s">
        <v>837</v>
      </c>
      <c r="D91" s="15" t="s">
        <v>986</v>
      </c>
      <c r="E91" s="28" t="s">
        <v>19</v>
      </c>
      <c r="F91" s="16"/>
      <c r="G91" s="16"/>
      <c r="H91" s="19" t="n">
        <f aca="false">LEN(IF(F91&lt;&gt;"",F91,D91))</f>
        <v>117</v>
      </c>
      <c r="I91" s="29" t="str">
        <f aca="false">IF(OR(H91&lt;60,H91&gt;220),"분량 확인","")</f>
        <v/>
      </c>
    </row>
    <row r="92" customFormat="false" ht="61.5" hidden="false" customHeight="true" outlineLevel="0" collapsed="false">
      <c r="A92" s="13" t="s">
        <v>987</v>
      </c>
      <c r="B92" s="14" t="s">
        <v>739</v>
      </c>
      <c r="C92" s="15" t="s">
        <v>822</v>
      </c>
      <c r="D92" s="15" t="s">
        <v>988</v>
      </c>
      <c r="E92" s="28" t="s">
        <v>19</v>
      </c>
      <c r="F92" s="16"/>
      <c r="G92" s="16"/>
      <c r="H92" s="19" t="n">
        <f aca="false">LEN(IF(F92&lt;&gt;"",F92,D92))</f>
        <v>98</v>
      </c>
      <c r="I92" s="29" t="str">
        <f aca="false">IF(OR(H92&lt;60,H92&gt;220),"분량 확인","")</f>
        <v/>
      </c>
    </row>
    <row r="93" customFormat="false" ht="61.5" hidden="false" customHeight="true" outlineLevel="0" collapsed="false">
      <c r="A93" s="13" t="s">
        <v>989</v>
      </c>
      <c r="B93" s="14" t="s">
        <v>739</v>
      </c>
      <c r="C93" s="15" t="s">
        <v>825</v>
      </c>
      <c r="D93" s="15" t="s">
        <v>990</v>
      </c>
      <c r="E93" s="28" t="s">
        <v>19</v>
      </c>
      <c r="F93" s="16"/>
      <c r="G93" s="16"/>
      <c r="H93" s="19" t="n">
        <f aca="false">LEN(IF(F93&lt;&gt;"",F93,D93))</f>
        <v>96</v>
      </c>
      <c r="I93" s="29" t="str">
        <f aca="false">IF(OR(H93&lt;60,H93&gt;220),"분량 확인","")</f>
        <v/>
      </c>
    </row>
    <row r="94" customFormat="false" ht="61.5" hidden="false" customHeight="true" outlineLevel="0" collapsed="false">
      <c r="A94" s="13" t="s">
        <v>109</v>
      </c>
      <c r="B94" s="14" t="s">
        <v>739</v>
      </c>
      <c r="C94" s="15" t="s">
        <v>828</v>
      </c>
      <c r="D94" s="15" t="s">
        <v>112</v>
      </c>
      <c r="E94" s="28" t="s">
        <v>19</v>
      </c>
      <c r="F94" s="16"/>
      <c r="G94" s="17" t="s">
        <v>991</v>
      </c>
      <c r="H94" s="19" t="n">
        <f aca="false">LEN(IF(F94&lt;&gt;"",F94,D94))</f>
        <v>101</v>
      </c>
      <c r="I94" s="29" t="str">
        <f aca="false">IF(OR(H94&lt;60,H94&gt;220),"분량 확인","")</f>
        <v/>
      </c>
    </row>
    <row r="95" customFormat="false" ht="61.5" hidden="false" customHeight="true" outlineLevel="0" collapsed="false">
      <c r="A95" s="13" t="s">
        <v>992</v>
      </c>
      <c r="B95" s="14" t="s">
        <v>739</v>
      </c>
      <c r="C95" s="15" t="s">
        <v>831</v>
      </c>
      <c r="D95" s="15" t="s">
        <v>993</v>
      </c>
      <c r="E95" s="28" t="s">
        <v>19</v>
      </c>
      <c r="F95" s="16"/>
      <c r="G95" s="16"/>
      <c r="H95" s="19" t="n">
        <f aca="false">LEN(IF(F95&lt;&gt;"",F95,D95))</f>
        <v>113</v>
      </c>
      <c r="I95" s="29" t="str">
        <f aca="false">IF(OR(H95&lt;60,H95&gt;220),"분량 확인","")</f>
        <v/>
      </c>
    </row>
    <row r="96" customFormat="false" ht="61.5" hidden="false" customHeight="true" outlineLevel="0" collapsed="false">
      <c r="A96" s="13" t="s">
        <v>994</v>
      </c>
      <c r="B96" s="14" t="s">
        <v>739</v>
      </c>
      <c r="C96" s="15" t="s">
        <v>834</v>
      </c>
      <c r="D96" s="15" t="s">
        <v>995</v>
      </c>
      <c r="E96" s="28" t="s">
        <v>19</v>
      </c>
      <c r="F96" s="16"/>
      <c r="G96" s="16"/>
      <c r="H96" s="19" t="n">
        <f aca="false">LEN(IF(F96&lt;&gt;"",F96,D96))</f>
        <v>88</v>
      </c>
      <c r="I96" s="29" t="str">
        <f aca="false">IF(OR(H96&lt;60,H96&gt;220),"분량 확인","")</f>
        <v/>
      </c>
    </row>
    <row r="97" customFormat="false" ht="75.75" hidden="false" customHeight="true" outlineLevel="0" collapsed="false">
      <c r="A97" s="13" t="s">
        <v>996</v>
      </c>
      <c r="B97" s="14" t="s">
        <v>739</v>
      </c>
      <c r="C97" s="15" t="s">
        <v>837</v>
      </c>
      <c r="D97" s="15" t="s">
        <v>997</v>
      </c>
      <c r="E97" s="28" t="s">
        <v>19</v>
      </c>
      <c r="F97" s="16"/>
      <c r="G97" s="16"/>
      <c r="H97" s="19" t="n">
        <f aca="false">LEN(IF(F97&lt;&gt;"",F97,D97))</f>
        <v>123</v>
      </c>
      <c r="I97" s="29" t="str">
        <f aca="false">IF(OR(H97&lt;60,H97&gt;220),"분량 확인","")</f>
        <v/>
      </c>
    </row>
    <row r="98" customFormat="false" ht="61.5" hidden="false" customHeight="true" outlineLevel="0" collapsed="false">
      <c r="A98" s="13" t="s">
        <v>344</v>
      </c>
      <c r="B98" s="14" t="s">
        <v>752</v>
      </c>
      <c r="C98" s="15" t="s">
        <v>822</v>
      </c>
      <c r="D98" s="15" t="s">
        <v>347</v>
      </c>
      <c r="E98" s="28" t="s">
        <v>19</v>
      </c>
      <c r="F98" s="16"/>
      <c r="G98" s="17" t="s">
        <v>998</v>
      </c>
      <c r="H98" s="19" t="n">
        <f aca="false">LEN(IF(F98&lt;&gt;"",F98,D98))</f>
        <v>102</v>
      </c>
      <c r="I98" s="29" t="str">
        <f aca="false">IF(OR(H98&lt;60,H98&gt;220),"분량 확인","")</f>
        <v/>
      </c>
    </row>
    <row r="99" customFormat="false" ht="61.5" hidden="false" customHeight="true" outlineLevel="0" collapsed="false">
      <c r="A99" s="13" t="s">
        <v>999</v>
      </c>
      <c r="B99" s="14" t="s">
        <v>752</v>
      </c>
      <c r="C99" s="15" t="s">
        <v>825</v>
      </c>
      <c r="D99" s="15" t="s">
        <v>1000</v>
      </c>
      <c r="E99" s="28" t="s">
        <v>19</v>
      </c>
      <c r="F99" s="16"/>
      <c r="G99" s="16"/>
      <c r="H99" s="19" t="n">
        <f aca="false">LEN(IF(F99&lt;&gt;"",F99,D99))</f>
        <v>98</v>
      </c>
      <c r="I99" s="29" t="str">
        <f aca="false">IF(OR(H99&lt;60,H99&gt;220),"분량 확인","")</f>
        <v/>
      </c>
    </row>
    <row r="100" customFormat="false" ht="48" hidden="false" customHeight="true" outlineLevel="0" collapsed="false">
      <c r="A100" s="13" t="s">
        <v>340</v>
      </c>
      <c r="B100" s="14" t="s">
        <v>752</v>
      </c>
      <c r="C100" s="15" t="s">
        <v>828</v>
      </c>
      <c r="D100" s="14" t="s">
        <v>343</v>
      </c>
      <c r="E100" s="28" t="s">
        <v>19</v>
      </c>
      <c r="F100" s="16"/>
      <c r="G100" s="17" t="s">
        <v>1001</v>
      </c>
      <c r="H100" s="19" t="n">
        <f aca="false">LEN(IF(F100&lt;&gt;"",F100,D100))</f>
        <v>72</v>
      </c>
      <c r="I100" s="29" t="str">
        <f aca="false">IF(OR(H100&lt;60,H100&gt;220),"분량 확인","")</f>
        <v/>
      </c>
    </row>
    <row r="101" customFormat="false" ht="61.5" hidden="false" customHeight="true" outlineLevel="0" collapsed="false">
      <c r="A101" s="13" t="s">
        <v>1002</v>
      </c>
      <c r="B101" s="14" t="s">
        <v>752</v>
      </c>
      <c r="C101" s="15" t="s">
        <v>831</v>
      </c>
      <c r="D101" s="15" t="s">
        <v>1003</v>
      </c>
      <c r="E101" s="28" t="s">
        <v>19</v>
      </c>
      <c r="F101" s="16"/>
      <c r="G101" s="16"/>
      <c r="H101" s="19" t="n">
        <f aca="false">LEN(IF(F101&lt;&gt;"",F101,D101))</f>
        <v>105</v>
      </c>
      <c r="I101" s="29" t="str">
        <f aca="false">IF(OR(H101&lt;60,H101&gt;220),"분량 확인","")</f>
        <v/>
      </c>
    </row>
    <row r="102" customFormat="false" ht="48" hidden="false" customHeight="true" outlineLevel="0" collapsed="false">
      <c r="A102" s="13" t="s">
        <v>1004</v>
      </c>
      <c r="B102" s="14" t="s">
        <v>752</v>
      </c>
      <c r="C102" s="15" t="s">
        <v>834</v>
      </c>
      <c r="D102" s="15" t="s">
        <v>1005</v>
      </c>
      <c r="E102" s="28" t="s">
        <v>19</v>
      </c>
      <c r="F102" s="16"/>
      <c r="G102" s="16"/>
      <c r="H102" s="19" t="n">
        <f aca="false">LEN(IF(F102&lt;&gt;"",F102,D102))</f>
        <v>77</v>
      </c>
      <c r="I102" s="29" t="str">
        <f aca="false">IF(OR(H102&lt;60,H102&gt;220),"분량 확인","")</f>
        <v/>
      </c>
    </row>
    <row r="103" customFormat="false" ht="75.75" hidden="false" customHeight="true" outlineLevel="0" collapsed="false">
      <c r="A103" s="13" t="s">
        <v>113</v>
      </c>
      <c r="B103" s="14" t="s">
        <v>752</v>
      </c>
      <c r="C103" s="15" t="s">
        <v>837</v>
      </c>
      <c r="D103" s="15" t="s">
        <v>116</v>
      </c>
      <c r="E103" s="28" t="s">
        <v>19</v>
      </c>
      <c r="F103" s="16"/>
      <c r="G103" s="17" t="s">
        <v>1006</v>
      </c>
      <c r="H103" s="19" t="n">
        <f aca="false">LEN(IF(F103&lt;&gt;"",F103,D103))</f>
        <v>119</v>
      </c>
      <c r="I103" s="29" t="str">
        <f aca="false">IF(OR(H103&lt;60,H103&gt;220),"분량 확인","")</f>
        <v/>
      </c>
    </row>
    <row r="104" customFormat="false" ht="61.5" hidden="false" customHeight="true" outlineLevel="0" collapsed="false">
      <c r="A104" s="13" t="s">
        <v>1007</v>
      </c>
      <c r="B104" s="14" t="s">
        <v>764</v>
      </c>
      <c r="C104" s="15" t="s">
        <v>822</v>
      </c>
      <c r="D104" s="15" t="s">
        <v>1008</v>
      </c>
      <c r="E104" s="28" t="s">
        <v>19</v>
      </c>
      <c r="F104" s="16"/>
      <c r="G104" s="16"/>
      <c r="H104" s="19" t="n">
        <f aca="false">LEN(IF(F104&lt;&gt;"",F104,D104))</f>
        <v>98</v>
      </c>
      <c r="I104" s="29" t="str">
        <f aca="false">IF(OR(H104&lt;60,H104&gt;220),"분량 확인","")</f>
        <v/>
      </c>
    </row>
    <row r="105" customFormat="false" ht="61.5" hidden="false" customHeight="true" outlineLevel="0" collapsed="false">
      <c r="A105" s="13" t="s">
        <v>1009</v>
      </c>
      <c r="B105" s="14" t="s">
        <v>764</v>
      </c>
      <c r="C105" s="15" t="s">
        <v>825</v>
      </c>
      <c r="D105" s="15" t="s">
        <v>1010</v>
      </c>
      <c r="E105" s="28" t="s">
        <v>19</v>
      </c>
      <c r="F105" s="16"/>
      <c r="G105" s="16"/>
      <c r="H105" s="19" t="n">
        <f aca="false">LEN(IF(F105&lt;&gt;"",F105,D105))</f>
        <v>88</v>
      </c>
      <c r="I105" s="29" t="str">
        <f aca="false">IF(OR(H105&lt;60,H105&gt;220),"분량 확인","")</f>
        <v/>
      </c>
    </row>
    <row r="106" customFormat="false" ht="61.5" hidden="false" customHeight="true" outlineLevel="0" collapsed="false">
      <c r="A106" s="13" t="s">
        <v>1011</v>
      </c>
      <c r="B106" s="14" t="s">
        <v>764</v>
      </c>
      <c r="C106" s="15" t="s">
        <v>828</v>
      </c>
      <c r="D106" s="15" t="s">
        <v>1012</v>
      </c>
      <c r="E106" s="28" t="s">
        <v>19</v>
      </c>
      <c r="F106" s="16"/>
      <c r="G106" s="16"/>
      <c r="H106" s="19" t="n">
        <f aca="false">LEN(IF(F106&lt;&gt;"",F106,D106))</f>
        <v>94</v>
      </c>
      <c r="I106" s="29" t="str">
        <f aca="false">IF(OR(H106&lt;60,H106&gt;220),"분량 확인","")</f>
        <v/>
      </c>
    </row>
    <row r="107" customFormat="false" ht="48" hidden="false" customHeight="true" outlineLevel="0" collapsed="false">
      <c r="A107" s="13" t="s">
        <v>1013</v>
      </c>
      <c r="B107" s="14" t="s">
        <v>764</v>
      </c>
      <c r="C107" s="15" t="s">
        <v>831</v>
      </c>
      <c r="D107" s="14" t="s">
        <v>1014</v>
      </c>
      <c r="E107" s="28" t="s">
        <v>19</v>
      </c>
      <c r="F107" s="16"/>
      <c r="G107" s="16"/>
      <c r="H107" s="19" t="n">
        <f aca="false">LEN(IF(F107&lt;&gt;"",F107,D107))</f>
        <v>86</v>
      </c>
      <c r="I107" s="29" t="str">
        <f aca="false">IF(OR(H107&lt;60,H107&gt;220),"분량 확인","")</f>
        <v/>
      </c>
    </row>
    <row r="108" customFormat="false" ht="48" hidden="false" customHeight="true" outlineLevel="0" collapsed="false">
      <c r="A108" s="13" t="s">
        <v>1015</v>
      </c>
      <c r="B108" s="14" t="s">
        <v>764</v>
      </c>
      <c r="C108" s="15" t="s">
        <v>834</v>
      </c>
      <c r="D108" s="15" t="s">
        <v>1016</v>
      </c>
      <c r="E108" s="28" t="s">
        <v>19</v>
      </c>
      <c r="F108" s="16"/>
      <c r="G108" s="16"/>
      <c r="H108" s="19" t="n">
        <f aca="false">LEN(IF(F108&lt;&gt;"",F108,D108))</f>
        <v>84</v>
      </c>
      <c r="I108" s="29" t="str">
        <f aca="false">IF(OR(H108&lt;60,H108&gt;220),"분량 확인","")</f>
        <v/>
      </c>
    </row>
    <row r="109" customFormat="false" ht="48" hidden="false" customHeight="true" outlineLevel="0" collapsed="false">
      <c r="A109" s="13" t="s">
        <v>1017</v>
      </c>
      <c r="B109" s="14" t="s">
        <v>764</v>
      </c>
      <c r="C109" s="15" t="s">
        <v>837</v>
      </c>
      <c r="D109" s="15" t="s">
        <v>1018</v>
      </c>
      <c r="E109" s="28" t="s">
        <v>19</v>
      </c>
      <c r="F109" s="16"/>
      <c r="G109" s="16"/>
      <c r="H109" s="19" t="n">
        <f aca="false">LEN(IF(F109&lt;&gt;"",F109,D109))</f>
        <v>84</v>
      </c>
      <c r="I109" s="29" t="str">
        <f aca="false">IF(OR(H109&lt;60,H109&gt;220),"분량 확인","")</f>
        <v/>
      </c>
    </row>
    <row r="110" customFormat="false" ht="48" hidden="false" customHeight="true" outlineLevel="0" collapsed="false">
      <c r="A110" s="13" t="s">
        <v>1019</v>
      </c>
      <c r="B110" s="14" t="s">
        <v>775</v>
      </c>
      <c r="C110" s="15" t="s">
        <v>822</v>
      </c>
      <c r="D110" s="15" t="s">
        <v>1020</v>
      </c>
      <c r="E110" s="28" t="s">
        <v>19</v>
      </c>
      <c r="F110" s="16"/>
      <c r="G110" s="16"/>
      <c r="H110" s="19" t="n">
        <f aca="false">LEN(IF(F110&lt;&gt;"",F110,D110))</f>
        <v>84</v>
      </c>
      <c r="I110" s="29" t="str">
        <f aca="false">IF(OR(H110&lt;60,H110&gt;220),"분량 확인","")</f>
        <v/>
      </c>
    </row>
    <row r="111" customFormat="false" ht="61.5" hidden="false" customHeight="true" outlineLevel="0" collapsed="false">
      <c r="A111" s="13" t="s">
        <v>1021</v>
      </c>
      <c r="B111" s="14" t="s">
        <v>775</v>
      </c>
      <c r="C111" s="15" t="s">
        <v>825</v>
      </c>
      <c r="D111" s="15" t="s">
        <v>1022</v>
      </c>
      <c r="E111" s="28" t="s">
        <v>19</v>
      </c>
      <c r="F111" s="16"/>
      <c r="G111" s="16"/>
      <c r="H111" s="19" t="n">
        <f aca="false">LEN(IF(F111&lt;&gt;"",F111,D111))</f>
        <v>106</v>
      </c>
      <c r="I111" s="29" t="str">
        <f aca="false">IF(OR(H111&lt;60,H111&gt;220),"분량 확인","")</f>
        <v/>
      </c>
    </row>
    <row r="112" customFormat="false" ht="61.5" hidden="false" customHeight="true" outlineLevel="0" collapsed="false">
      <c r="A112" s="13" t="s">
        <v>1023</v>
      </c>
      <c r="B112" s="14" t="s">
        <v>775</v>
      </c>
      <c r="C112" s="15" t="s">
        <v>828</v>
      </c>
      <c r="D112" s="15" t="s">
        <v>1024</v>
      </c>
      <c r="E112" s="28" t="s">
        <v>19</v>
      </c>
      <c r="F112" s="16"/>
      <c r="G112" s="16"/>
      <c r="H112" s="19" t="n">
        <f aca="false">LEN(IF(F112&lt;&gt;"",F112,D112))</f>
        <v>96</v>
      </c>
      <c r="I112" s="29" t="str">
        <f aca="false">IF(OR(H112&lt;60,H112&gt;220),"분량 확인","")</f>
        <v/>
      </c>
    </row>
    <row r="113" customFormat="false" ht="61.5" hidden="false" customHeight="true" outlineLevel="0" collapsed="false">
      <c r="A113" s="13" t="s">
        <v>1025</v>
      </c>
      <c r="B113" s="14" t="s">
        <v>775</v>
      </c>
      <c r="C113" s="15" t="s">
        <v>831</v>
      </c>
      <c r="D113" s="15" t="s">
        <v>1026</v>
      </c>
      <c r="E113" s="28" t="s">
        <v>19</v>
      </c>
      <c r="F113" s="16"/>
      <c r="G113" s="16"/>
      <c r="H113" s="19" t="n">
        <f aca="false">LEN(IF(F113&lt;&gt;"",F113,D113))</f>
        <v>101</v>
      </c>
      <c r="I113" s="29" t="str">
        <f aca="false">IF(OR(H113&lt;60,H113&gt;220),"분량 확인","")</f>
        <v/>
      </c>
    </row>
    <row r="114" customFormat="false" ht="61.5" hidden="false" customHeight="true" outlineLevel="0" collapsed="false">
      <c r="A114" s="13" t="s">
        <v>1027</v>
      </c>
      <c r="B114" s="14" t="s">
        <v>775</v>
      </c>
      <c r="C114" s="15" t="s">
        <v>834</v>
      </c>
      <c r="D114" s="15" t="s">
        <v>1028</v>
      </c>
      <c r="E114" s="28" t="s">
        <v>19</v>
      </c>
      <c r="F114" s="16"/>
      <c r="G114" s="16"/>
      <c r="H114" s="19" t="n">
        <f aca="false">LEN(IF(F114&lt;&gt;"",F114,D114))</f>
        <v>100</v>
      </c>
      <c r="I114" s="29" t="str">
        <f aca="false">IF(OR(H114&lt;60,H114&gt;220),"분량 확인","")</f>
        <v/>
      </c>
    </row>
    <row r="115" customFormat="false" ht="61.5" hidden="false" customHeight="true" outlineLevel="0" collapsed="false">
      <c r="A115" s="13" t="s">
        <v>1029</v>
      </c>
      <c r="B115" s="14" t="s">
        <v>775</v>
      </c>
      <c r="C115" s="15" t="s">
        <v>837</v>
      </c>
      <c r="D115" s="15" t="s">
        <v>1030</v>
      </c>
      <c r="E115" s="28" t="s">
        <v>19</v>
      </c>
      <c r="F115" s="16"/>
      <c r="G115" s="16"/>
      <c r="H115" s="19" t="n">
        <f aca="false">LEN(IF(F115&lt;&gt;"",F115,D115))</f>
        <v>110</v>
      </c>
      <c r="I115" s="29" t="str">
        <f aca="false">IF(OR(H115&lt;60,H115&gt;220),"분량 확인","")</f>
        <v/>
      </c>
    </row>
    <row r="116" customFormat="false" ht="61.5" hidden="false" customHeight="true" outlineLevel="0" collapsed="false">
      <c r="A116" s="13" t="s">
        <v>194</v>
      </c>
      <c r="B116" s="14" t="s">
        <v>786</v>
      </c>
      <c r="C116" s="15" t="s">
        <v>822</v>
      </c>
      <c r="D116" s="15" t="s">
        <v>197</v>
      </c>
      <c r="E116" s="28" t="s">
        <v>19</v>
      </c>
      <c r="F116" s="16"/>
      <c r="G116" s="17" t="s">
        <v>1031</v>
      </c>
      <c r="H116" s="19" t="n">
        <f aca="false">LEN(IF(F116&lt;&gt;"",F116,D116))</f>
        <v>113</v>
      </c>
      <c r="I116" s="29" t="str">
        <f aca="false">IF(OR(H116&lt;60,H116&gt;220),"분량 확인","")</f>
        <v/>
      </c>
    </row>
    <row r="117" customFormat="false" ht="61.5" hidden="false" customHeight="true" outlineLevel="0" collapsed="false">
      <c r="A117" s="13" t="s">
        <v>1032</v>
      </c>
      <c r="B117" s="14" t="s">
        <v>786</v>
      </c>
      <c r="C117" s="15" t="s">
        <v>825</v>
      </c>
      <c r="D117" s="15" t="s">
        <v>1033</v>
      </c>
      <c r="E117" s="28" t="s">
        <v>19</v>
      </c>
      <c r="F117" s="16"/>
      <c r="G117" s="16"/>
      <c r="H117" s="19" t="n">
        <f aca="false">LEN(IF(F117&lt;&gt;"",F117,D117))</f>
        <v>92</v>
      </c>
      <c r="I117" s="29" t="str">
        <f aca="false">IF(OR(H117&lt;60,H117&gt;220),"분량 확인","")</f>
        <v/>
      </c>
    </row>
    <row r="118" customFormat="false" ht="48" hidden="false" customHeight="true" outlineLevel="0" collapsed="false">
      <c r="A118" s="13" t="s">
        <v>1034</v>
      </c>
      <c r="B118" s="14" t="s">
        <v>786</v>
      </c>
      <c r="C118" s="15" t="s">
        <v>828</v>
      </c>
      <c r="D118" s="15" t="s">
        <v>1035</v>
      </c>
      <c r="E118" s="28" t="s">
        <v>19</v>
      </c>
      <c r="F118" s="16"/>
      <c r="G118" s="16"/>
      <c r="H118" s="19" t="n">
        <f aca="false">LEN(IF(F118&lt;&gt;"",F118,D118))</f>
        <v>73</v>
      </c>
      <c r="I118" s="29" t="str">
        <f aca="false">IF(OR(H118&lt;60,H118&gt;220),"분량 확인","")</f>
        <v/>
      </c>
    </row>
    <row r="119" customFormat="false" ht="61.5" hidden="false" customHeight="true" outlineLevel="0" collapsed="false">
      <c r="A119" s="13" t="s">
        <v>1036</v>
      </c>
      <c r="B119" s="14" t="s">
        <v>786</v>
      </c>
      <c r="C119" s="15" t="s">
        <v>831</v>
      </c>
      <c r="D119" s="15" t="s">
        <v>1037</v>
      </c>
      <c r="E119" s="28" t="s">
        <v>19</v>
      </c>
      <c r="F119" s="16"/>
      <c r="G119" s="16"/>
      <c r="H119" s="19" t="n">
        <f aca="false">LEN(IF(F119&lt;&gt;"",F119,D119))</f>
        <v>102</v>
      </c>
      <c r="I119" s="29" t="str">
        <f aca="false">IF(OR(H119&lt;60,H119&gt;220),"분량 확인","")</f>
        <v/>
      </c>
    </row>
    <row r="120" customFormat="false" ht="48" hidden="false" customHeight="true" outlineLevel="0" collapsed="false">
      <c r="A120" s="13" t="s">
        <v>1038</v>
      </c>
      <c r="B120" s="14" t="s">
        <v>786</v>
      </c>
      <c r="C120" s="15" t="s">
        <v>834</v>
      </c>
      <c r="D120" s="15" t="s">
        <v>1039</v>
      </c>
      <c r="E120" s="28" t="s">
        <v>19</v>
      </c>
      <c r="F120" s="16"/>
      <c r="G120" s="16"/>
      <c r="H120" s="19" t="n">
        <f aca="false">LEN(IF(F120&lt;&gt;"",F120,D120))</f>
        <v>77</v>
      </c>
      <c r="I120" s="29" t="str">
        <f aca="false">IF(OR(H120&lt;60,H120&gt;220),"분량 확인","")</f>
        <v/>
      </c>
    </row>
    <row r="121" customFormat="false" ht="61.5" hidden="false" customHeight="true" outlineLevel="0" collapsed="false">
      <c r="A121" s="13" t="s">
        <v>381</v>
      </c>
      <c r="B121" s="14" t="s">
        <v>786</v>
      </c>
      <c r="C121" s="15" t="s">
        <v>837</v>
      </c>
      <c r="D121" s="15" t="s">
        <v>384</v>
      </c>
      <c r="E121" s="28" t="s">
        <v>19</v>
      </c>
      <c r="F121" s="16"/>
      <c r="G121" s="17" t="s">
        <v>1040</v>
      </c>
      <c r="H121" s="19" t="n">
        <f aca="false">LEN(IF(F121&lt;&gt;"",F121,D121))</f>
        <v>110</v>
      </c>
      <c r="I121" s="29" t="str">
        <f aca="false">IF(OR(H121&lt;60,H121&gt;220),"분량 확인","")</f>
        <v/>
      </c>
    </row>
    <row r="122" customFormat="false" ht="61.5" hidden="false" customHeight="true" outlineLevel="0" collapsed="false">
      <c r="A122" s="13" t="s">
        <v>1041</v>
      </c>
      <c r="B122" s="14" t="s">
        <v>798</v>
      </c>
      <c r="C122" s="15" t="s">
        <v>822</v>
      </c>
      <c r="D122" s="14" t="s">
        <v>1042</v>
      </c>
      <c r="E122" s="28" t="s">
        <v>19</v>
      </c>
      <c r="F122" s="16"/>
      <c r="G122" s="16"/>
      <c r="H122" s="19" t="n">
        <f aca="false">LEN(IF(F122&lt;&gt;"",F122,D122))</f>
        <v>106</v>
      </c>
      <c r="I122" s="29" t="str">
        <f aca="false">IF(OR(H122&lt;60,H122&gt;220),"분량 확인","")</f>
        <v/>
      </c>
    </row>
    <row r="123" customFormat="false" ht="61.5" hidden="false" customHeight="true" outlineLevel="0" collapsed="false">
      <c r="A123" s="13" t="s">
        <v>1043</v>
      </c>
      <c r="B123" s="14" t="s">
        <v>798</v>
      </c>
      <c r="C123" s="15" t="s">
        <v>825</v>
      </c>
      <c r="D123" s="15" t="s">
        <v>1044</v>
      </c>
      <c r="E123" s="28" t="s">
        <v>19</v>
      </c>
      <c r="F123" s="16"/>
      <c r="G123" s="16"/>
      <c r="H123" s="19" t="n">
        <f aca="false">LEN(IF(F123&lt;&gt;"",F123,D123))</f>
        <v>101</v>
      </c>
      <c r="I123" s="29" t="str">
        <f aca="false">IF(OR(H123&lt;60,H123&gt;220),"분량 확인","")</f>
        <v/>
      </c>
    </row>
    <row r="124" customFormat="false" ht="61.5" hidden="false" customHeight="true" outlineLevel="0" collapsed="false">
      <c r="A124" s="13" t="s">
        <v>1045</v>
      </c>
      <c r="B124" s="14" t="s">
        <v>798</v>
      </c>
      <c r="C124" s="15" t="s">
        <v>828</v>
      </c>
      <c r="D124" s="15" t="s">
        <v>1046</v>
      </c>
      <c r="E124" s="28" t="s">
        <v>19</v>
      </c>
      <c r="F124" s="16"/>
      <c r="G124" s="16"/>
      <c r="H124" s="19" t="n">
        <f aca="false">LEN(IF(F124&lt;&gt;"",F124,D124))</f>
        <v>95</v>
      </c>
      <c r="I124" s="29" t="str">
        <f aca="false">IF(OR(H124&lt;60,H124&gt;220),"분량 확인","")</f>
        <v/>
      </c>
    </row>
    <row r="125" customFormat="false" ht="61.5" hidden="false" customHeight="true" outlineLevel="0" collapsed="false">
      <c r="A125" s="13" t="s">
        <v>1047</v>
      </c>
      <c r="B125" s="14" t="s">
        <v>798</v>
      </c>
      <c r="C125" s="15" t="s">
        <v>831</v>
      </c>
      <c r="D125" s="15" t="s">
        <v>1048</v>
      </c>
      <c r="E125" s="28" t="s">
        <v>19</v>
      </c>
      <c r="F125" s="16"/>
      <c r="G125" s="16"/>
      <c r="H125" s="19" t="n">
        <f aca="false">LEN(IF(F125&lt;&gt;"",F125,D125))</f>
        <v>96</v>
      </c>
      <c r="I125" s="29" t="str">
        <f aca="false">IF(OR(H125&lt;60,H125&gt;220),"분량 확인","")</f>
        <v/>
      </c>
    </row>
    <row r="126" customFormat="false" ht="48" hidden="false" customHeight="true" outlineLevel="0" collapsed="false">
      <c r="A126" s="13" t="s">
        <v>1049</v>
      </c>
      <c r="B126" s="14" t="s">
        <v>798</v>
      </c>
      <c r="C126" s="15" t="s">
        <v>834</v>
      </c>
      <c r="D126" s="15" t="s">
        <v>1050</v>
      </c>
      <c r="E126" s="28" t="s">
        <v>19</v>
      </c>
      <c r="F126" s="16"/>
      <c r="G126" s="16"/>
      <c r="H126" s="19" t="n">
        <f aca="false">LEN(IF(F126&lt;&gt;"",F126,D126))</f>
        <v>86</v>
      </c>
      <c r="I126" s="29" t="str">
        <f aca="false">IF(OR(H126&lt;60,H126&gt;220),"분량 확인","")</f>
        <v/>
      </c>
    </row>
    <row r="127" customFormat="false" ht="61.5" hidden="false" customHeight="true" outlineLevel="0" collapsed="false">
      <c r="A127" s="13" t="s">
        <v>1051</v>
      </c>
      <c r="B127" s="14" t="s">
        <v>798</v>
      </c>
      <c r="C127" s="15" t="s">
        <v>837</v>
      </c>
      <c r="D127" s="15" t="s">
        <v>1052</v>
      </c>
      <c r="E127" s="28" t="s">
        <v>19</v>
      </c>
      <c r="F127" s="16"/>
      <c r="G127" s="16"/>
      <c r="H127" s="19" t="n">
        <f aca="false">LEN(IF(F127&lt;&gt;"",F127,D127))</f>
        <v>110</v>
      </c>
      <c r="I127" s="29" t="str">
        <f aca="false">IF(OR(H127&lt;60,H127&gt;220),"분량 확인","")</f>
        <v/>
      </c>
    </row>
    <row r="128" customFormat="false" ht="61.5" hidden="false" customHeight="true" outlineLevel="0" collapsed="false">
      <c r="A128" s="13" t="s">
        <v>1053</v>
      </c>
      <c r="B128" s="14" t="s">
        <v>810</v>
      </c>
      <c r="C128" s="15" t="s">
        <v>822</v>
      </c>
      <c r="D128" s="15" t="s">
        <v>1054</v>
      </c>
      <c r="E128" s="28" t="s">
        <v>19</v>
      </c>
      <c r="F128" s="16"/>
      <c r="G128" s="16"/>
      <c r="H128" s="19" t="n">
        <f aca="false">LEN(IF(F128&lt;&gt;"",F128,D128))</f>
        <v>89</v>
      </c>
      <c r="I128" s="29" t="str">
        <f aca="false">IF(OR(H128&lt;60,H128&gt;220),"분량 확인","")</f>
        <v/>
      </c>
    </row>
    <row r="129" customFormat="false" ht="61.5" hidden="false" customHeight="true" outlineLevel="0" collapsed="false">
      <c r="A129" s="13" t="s">
        <v>1055</v>
      </c>
      <c r="B129" s="14" t="s">
        <v>810</v>
      </c>
      <c r="C129" s="15" t="s">
        <v>825</v>
      </c>
      <c r="D129" s="15" t="s">
        <v>1056</v>
      </c>
      <c r="E129" s="28" t="s">
        <v>19</v>
      </c>
      <c r="F129" s="16"/>
      <c r="G129" s="16"/>
      <c r="H129" s="19" t="n">
        <f aca="false">LEN(IF(F129&lt;&gt;"",F129,D129))</f>
        <v>99</v>
      </c>
      <c r="I129" s="29" t="str">
        <f aca="false">IF(OR(H129&lt;60,H129&gt;220),"분량 확인","")</f>
        <v/>
      </c>
    </row>
    <row r="130" customFormat="false" ht="61.5" hidden="false" customHeight="true" outlineLevel="0" collapsed="false">
      <c r="A130" s="13" t="s">
        <v>1057</v>
      </c>
      <c r="B130" s="14" t="s">
        <v>810</v>
      </c>
      <c r="C130" s="15" t="s">
        <v>828</v>
      </c>
      <c r="D130" s="15" t="s">
        <v>1058</v>
      </c>
      <c r="E130" s="28" t="s">
        <v>19</v>
      </c>
      <c r="F130" s="16"/>
      <c r="G130" s="16"/>
      <c r="H130" s="19" t="n">
        <f aca="false">LEN(IF(F130&lt;&gt;"",F130,D130))</f>
        <v>95</v>
      </c>
      <c r="I130" s="29" t="str">
        <f aca="false">IF(OR(H130&lt;60,H130&gt;220),"분량 확인","")</f>
        <v/>
      </c>
    </row>
    <row r="131" customFormat="false" ht="61.5" hidden="false" customHeight="true" outlineLevel="0" collapsed="false">
      <c r="A131" s="13" t="s">
        <v>1059</v>
      </c>
      <c r="B131" s="14" t="s">
        <v>810</v>
      </c>
      <c r="C131" s="15" t="s">
        <v>831</v>
      </c>
      <c r="D131" s="15" t="s">
        <v>1060</v>
      </c>
      <c r="E131" s="28" t="s">
        <v>19</v>
      </c>
      <c r="F131" s="16"/>
      <c r="G131" s="16"/>
      <c r="H131" s="19" t="n">
        <f aca="false">LEN(IF(F131&lt;&gt;"",F131,D131))</f>
        <v>95</v>
      </c>
      <c r="I131" s="29" t="str">
        <f aca="false">IF(OR(H131&lt;60,H131&gt;220),"분량 확인","")</f>
        <v/>
      </c>
    </row>
    <row r="132" customFormat="false" ht="61.5" hidden="false" customHeight="true" outlineLevel="0" collapsed="false">
      <c r="A132" s="13" t="s">
        <v>1061</v>
      </c>
      <c r="B132" s="14" t="s">
        <v>810</v>
      </c>
      <c r="C132" s="15" t="s">
        <v>834</v>
      </c>
      <c r="D132" s="15" t="s">
        <v>1062</v>
      </c>
      <c r="E132" s="28" t="s">
        <v>19</v>
      </c>
      <c r="F132" s="16"/>
      <c r="G132" s="16"/>
      <c r="H132" s="19" t="n">
        <f aca="false">LEN(IF(F132&lt;&gt;"",F132,D132))</f>
        <v>88</v>
      </c>
      <c r="I132" s="29" t="str">
        <f aca="false">IF(OR(H132&lt;60,H132&gt;220),"분량 확인","")</f>
        <v/>
      </c>
    </row>
    <row r="133" customFormat="false" ht="75.75" hidden="false" customHeight="true" outlineLevel="0" collapsed="false">
      <c r="A133" s="13" t="s">
        <v>125</v>
      </c>
      <c r="B133" s="14" t="s">
        <v>810</v>
      </c>
      <c r="C133" s="15" t="s">
        <v>837</v>
      </c>
      <c r="D133" s="15" t="s">
        <v>128</v>
      </c>
      <c r="E133" s="28" t="s">
        <v>19</v>
      </c>
      <c r="F133" s="16"/>
      <c r="G133" s="17" t="s">
        <v>1063</v>
      </c>
      <c r="H133" s="19" t="n">
        <f aca="false">LEN(IF(F133&lt;&gt;"",F133,D133))</f>
        <v>118</v>
      </c>
      <c r="I133" s="29" t="str">
        <f aca="false">IF(OR(H133&lt;60,H133&gt;220),"분량 확인","")</f>
        <v/>
      </c>
    </row>
    <row r="134" customFormat="false" ht="61.5" hidden="false" customHeight="true" outlineLevel="0" collapsed="false">
      <c r="A134" s="13" t="s">
        <v>1064</v>
      </c>
      <c r="B134" s="14" t="s">
        <v>556</v>
      </c>
      <c r="C134" s="15" t="s">
        <v>564</v>
      </c>
      <c r="D134" s="15" t="s">
        <v>1065</v>
      </c>
      <c r="E134" s="28" t="s">
        <v>19</v>
      </c>
      <c r="F134" s="16"/>
      <c r="G134" s="16"/>
      <c r="H134" s="19" t="n">
        <f aca="false">LEN(IF(F134&lt;&gt;"",F134,D134))</f>
        <v>91</v>
      </c>
      <c r="I134" s="29" t="str">
        <f aca="false">IF(OR(H134&lt;60,H134&gt;220),"분량 확인","")</f>
        <v/>
      </c>
    </row>
    <row r="135" customFormat="false" ht="61.5" hidden="false" customHeight="true" outlineLevel="0" collapsed="false">
      <c r="A135" s="13" t="s">
        <v>1066</v>
      </c>
      <c r="B135" s="14" t="s">
        <v>556</v>
      </c>
      <c r="C135" s="15" t="s">
        <v>567</v>
      </c>
      <c r="D135" s="15" t="s">
        <v>1067</v>
      </c>
      <c r="E135" s="28" t="s">
        <v>19</v>
      </c>
      <c r="F135" s="16"/>
      <c r="G135" s="16"/>
      <c r="H135" s="19" t="n">
        <f aca="false">LEN(IF(F135&lt;&gt;"",F135,D135))</f>
        <v>96</v>
      </c>
      <c r="I135" s="29" t="str">
        <f aca="false">IF(OR(H135&lt;60,H135&gt;220),"분량 확인","")</f>
        <v/>
      </c>
    </row>
    <row r="136" customFormat="false" ht="48" hidden="false" customHeight="true" outlineLevel="0" collapsed="false">
      <c r="A136" s="13" t="s">
        <v>1068</v>
      </c>
      <c r="B136" s="14" t="s">
        <v>556</v>
      </c>
      <c r="C136" s="15" t="s">
        <v>570</v>
      </c>
      <c r="D136" s="15" t="s">
        <v>1069</v>
      </c>
      <c r="E136" s="28" t="s">
        <v>19</v>
      </c>
      <c r="F136" s="16"/>
      <c r="G136" s="16"/>
      <c r="H136" s="19" t="n">
        <f aca="false">LEN(IF(F136&lt;&gt;"",F136,D136))</f>
        <v>79</v>
      </c>
      <c r="I136" s="29" t="str">
        <f aca="false">IF(OR(H136&lt;60,H136&gt;220),"분량 확인","")</f>
        <v/>
      </c>
    </row>
    <row r="137" customFormat="false" ht="48" hidden="false" customHeight="true" outlineLevel="0" collapsed="false">
      <c r="A137" s="13" t="s">
        <v>1070</v>
      </c>
      <c r="B137" s="14" t="s">
        <v>573</v>
      </c>
      <c r="C137" s="15" t="s">
        <v>564</v>
      </c>
      <c r="D137" s="15" t="s">
        <v>1071</v>
      </c>
      <c r="E137" s="28" t="s">
        <v>19</v>
      </c>
      <c r="F137" s="16"/>
      <c r="G137" s="16"/>
      <c r="H137" s="19" t="n">
        <f aca="false">LEN(IF(F137&lt;&gt;"",F137,D137))</f>
        <v>84</v>
      </c>
      <c r="I137" s="29" t="str">
        <f aca="false">IF(OR(H137&lt;60,H137&gt;220),"분량 확인","")</f>
        <v/>
      </c>
    </row>
    <row r="138" customFormat="false" ht="48" hidden="false" customHeight="true" outlineLevel="0" collapsed="false">
      <c r="A138" s="13" t="s">
        <v>1072</v>
      </c>
      <c r="B138" s="14" t="s">
        <v>573</v>
      </c>
      <c r="C138" s="15" t="s">
        <v>567</v>
      </c>
      <c r="D138" s="15" t="s">
        <v>1073</v>
      </c>
      <c r="E138" s="28" t="s">
        <v>19</v>
      </c>
      <c r="F138" s="16"/>
      <c r="G138" s="16"/>
      <c r="H138" s="19" t="n">
        <f aca="false">LEN(IF(F138&lt;&gt;"",F138,D138))</f>
        <v>84</v>
      </c>
      <c r="I138" s="29" t="str">
        <f aca="false">IF(OR(H138&lt;60,H138&gt;220),"분량 확인","")</f>
        <v/>
      </c>
    </row>
    <row r="139" customFormat="false" ht="61.5" hidden="false" customHeight="true" outlineLevel="0" collapsed="false">
      <c r="A139" s="13" t="s">
        <v>1074</v>
      </c>
      <c r="B139" s="14" t="s">
        <v>573</v>
      </c>
      <c r="C139" s="15" t="s">
        <v>570</v>
      </c>
      <c r="D139" s="15" t="s">
        <v>1075</v>
      </c>
      <c r="E139" s="28" t="s">
        <v>19</v>
      </c>
      <c r="F139" s="16"/>
      <c r="G139" s="16"/>
      <c r="H139" s="19" t="n">
        <f aca="false">LEN(IF(F139&lt;&gt;"",F139,D139))</f>
        <v>91</v>
      </c>
      <c r="I139" s="29" t="str">
        <f aca="false">IF(OR(H139&lt;60,H139&gt;220),"분량 확인","")</f>
        <v/>
      </c>
    </row>
    <row r="140" customFormat="false" ht="48" hidden="false" customHeight="true" outlineLevel="0" collapsed="false">
      <c r="A140" s="13" t="s">
        <v>1076</v>
      </c>
      <c r="B140" s="14" t="s">
        <v>585</v>
      </c>
      <c r="C140" s="15" t="s">
        <v>564</v>
      </c>
      <c r="D140" s="15" t="s">
        <v>1077</v>
      </c>
      <c r="E140" s="28" t="s">
        <v>19</v>
      </c>
      <c r="F140" s="16"/>
      <c r="G140" s="16"/>
      <c r="H140" s="19" t="n">
        <f aca="false">LEN(IF(F140&lt;&gt;"",F140,D140))</f>
        <v>79</v>
      </c>
      <c r="I140" s="29" t="str">
        <f aca="false">IF(OR(H140&lt;60,H140&gt;220),"분량 확인","")</f>
        <v/>
      </c>
    </row>
    <row r="141" customFormat="false" ht="61.5" hidden="false" customHeight="true" outlineLevel="0" collapsed="false">
      <c r="A141" s="13" t="s">
        <v>1078</v>
      </c>
      <c r="B141" s="14" t="s">
        <v>585</v>
      </c>
      <c r="C141" s="15" t="s">
        <v>567</v>
      </c>
      <c r="D141" s="15" t="s">
        <v>1079</v>
      </c>
      <c r="E141" s="28" t="s">
        <v>19</v>
      </c>
      <c r="F141" s="16"/>
      <c r="G141" s="16"/>
      <c r="H141" s="19" t="n">
        <f aca="false">LEN(IF(F141&lt;&gt;"",F141,D141))</f>
        <v>90</v>
      </c>
      <c r="I141" s="29" t="str">
        <f aca="false">IF(OR(H141&lt;60,H141&gt;220),"분량 확인","")</f>
        <v/>
      </c>
    </row>
    <row r="142" customFormat="false" ht="61.5" hidden="false" customHeight="true" outlineLevel="0" collapsed="false">
      <c r="A142" s="13" t="s">
        <v>1080</v>
      </c>
      <c r="B142" s="14" t="s">
        <v>585</v>
      </c>
      <c r="C142" s="15" t="s">
        <v>570</v>
      </c>
      <c r="D142" s="15" t="s">
        <v>1081</v>
      </c>
      <c r="E142" s="28" t="s">
        <v>19</v>
      </c>
      <c r="F142" s="16"/>
      <c r="G142" s="16"/>
      <c r="H142" s="19" t="n">
        <f aca="false">LEN(IF(F142&lt;&gt;"",F142,D142))</f>
        <v>97</v>
      </c>
      <c r="I142" s="29" t="str">
        <f aca="false">IF(OR(H142&lt;60,H142&gt;220),"분량 확인","")</f>
        <v/>
      </c>
    </row>
    <row r="143" customFormat="false" ht="48" hidden="false" customHeight="true" outlineLevel="0" collapsed="false">
      <c r="A143" s="13" t="s">
        <v>1082</v>
      </c>
      <c r="B143" s="14" t="s">
        <v>596</v>
      </c>
      <c r="C143" s="15" t="s">
        <v>564</v>
      </c>
      <c r="D143" s="15" t="s">
        <v>1083</v>
      </c>
      <c r="E143" s="28" t="s">
        <v>19</v>
      </c>
      <c r="F143" s="16"/>
      <c r="G143" s="16"/>
      <c r="H143" s="19" t="n">
        <f aca="false">LEN(IF(F143&lt;&gt;"",F143,D143))</f>
        <v>85</v>
      </c>
      <c r="I143" s="29" t="str">
        <f aca="false">IF(OR(H143&lt;60,H143&gt;220),"분량 확인","")</f>
        <v/>
      </c>
    </row>
    <row r="144" customFormat="false" ht="61.5" hidden="false" customHeight="true" outlineLevel="0" collapsed="false">
      <c r="A144" s="13" t="s">
        <v>1084</v>
      </c>
      <c r="B144" s="14" t="s">
        <v>596</v>
      </c>
      <c r="C144" s="15" t="s">
        <v>567</v>
      </c>
      <c r="D144" s="15" t="s">
        <v>1085</v>
      </c>
      <c r="E144" s="28" t="s">
        <v>19</v>
      </c>
      <c r="F144" s="16"/>
      <c r="G144" s="16"/>
      <c r="H144" s="19" t="n">
        <f aca="false">LEN(IF(F144&lt;&gt;"",F144,D144))</f>
        <v>95</v>
      </c>
      <c r="I144" s="29" t="str">
        <f aca="false">IF(OR(H144&lt;60,H144&gt;220),"분량 확인","")</f>
        <v/>
      </c>
    </row>
    <row r="145" customFormat="false" ht="48" hidden="false" customHeight="true" outlineLevel="0" collapsed="false">
      <c r="A145" s="13" t="s">
        <v>1086</v>
      </c>
      <c r="B145" s="14" t="s">
        <v>596</v>
      </c>
      <c r="C145" s="15" t="s">
        <v>570</v>
      </c>
      <c r="D145" s="15" t="s">
        <v>1087</v>
      </c>
      <c r="E145" s="28" t="s">
        <v>19</v>
      </c>
      <c r="F145" s="16"/>
      <c r="G145" s="16"/>
      <c r="H145" s="19" t="n">
        <f aca="false">LEN(IF(F145&lt;&gt;"",F145,D145))</f>
        <v>75</v>
      </c>
      <c r="I145" s="29" t="str">
        <f aca="false">IF(OR(H145&lt;60,H145&gt;220),"분량 확인","")</f>
        <v/>
      </c>
    </row>
    <row r="146" customFormat="false" ht="61.5" hidden="false" customHeight="true" outlineLevel="0" collapsed="false">
      <c r="A146" s="13" t="s">
        <v>1088</v>
      </c>
      <c r="B146" s="14" t="s">
        <v>608</v>
      </c>
      <c r="C146" s="15" t="s">
        <v>564</v>
      </c>
      <c r="D146" s="15" t="s">
        <v>1089</v>
      </c>
      <c r="E146" s="28" t="s">
        <v>19</v>
      </c>
      <c r="F146" s="16"/>
      <c r="G146" s="16"/>
      <c r="H146" s="19" t="n">
        <f aca="false">LEN(IF(F146&lt;&gt;"",F146,D146))</f>
        <v>107</v>
      </c>
      <c r="I146" s="29" t="str">
        <f aca="false">IF(OR(H146&lt;60,H146&gt;220),"분량 확인","")</f>
        <v/>
      </c>
    </row>
    <row r="147" customFormat="false" ht="48" hidden="false" customHeight="true" outlineLevel="0" collapsed="false">
      <c r="A147" s="13" t="s">
        <v>1090</v>
      </c>
      <c r="B147" s="14" t="s">
        <v>608</v>
      </c>
      <c r="C147" s="15" t="s">
        <v>567</v>
      </c>
      <c r="D147" s="15" t="s">
        <v>1091</v>
      </c>
      <c r="E147" s="28" t="s">
        <v>19</v>
      </c>
      <c r="F147" s="16"/>
      <c r="G147" s="16"/>
      <c r="H147" s="19" t="n">
        <f aca="false">LEN(IF(F147&lt;&gt;"",F147,D147))</f>
        <v>79</v>
      </c>
      <c r="I147" s="29" t="str">
        <f aca="false">IF(OR(H147&lt;60,H147&gt;220),"분량 확인","")</f>
        <v/>
      </c>
    </row>
    <row r="148" customFormat="false" ht="61.5" hidden="false" customHeight="true" outlineLevel="0" collapsed="false">
      <c r="A148" s="13" t="s">
        <v>1092</v>
      </c>
      <c r="B148" s="14" t="s">
        <v>608</v>
      </c>
      <c r="C148" s="15" t="s">
        <v>570</v>
      </c>
      <c r="D148" s="15" t="s">
        <v>1093</v>
      </c>
      <c r="E148" s="28" t="s">
        <v>19</v>
      </c>
      <c r="F148" s="16"/>
      <c r="G148" s="16"/>
      <c r="H148" s="19" t="n">
        <f aca="false">LEN(IF(F148&lt;&gt;"",F148,D148))</f>
        <v>92</v>
      </c>
      <c r="I148" s="29" t="str">
        <f aca="false">IF(OR(H148&lt;60,H148&gt;220),"분량 확인","")</f>
        <v/>
      </c>
    </row>
    <row r="149" customFormat="false" ht="48" hidden="false" customHeight="true" outlineLevel="0" collapsed="false">
      <c r="A149" s="13" t="s">
        <v>1094</v>
      </c>
      <c r="B149" s="14" t="s">
        <v>620</v>
      </c>
      <c r="C149" s="15" t="s">
        <v>564</v>
      </c>
      <c r="D149" s="15" t="s">
        <v>1095</v>
      </c>
      <c r="E149" s="28" t="s">
        <v>19</v>
      </c>
      <c r="F149" s="16"/>
      <c r="G149" s="16"/>
      <c r="H149" s="19" t="n">
        <f aca="false">LEN(IF(F149&lt;&gt;"",F149,D149))</f>
        <v>82</v>
      </c>
      <c r="I149" s="29" t="str">
        <f aca="false">IF(OR(H149&lt;60,H149&gt;220),"분량 확인","")</f>
        <v/>
      </c>
    </row>
    <row r="150" customFormat="false" ht="48" hidden="false" customHeight="true" outlineLevel="0" collapsed="false">
      <c r="A150" s="13" t="s">
        <v>1096</v>
      </c>
      <c r="B150" s="14" t="s">
        <v>620</v>
      </c>
      <c r="C150" s="15" t="s">
        <v>567</v>
      </c>
      <c r="D150" s="15" t="s">
        <v>1097</v>
      </c>
      <c r="E150" s="28" t="s">
        <v>19</v>
      </c>
      <c r="F150" s="16"/>
      <c r="G150" s="16"/>
      <c r="H150" s="19" t="n">
        <f aca="false">LEN(IF(F150&lt;&gt;"",F150,D150))</f>
        <v>85</v>
      </c>
      <c r="I150" s="29" t="str">
        <f aca="false">IF(OR(H150&lt;60,H150&gt;220),"분량 확인","")</f>
        <v/>
      </c>
    </row>
    <row r="151" customFormat="false" ht="61.5" hidden="false" customHeight="true" outlineLevel="0" collapsed="false">
      <c r="A151" s="13" t="s">
        <v>1098</v>
      </c>
      <c r="B151" s="14" t="s">
        <v>620</v>
      </c>
      <c r="C151" s="15" t="s">
        <v>570</v>
      </c>
      <c r="D151" s="15" t="s">
        <v>1099</v>
      </c>
      <c r="E151" s="28" t="s">
        <v>19</v>
      </c>
      <c r="F151" s="16"/>
      <c r="G151" s="16"/>
      <c r="H151" s="19" t="n">
        <f aca="false">LEN(IF(F151&lt;&gt;"",F151,D151))</f>
        <v>96</v>
      </c>
      <c r="I151" s="29" t="str">
        <f aca="false">IF(OR(H151&lt;60,H151&gt;220),"분량 확인","")</f>
        <v/>
      </c>
    </row>
    <row r="152" customFormat="false" ht="61.5" hidden="false" customHeight="true" outlineLevel="0" collapsed="false">
      <c r="A152" s="13" t="s">
        <v>1100</v>
      </c>
      <c r="B152" s="14" t="s">
        <v>632</v>
      </c>
      <c r="C152" s="15" t="s">
        <v>564</v>
      </c>
      <c r="D152" s="15" t="s">
        <v>1101</v>
      </c>
      <c r="E152" s="28" t="s">
        <v>19</v>
      </c>
      <c r="F152" s="16"/>
      <c r="G152" s="16"/>
      <c r="H152" s="19" t="n">
        <f aca="false">LEN(IF(F152&lt;&gt;"",F152,D152))</f>
        <v>94</v>
      </c>
      <c r="I152" s="29" t="str">
        <f aca="false">IF(OR(H152&lt;60,H152&gt;220),"분량 확인","")</f>
        <v/>
      </c>
    </row>
    <row r="153" customFormat="false" ht="61.5" hidden="false" customHeight="true" outlineLevel="0" collapsed="false">
      <c r="A153" s="13" t="s">
        <v>1102</v>
      </c>
      <c r="B153" s="14" t="s">
        <v>632</v>
      </c>
      <c r="C153" s="15" t="s">
        <v>567</v>
      </c>
      <c r="D153" s="15" t="s">
        <v>1103</v>
      </c>
      <c r="E153" s="28" t="s">
        <v>19</v>
      </c>
      <c r="F153" s="16"/>
      <c r="G153" s="16"/>
      <c r="H153" s="19" t="n">
        <f aca="false">LEN(IF(F153&lt;&gt;"",F153,D153))</f>
        <v>98</v>
      </c>
      <c r="I153" s="29" t="str">
        <f aca="false">IF(OR(H153&lt;60,H153&gt;220),"분량 확인","")</f>
        <v/>
      </c>
    </row>
    <row r="154" customFormat="false" ht="61.5" hidden="false" customHeight="true" outlineLevel="0" collapsed="false">
      <c r="A154" s="13" t="s">
        <v>1104</v>
      </c>
      <c r="B154" s="14" t="s">
        <v>632</v>
      </c>
      <c r="C154" s="15" t="s">
        <v>570</v>
      </c>
      <c r="D154" s="15" t="s">
        <v>1105</v>
      </c>
      <c r="E154" s="28" t="s">
        <v>19</v>
      </c>
      <c r="F154" s="16"/>
      <c r="G154" s="16"/>
      <c r="H154" s="19" t="n">
        <f aca="false">LEN(IF(F154&lt;&gt;"",F154,D154))</f>
        <v>89</v>
      </c>
      <c r="I154" s="29" t="str">
        <f aca="false">IF(OR(H154&lt;60,H154&gt;220),"분량 확인","")</f>
        <v/>
      </c>
    </row>
    <row r="155" customFormat="false" ht="48" hidden="false" customHeight="true" outlineLevel="0" collapsed="false">
      <c r="A155" s="13" t="s">
        <v>1106</v>
      </c>
      <c r="B155" s="14" t="s">
        <v>645</v>
      </c>
      <c r="C155" s="15" t="s">
        <v>564</v>
      </c>
      <c r="D155" s="15" t="s">
        <v>1107</v>
      </c>
      <c r="E155" s="28" t="s">
        <v>19</v>
      </c>
      <c r="F155" s="16"/>
      <c r="G155" s="16"/>
      <c r="H155" s="19" t="n">
        <f aca="false">LEN(IF(F155&lt;&gt;"",F155,D155))</f>
        <v>74</v>
      </c>
      <c r="I155" s="29" t="str">
        <f aca="false">IF(OR(H155&lt;60,H155&gt;220),"분량 확인","")</f>
        <v/>
      </c>
    </row>
    <row r="156" customFormat="false" ht="48" hidden="false" customHeight="true" outlineLevel="0" collapsed="false">
      <c r="A156" s="13" t="s">
        <v>1108</v>
      </c>
      <c r="B156" s="14" t="s">
        <v>645</v>
      </c>
      <c r="C156" s="15" t="s">
        <v>567</v>
      </c>
      <c r="D156" s="15" t="s">
        <v>1109</v>
      </c>
      <c r="E156" s="28" t="s">
        <v>19</v>
      </c>
      <c r="F156" s="16"/>
      <c r="G156" s="16"/>
      <c r="H156" s="19" t="n">
        <f aca="false">LEN(IF(F156&lt;&gt;"",F156,D156))</f>
        <v>87</v>
      </c>
      <c r="I156" s="29" t="str">
        <f aca="false">IF(OR(H156&lt;60,H156&gt;220),"분량 확인","")</f>
        <v/>
      </c>
    </row>
    <row r="157" customFormat="false" ht="61.5" hidden="false" customHeight="true" outlineLevel="0" collapsed="false">
      <c r="A157" s="13" t="s">
        <v>1110</v>
      </c>
      <c r="B157" s="14" t="s">
        <v>645</v>
      </c>
      <c r="C157" s="15" t="s">
        <v>570</v>
      </c>
      <c r="D157" s="15" t="s">
        <v>1111</v>
      </c>
      <c r="E157" s="28" t="s">
        <v>19</v>
      </c>
      <c r="F157" s="16"/>
      <c r="G157" s="16"/>
      <c r="H157" s="19" t="n">
        <f aca="false">LEN(IF(F157&lt;&gt;"",F157,D157))</f>
        <v>101</v>
      </c>
      <c r="I157" s="29" t="str">
        <f aca="false">IF(OR(H157&lt;60,H157&gt;220),"분량 확인","")</f>
        <v/>
      </c>
    </row>
    <row r="158" customFormat="false" ht="48" hidden="false" customHeight="true" outlineLevel="0" collapsed="false">
      <c r="A158" s="13" t="s">
        <v>1112</v>
      </c>
      <c r="B158" s="14" t="s">
        <v>655</v>
      </c>
      <c r="C158" s="15" t="s">
        <v>564</v>
      </c>
      <c r="D158" s="15" t="s">
        <v>1113</v>
      </c>
      <c r="E158" s="28" t="s">
        <v>19</v>
      </c>
      <c r="F158" s="16"/>
      <c r="G158" s="16"/>
      <c r="H158" s="19" t="n">
        <f aca="false">LEN(IF(F158&lt;&gt;"",F158,D158))</f>
        <v>81</v>
      </c>
      <c r="I158" s="29" t="str">
        <f aca="false">IF(OR(H158&lt;60,H158&gt;220),"분량 확인","")</f>
        <v/>
      </c>
    </row>
    <row r="159" customFormat="false" ht="48" hidden="false" customHeight="true" outlineLevel="0" collapsed="false">
      <c r="A159" s="13" t="s">
        <v>1114</v>
      </c>
      <c r="B159" s="14" t="s">
        <v>655</v>
      </c>
      <c r="C159" s="15" t="s">
        <v>567</v>
      </c>
      <c r="D159" s="15" t="s">
        <v>1115</v>
      </c>
      <c r="E159" s="28" t="s">
        <v>19</v>
      </c>
      <c r="F159" s="16"/>
      <c r="G159" s="16"/>
      <c r="H159" s="19" t="n">
        <f aca="false">LEN(IF(F159&lt;&gt;"",F159,D159))</f>
        <v>78</v>
      </c>
      <c r="I159" s="29" t="str">
        <f aca="false">IF(OR(H159&lt;60,H159&gt;220),"분량 확인","")</f>
        <v/>
      </c>
    </row>
    <row r="160" customFormat="false" ht="61.5" hidden="false" customHeight="true" outlineLevel="0" collapsed="false">
      <c r="A160" s="13" t="s">
        <v>1116</v>
      </c>
      <c r="B160" s="14" t="s">
        <v>655</v>
      </c>
      <c r="C160" s="15" t="s">
        <v>570</v>
      </c>
      <c r="D160" s="15" t="s">
        <v>1117</v>
      </c>
      <c r="E160" s="28" t="s">
        <v>19</v>
      </c>
      <c r="F160" s="16"/>
      <c r="G160" s="16"/>
      <c r="H160" s="19" t="n">
        <f aca="false">LEN(IF(F160&lt;&gt;"",F160,D160))</f>
        <v>95</v>
      </c>
      <c r="I160" s="29" t="str">
        <f aca="false">IF(OR(H160&lt;60,H160&gt;220),"분량 확인","")</f>
        <v/>
      </c>
    </row>
    <row r="161" customFormat="false" ht="48" hidden="false" customHeight="true" outlineLevel="0" collapsed="false">
      <c r="A161" s="13" t="s">
        <v>1118</v>
      </c>
      <c r="B161" s="14" t="s">
        <v>668</v>
      </c>
      <c r="C161" s="15" t="s">
        <v>564</v>
      </c>
      <c r="D161" s="15" t="s">
        <v>1119</v>
      </c>
      <c r="E161" s="28" t="s">
        <v>19</v>
      </c>
      <c r="F161" s="16"/>
      <c r="G161" s="16"/>
      <c r="H161" s="19" t="n">
        <f aca="false">LEN(IF(F161&lt;&gt;"",F161,D161))</f>
        <v>81</v>
      </c>
      <c r="I161" s="29" t="str">
        <f aca="false">IF(OR(H161&lt;60,H161&gt;220),"분량 확인","")</f>
        <v/>
      </c>
    </row>
    <row r="162" customFormat="false" ht="48" hidden="false" customHeight="true" outlineLevel="0" collapsed="false">
      <c r="A162" s="13" t="s">
        <v>1120</v>
      </c>
      <c r="B162" s="14" t="s">
        <v>668</v>
      </c>
      <c r="C162" s="15" t="s">
        <v>567</v>
      </c>
      <c r="D162" s="15" t="s">
        <v>1121</v>
      </c>
      <c r="E162" s="28" t="s">
        <v>19</v>
      </c>
      <c r="F162" s="16"/>
      <c r="G162" s="16"/>
      <c r="H162" s="19" t="n">
        <f aca="false">LEN(IF(F162&lt;&gt;"",F162,D162))</f>
        <v>83</v>
      </c>
      <c r="I162" s="29" t="str">
        <f aca="false">IF(OR(H162&lt;60,H162&gt;220),"분량 확인","")</f>
        <v/>
      </c>
    </row>
    <row r="163" customFormat="false" ht="48" hidden="false" customHeight="true" outlineLevel="0" collapsed="false">
      <c r="A163" s="13" t="s">
        <v>1122</v>
      </c>
      <c r="B163" s="14" t="s">
        <v>668</v>
      </c>
      <c r="C163" s="15" t="s">
        <v>570</v>
      </c>
      <c r="D163" s="15" t="s">
        <v>1123</v>
      </c>
      <c r="E163" s="28" t="s">
        <v>19</v>
      </c>
      <c r="F163" s="16"/>
      <c r="G163" s="16"/>
      <c r="H163" s="19" t="n">
        <f aca="false">LEN(IF(F163&lt;&gt;"",F163,D163))</f>
        <v>85</v>
      </c>
      <c r="I163" s="29" t="str">
        <f aca="false">IF(OR(H163&lt;60,H163&gt;220),"분량 확인","")</f>
        <v/>
      </c>
    </row>
    <row r="164" customFormat="false" ht="48" hidden="false" customHeight="true" outlineLevel="0" collapsed="false">
      <c r="A164" s="13" t="s">
        <v>1124</v>
      </c>
      <c r="B164" s="14" t="s">
        <v>680</v>
      </c>
      <c r="C164" s="15" t="s">
        <v>564</v>
      </c>
      <c r="D164" s="15" t="s">
        <v>1125</v>
      </c>
      <c r="E164" s="28" t="s">
        <v>19</v>
      </c>
      <c r="F164" s="16"/>
      <c r="G164" s="16"/>
      <c r="H164" s="19" t="n">
        <f aca="false">LEN(IF(F164&lt;&gt;"",F164,D164))</f>
        <v>81</v>
      </c>
      <c r="I164" s="29" t="str">
        <f aca="false">IF(OR(H164&lt;60,H164&gt;220),"분량 확인","")</f>
        <v/>
      </c>
    </row>
    <row r="165" customFormat="false" ht="61.5" hidden="false" customHeight="true" outlineLevel="0" collapsed="false">
      <c r="A165" s="13" t="s">
        <v>1126</v>
      </c>
      <c r="B165" s="14" t="s">
        <v>680</v>
      </c>
      <c r="C165" s="15" t="s">
        <v>567</v>
      </c>
      <c r="D165" s="15" t="s">
        <v>1127</v>
      </c>
      <c r="E165" s="28" t="s">
        <v>19</v>
      </c>
      <c r="F165" s="16"/>
      <c r="G165" s="16"/>
      <c r="H165" s="19" t="n">
        <f aca="false">LEN(IF(F165&lt;&gt;"",F165,D165))</f>
        <v>96</v>
      </c>
      <c r="I165" s="29" t="str">
        <f aca="false">IF(OR(H165&lt;60,H165&gt;220),"분량 확인","")</f>
        <v/>
      </c>
    </row>
    <row r="166" customFormat="false" ht="48" hidden="false" customHeight="true" outlineLevel="0" collapsed="false">
      <c r="A166" s="13" t="s">
        <v>1128</v>
      </c>
      <c r="B166" s="14" t="s">
        <v>680</v>
      </c>
      <c r="C166" s="15" t="s">
        <v>570</v>
      </c>
      <c r="D166" s="15" t="s">
        <v>1129</v>
      </c>
      <c r="E166" s="28" t="s">
        <v>19</v>
      </c>
      <c r="F166" s="16"/>
      <c r="G166" s="16"/>
      <c r="H166" s="19" t="n">
        <f aca="false">LEN(IF(F166&lt;&gt;"",F166,D166))</f>
        <v>81</v>
      </c>
      <c r="I166" s="29" t="str">
        <f aca="false">IF(OR(H166&lt;60,H166&gt;220),"분량 확인","")</f>
        <v/>
      </c>
    </row>
    <row r="167" customFormat="false" ht="48" hidden="false" customHeight="true" outlineLevel="0" collapsed="false">
      <c r="A167" s="13" t="s">
        <v>1130</v>
      </c>
      <c r="B167" s="14" t="s">
        <v>693</v>
      </c>
      <c r="C167" s="15" t="s">
        <v>564</v>
      </c>
      <c r="D167" s="15" t="s">
        <v>1131</v>
      </c>
      <c r="E167" s="28" t="s">
        <v>19</v>
      </c>
      <c r="F167" s="16"/>
      <c r="G167" s="16"/>
      <c r="H167" s="19" t="n">
        <f aca="false">LEN(IF(F167&lt;&gt;"",F167,D167))</f>
        <v>75</v>
      </c>
      <c r="I167" s="29" t="str">
        <f aca="false">IF(OR(H167&lt;60,H167&gt;220),"분량 확인","")</f>
        <v/>
      </c>
    </row>
    <row r="168" customFormat="false" ht="48" hidden="false" customHeight="true" outlineLevel="0" collapsed="false">
      <c r="A168" s="13" t="s">
        <v>1132</v>
      </c>
      <c r="B168" s="14" t="s">
        <v>693</v>
      </c>
      <c r="C168" s="15" t="s">
        <v>567</v>
      </c>
      <c r="D168" s="15" t="s">
        <v>1133</v>
      </c>
      <c r="E168" s="28" t="s">
        <v>19</v>
      </c>
      <c r="F168" s="16"/>
      <c r="G168" s="16"/>
      <c r="H168" s="19" t="n">
        <f aca="false">LEN(IF(F168&lt;&gt;"",F168,D168))</f>
        <v>80</v>
      </c>
      <c r="I168" s="29" t="str">
        <f aca="false">IF(OR(H168&lt;60,H168&gt;220),"분량 확인","")</f>
        <v/>
      </c>
    </row>
    <row r="169" customFormat="false" ht="61.5" hidden="false" customHeight="true" outlineLevel="0" collapsed="false">
      <c r="A169" s="13" t="s">
        <v>1134</v>
      </c>
      <c r="B169" s="14" t="s">
        <v>693</v>
      </c>
      <c r="C169" s="15" t="s">
        <v>570</v>
      </c>
      <c r="D169" s="15" t="s">
        <v>1135</v>
      </c>
      <c r="E169" s="28" t="s">
        <v>19</v>
      </c>
      <c r="F169" s="16"/>
      <c r="G169" s="16"/>
      <c r="H169" s="19" t="n">
        <f aca="false">LEN(IF(F169&lt;&gt;"",F169,D169))</f>
        <v>92</v>
      </c>
      <c r="I169" s="29" t="str">
        <f aca="false">IF(OR(H169&lt;60,H169&gt;220),"분량 확인","")</f>
        <v/>
      </c>
    </row>
    <row r="170" customFormat="false" ht="48" hidden="false" customHeight="true" outlineLevel="0" collapsed="false">
      <c r="A170" s="13" t="s">
        <v>1136</v>
      </c>
      <c r="B170" s="14" t="s">
        <v>32</v>
      </c>
      <c r="C170" s="15" t="s">
        <v>564</v>
      </c>
      <c r="D170" s="15" t="s">
        <v>1137</v>
      </c>
      <c r="E170" s="28" t="s">
        <v>19</v>
      </c>
      <c r="F170" s="16"/>
      <c r="G170" s="16"/>
      <c r="H170" s="19" t="n">
        <f aca="false">LEN(IF(F170&lt;&gt;"",F170,D170))</f>
        <v>83</v>
      </c>
      <c r="I170" s="29" t="str">
        <f aca="false">IF(OR(H170&lt;60,H170&gt;220),"분량 확인","")</f>
        <v/>
      </c>
    </row>
    <row r="171" customFormat="false" ht="48" hidden="false" customHeight="true" outlineLevel="0" collapsed="false">
      <c r="A171" s="13" t="s">
        <v>1138</v>
      </c>
      <c r="B171" s="14" t="s">
        <v>32</v>
      </c>
      <c r="C171" s="15" t="s">
        <v>567</v>
      </c>
      <c r="D171" s="15" t="s">
        <v>1139</v>
      </c>
      <c r="E171" s="28" t="s">
        <v>19</v>
      </c>
      <c r="F171" s="16"/>
      <c r="G171" s="16"/>
      <c r="H171" s="19" t="n">
        <f aca="false">LEN(IF(F171&lt;&gt;"",F171,D171))</f>
        <v>82</v>
      </c>
      <c r="I171" s="29" t="str">
        <f aca="false">IF(OR(H171&lt;60,H171&gt;220),"분량 확인","")</f>
        <v/>
      </c>
    </row>
    <row r="172" customFormat="false" ht="48" hidden="false" customHeight="true" outlineLevel="0" collapsed="false">
      <c r="A172" s="13" t="s">
        <v>1140</v>
      </c>
      <c r="B172" s="14" t="s">
        <v>32</v>
      </c>
      <c r="C172" s="15" t="s">
        <v>570</v>
      </c>
      <c r="D172" s="15" t="s">
        <v>1141</v>
      </c>
      <c r="E172" s="28" t="s">
        <v>19</v>
      </c>
      <c r="F172" s="16"/>
      <c r="G172" s="16"/>
      <c r="H172" s="19" t="n">
        <f aca="false">LEN(IF(F172&lt;&gt;"",F172,D172))</f>
        <v>74</v>
      </c>
      <c r="I172" s="29" t="str">
        <f aca="false">IF(OR(H172&lt;60,H172&gt;220),"분량 확인","")</f>
        <v/>
      </c>
    </row>
    <row r="173" customFormat="false" ht="61.5" hidden="false" customHeight="true" outlineLevel="0" collapsed="false">
      <c r="A173" s="13" t="s">
        <v>1142</v>
      </c>
      <c r="B173" s="14" t="s">
        <v>716</v>
      </c>
      <c r="C173" s="15" t="s">
        <v>564</v>
      </c>
      <c r="D173" s="15" t="s">
        <v>1143</v>
      </c>
      <c r="E173" s="28" t="s">
        <v>19</v>
      </c>
      <c r="F173" s="16"/>
      <c r="G173" s="16"/>
      <c r="H173" s="19" t="n">
        <f aca="false">LEN(IF(F173&lt;&gt;"",F173,D173))</f>
        <v>89</v>
      </c>
      <c r="I173" s="29" t="str">
        <f aca="false">IF(OR(H173&lt;60,H173&gt;220),"분량 확인","")</f>
        <v/>
      </c>
    </row>
    <row r="174" customFormat="false" ht="48" hidden="false" customHeight="true" outlineLevel="0" collapsed="false">
      <c r="A174" s="13" t="s">
        <v>1144</v>
      </c>
      <c r="B174" s="14" t="s">
        <v>716</v>
      </c>
      <c r="C174" s="15" t="s">
        <v>567</v>
      </c>
      <c r="D174" s="15" t="s">
        <v>1145</v>
      </c>
      <c r="E174" s="28" t="s">
        <v>19</v>
      </c>
      <c r="F174" s="16"/>
      <c r="G174" s="16"/>
      <c r="H174" s="19" t="n">
        <f aca="false">LEN(IF(F174&lt;&gt;"",F174,D174))</f>
        <v>86</v>
      </c>
      <c r="I174" s="29" t="str">
        <f aca="false">IF(OR(H174&lt;60,H174&gt;220),"분량 확인","")</f>
        <v/>
      </c>
    </row>
    <row r="175" customFormat="false" ht="61.5" hidden="false" customHeight="true" outlineLevel="0" collapsed="false">
      <c r="A175" s="13" t="s">
        <v>1146</v>
      </c>
      <c r="B175" s="14" t="s">
        <v>716</v>
      </c>
      <c r="C175" s="15" t="s">
        <v>570</v>
      </c>
      <c r="D175" s="15" t="s">
        <v>1147</v>
      </c>
      <c r="E175" s="28" t="s">
        <v>19</v>
      </c>
      <c r="F175" s="16"/>
      <c r="G175" s="16"/>
      <c r="H175" s="19" t="n">
        <f aca="false">LEN(IF(F175&lt;&gt;"",F175,D175))</f>
        <v>94</v>
      </c>
      <c r="I175" s="29" t="str">
        <f aca="false">IF(OR(H175&lt;60,H175&gt;220),"분량 확인","")</f>
        <v/>
      </c>
    </row>
    <row r="176" customFormat="false" ht="48" hidden="false" customHeight="true" outlineLevel="0" collapsed="false">
      <c r="A176" s="13" t="s">
        <v>1148</v>
      </c>
      <c r="B176" s="14" t="s">
        <v>727</v>
      </c>
      <c r="C176" s="15" t="s">
        <v>564</v>
      </c>
      <c r="D176" s="15" t="s">
        <v>1149</v>
      </c>
      <c r="E176" s="28" t="s">
        <v>19</v>
      </c>
      <c r="F176" s="16"/>
      <c r="G176" s="16"/>
      <c r="H176" s="19" t="n">
        <f aca="false">LEN(IF(F176&lt;&gt;"",F176,D176))</f>
        <v>82</v>
      </c>
      <c r="I176" s="29" t="str">
        <f aca="false">IF(OR(H176&lt;60,H176&gt;220),"분량 확인","")</f>
        <v/>
      </c>
    </row>
    <row r="177" customFormat="false" ht="48" hidden="false" customHeight="true" outlineLevel="0" collapsed="false">
      <c r="A177" s="13" t="s">
        <v>1150</v>
      </c>
      <c r="B177" s="14" t="s">
        <v>727</v>
      </c>
      <c r="C177" s="15" t="s">
        <v>567</v>
      </c>
      <c r="D177" s="15" t="s">
        <v>1151</v>
      </c>
      <c r="E177" s="28" t="s">
        <v>19</v>
      </c>
      <c r="F177" s="16"/>
      <c r="G177" s="16"/>
      <c r="H177" s="19" t="n">
        <f aca="false">LEN(IF(F177&lt;&gt;"",F177,D177))</f>
        <v>81</v>
      </c>
      <c r="I177" s="29" t="str">
        <f aca="false">IF(OR(H177&lt;60,H177&gt;220),"분량 확인","")</f>
        <v/>
      </c>
    </row>
    <row r="178" customFormat="false" ht="48" hidden="false" customHeight="true" outlineLevel="0" collapsed="false">
      <c r="A178" s="13" t="s">
        <v>1152</v>
      </c>
      <c r="B178" s="14" t="s">
        <v>727</v>
      </c>
      <c r="C178" s="15" t="s">
        <v>570</v>
      </c>
      <c r="D178" s="15" t="s">
        <v>1153</v>
      </c>
      <c r="E178" s="28" t="s">
        <v>19</v>
      </c>
      <c r="F178" s="16"/>
      <c r="G178" s="16"/>
      <c r="H178" s="19" t="n">
        <f aca="false">LEN(IF(F178&lt;&gt;"",F178,D178))</f>
        <v>87</v>
      </c>
      <c r="I178" s="29" t="str">
        <f aca="false">IF(OR(H178&lt;60,H178&gt;220),"분량 확인","")</f>
        <v/>
      </c>
    </row>
    <row r="179" customFormat="false" ht="48" hidden="false" customHeight="true" outlineLevel="0" collapsed="false">
      <c r="A179" s="13" t="s">
        <v>1154</v>
      </c>
      <c r="B179" s="14" t="s">
        <v>739</v>
      </c>
      <c r="C179" s="15" t="s">
        <v>564</v>
      </c>
      <c r="D179" s="15" t="s">
        <v>1155</v>
      </c>
      <c r="E179" s="28" t="s">
        <v>19</v>
      </c>
      <c r="F179" s="16"/>
      <c r="G179" s="16"/>
      <c r="H179" s="19" t="n">
        <f aca="false">LEN(IF(F179&lt;&gt;"",F179,D179))</f>
        <v>78</v>
      </c>
      <c r="I179" s="29" t="str">
        <f aca="false">IF(OR(H179&lt;60,H179&gt;220),"분량 확인","")</f>
        <v/>
      </c>
    </row>
    <row r="180" customFormat="false" ht="48" hidden="false" customHeight="true" outlineLevel="0" collapsed="false">
      <c r="A180" s="13" t="s">
        <v>1156</v>
      </c>
      <c r="B180" s="14" t="s">
        <v>739</v>
      </c>
      <c r="C180" s="15" t="s">
        <v>567</v>
      </c>
      <c r="D180" s="15" t="s">
        <v>1157</v>
      </c>
      <c r="E180" s="28" t="s">
        <v>19</v>
      </c>
      <c r="F180" s="16"/>
      <c r="G180" s="16"/>
      <c r="H180" s="19" t="n">
        <f aca="false">LEN(IF(F180&lt;&gt;"",F180,D180))</f>
        <v>85</v>
      </c>
      <c r="I180" s="29" t="str">
        <f aca="false">IF(OR(H180&lt;60,H180&gt;220),"분량 확인","")</f>
        <v/>
      </c>
    </row>
    <row r="181" customFormat="false" ht="61.5" hidden="false" customHeight="true" outlineLevel="0" collapsed="false">
      <c r="A181" s="13" t="s">
        <v>1158</v>
      </c>
      <c r="B181" s="14" t="s">
        <v>739</v>
      </c>
      <c r="C181" s="15" t="s">
        <v>570</v>
      </c>
      <c r="D181" s="15" t="s">
        <v>1159</v>
      </c>
      <c r="E181" s="28" t="s">
        <v>19</v>
      </c>
      <c r="F181" s="16"/>
      <c r="G181" s="16"/>
      <c r="H181" s="19" t="n">
        <f aca="false">LEN(IF(F181&lt;&gt;"",F181,D181))</f>
        <v>90</v>
      </c>
      <c r="I181" s="29" t="str">
        <f aca="false">IF(OR(H181&lt;60,H181&gt;220),"분량 확인","")</f>
        <v/>
      </c>
    </row>
    <row r="182" customFormat="false" ht="48" hidden="false" customHeight="true" outlineLevel="0" collapsed="false">
      <c r="A182" s="13" t="s">
        <v>1160</v>
      </c>
      <c r="B182" s="14" t="s">
        <v>752</v>
      </c>
      <c r="C182" s="15" t="s">
        <v>564</v>
      </c>
      <c r="D182" s="15" t="s">
        <v>1161</v>
      </c>
      <c r="E182" s="28" t="s">
        <v>19</v>
      </c>
      <c r="F182" s="16"/>
      <c r="G182" s="16"/>
      <c r="H182" s="19" t="n">
        <f aca="false">LEN(IF(F182&lt;&gt;"",F182,D182))</f>
        <v>85</v>
      </c>
      <c r="I182" s="29" t="str">
        <f aca="false">IF(OR(H182&lt;60,H182&gt;220),"분량 확인","")</f>
        <v/>
      </c>
    </row>
    <row r="183" customFormat="false" ht="48" hidden="false" customHeight="true" outlineLevel="0" collapsed="false">
      <c r="A183" s="13" t="s">
        <v>1162</v>
      </c>
      <c r="B183" s="14" t="s">
        <v>752</v>
      </c>
      <c r="C183" s="15" t="s">
        <v>567</v>
      </c>
      <c r="D183" s="15" t="s">
        <v>1163</v>
      </c>
      <c r="E183" s="28" t="s">
        <v>19</v>
      </c>
      <c r="F183" s="16"/>
      <c r="G183" s="16"/>
      <c r="H183" s="19" t="n">
        <f aca="false">LEN(IF(F183&lt;&gt;"",F183,D183))</f>
        <v>79</v>
      </c>
      <c r="I183" s="29" t="str">
        <f aca="false">IF(OR(H183&lt;60,H183&gt;220),"분량 확인","")</f>
        <v/>
      </c>
    </row>
    <row r="184" customFormat="false" ht="48" hidden="false" customHeight="true" outlineLevel="0" collapsed="false">
      <c r="A184" s="13" t="s">
        <v>1164</v>
      </c>
      <c r="B184" s="14" t="s">
        <v>752</v>
      </c>
      <c r="C184" s="15" t="s">
        <v>570</v>
      </c>
      <c r="D184" s="15" t="s">
        <v>1165</v>
      </c>
      <c r="E184" s="28" t="s">
        <v>19</v>
      </c>
      <c r="F184" s="16"/>
      <c r="G184" s="16"/>
      <c r="H184" s="19" t="n">
        <f aca="false">LEN(IF(F184&lt;&gt;"",F184,D184))</f>
        <v>83</v>
      </c>
      <c r="I184" s="29" t="str">
        <f aca="false">IF(OR(H184&lt;60,H184&gt;220),"분량 확인","")</f>
        <v/>
      </c>
    </row>
    <row r="185" customFormat="false" ht="48" hidden="false" customHeight="true" outlineLevel="0" collapsed="false">
      <c r="A185" s="13" t="s">
        <v>1166</v>
      </c>
      <c r="B185" s="14" t="s">
        <v>764</v>
      </c>
      <c r="C185" s="15" t="s">
        <v>564</v>
      </c>
      <c r="D185" s="15" t="s">
        <v>1167</v>
      </c>
      <c r="E185" s="28" t="s">
        <v>19</v>
      </c>
      <c r="F185" s="16"/>
      <c r="G185" s="16"/>
      <c r="H185" s="19" t="n">
        <f aca="false">LEN(IF(F185&lt;&gt;"",F185,D185))</f>
        <v>72</v>
      </c>
      <c r="I185" s="29" t="str">
        <f aca="false">IF(OR(H185&lt;60,H185&gt;220),"분량 확인","")</f>
        <v/>
      </c>
    </row>
    <row r="186" customFormat="false" ht="48" hidden="false" customHeight="true" outlineLevel="0" collapsed="false">
      <c r="A186" s="13" t="s">
        <v>1168</v>
      </c>
      <c r="B186" s="14" t="s">
        <v>764</v>
      </c>
      <c r="C186" s="15" t="s">
        <v>567</v>
      </c>
      <c r="D186" s="15" t="s">
        <v>1169</v>
      </c>
      <c r="E186" s="28" t="s">
        <v>19</v>
      </c>
      <c r="F186" s="16"/>
      <c r="G186" s="16"/>
      <c r="H186" s="19" t="n">
        <f aca="false">LEN(IF(F186&lt;&gt;"",F186,D186))</f>
        <v>81</v>
      </c>
      <c r="I186" s="29" t="str">
        <f aca="false">IF(OR(H186&lt;60,H186&gt;220),"분량 확인","")</f>
        <v/>
      </c>
    </row>
    <row r="187" customFormat="false" ht="48" hidden="false" customHeight="true" outlineLevel="0" collapsed="false">
      <c r="A187" s="13" t="s">
        <v>1170</v>
      </c>
      <c r="B187" s="14" t="s">
        <v>764</v>
      </c>
      <c r="C187" s="15" t="s">
        <v>570</v>
      </c>
      <c r="D187" s="15" t="s">
        <v>1171</v>
      </c>
      <c r="E187" s="28" t="s">
        <v>19</v>
      </c>
      <c r="F187" s="16"/>
      <c r="G187" s="16"/>
      <c r="H187" s="19" t="n">
        <f aca="false">LEN(IF(F187&lt;&gt;"",F187,D187))</f>
        <v>82</v>
      </c>
      <c r="I187" s="29" t="str">
        <f aca="false">IF(OR(H187&lt;60,H187&gt;220),"분량 확인","")</f>
        <v/>
      </c>
    </row>
    <row r="188" customFormat="false" ht="48" hidden="false" customHeight="true" outlineLevel="0" collapsed="false">
      <c r="A188" s="13" t="s">
        <v>1172</v>
      </c>
      <c r="B188" s="14" t="s">
        <v>775</v>
      </c>
      <c r="C188" s="15" t="s">
        <v>564</v>
      </c>
      <c r="D188" s="15" t="s">
        <v>1173</v>
      </c>
      <c r="E188" s="28" t="s">
        <v>19</v>
      </c>
      <c r="F188" s="16"/>
      <c r="G188" s="16"/>
      <c r="H188" s="19" t="n">
        <f aca="false">LEN(IF(F188&lt;&gt;"",F188,D188))</f>
        <v>78</v>
      </c>
      <c r="I188" s="29" t="str">
        <f aca="false">IF(OR(H188&lt;60,H188&gt;220),"분량 확인","")</f>
        <v/>
      </c>
    </row>
    <row r="189" customFormat="false" ht="48" hidden="false" customHeight="true" outlineLevel="0" collapsed="false">
      <c r="A189" s="13" t="s">
        <v>1174</v>
      </c>
      <c r="B189" s="14" t="s">
        <v>775</v>
      </c>
      <c r="C189" s="15" t="s">
        <v>567</v>
      </c>
      <c r="D189" s="15" t="s">
        <v>1175</v>
      </c>
      <c r="E189" s="28" t="s">
        <v>19</v>
      </c>
      <c r="F189" s="16"/>
      <c r="G189" s="16"/>
      <c r="H189" s="19" t="n">
        <f aca="false">LEN(IF(F189&lt;&gt;"",F189,D189))</f>
        <v>86</v>
      </c>
      <c r="I189" s="29" t="str">
        <f aca="false">IF(OR(H189&lt;60,H189&gt;220),"분량 확인","")</f>
        <v/>
      </c>
    </row>
    <row r="190" customFormat="false" ht="48" hidden="false" customHeight="true" outlineLevel="0" collapsed="false">
      <c r="A190" s="13" t="s">
        <v>1176</v>
      </c>
      <c r="B190" s="14" t="s">
        <v>775</v>
      </c>
      <c r="C190" s="15" t="s">
        <v>570</v>
      </c>
      <c r="D190" s="15" t="s">
        <v>1177</v>
      </c>
      <c r="E190" s="28" t="s">
        <v>19</v>
      </c>
      <c r="F190" s="16"/>
      <c r="G190" s="16"/>
      <c r="H190" s="19" t="n">
        <f aca="false">LEN(IF(F190&lt;&gt;"",F190,D190))</f>
        <v>76</v>
      </c>
      <c r="I190" s="29" t="str">
        <f aca="false">IF(OR(H190&lt;60,H190&gt;220),"분량 확인","")</f>
        <v/>
      </c>
    </row>
    <row r="191" customFormat="false" ht="48" hidden="false" customHeight="true" outlineLevel="0" collapsed="false">
      <c r="A191" s="13" t="s">
        <v>1178</v>
      </c>
      <c r="B191" s="14" t="s">
        <v>786</v>
      </c>
      <c r="C191" s="15" t="s">
        <v>564</v>
      </c>
      <c r="D191" s="15" t="s">
        <v>1179</v>
      </c>
      <c r="E191" s="28" t="s">
        <v>19</v>
      </c>
      <c r="F191" s="16"/>
      <c r="G191" s="16"/>
      <c r="H191" s="19" t="n">
        <f aca="false">LEN(IF(F191&lt;&gt;"",F191,D191))</f>
        <v>85</v>
      </c>
      <c r="I191" s="29" t="str">
        <f aca="false">IF(OR(H191&lt;60,H191&gt;220),"분량 확인","")</f>
        <v/>
      </c>
    </row>
    <row r="192" customFormat="false" ht="48" hidden="false" customHeight="true" outlineLevel="0" collapsed="false">
      <c r="A192" s="13" t="s">
        <v>1180</v>
      </c>
      <c r="B192" s="14" t="s">
        <v>786</v>
      </c>
      <c r="C192" s="15" t="s">
        <v>567</v>
      </c>
      <c r="D192" s="15" t="s">
        <v>1181</v>
      </c>
      <c r="E192" s="28" t="s">
        <v>19</v>
      </c>
      <c r="F192" s="16"/>
      <c r="G192" s="16"/>
      <c r="H192" s="19" t="n">
        <f aca="false">LEN(IF(F192&lt;&gt;"",F192,D192))</f>
        <v>71</v>
      </c>
      <c r="I192" s="29" t="str">
        <f aca="false">IF(OR(H192&lt;60,H192&gt;220),"분량 확인","")</f>
        <v/>
      </c>
    </row>
    <row r="193" customFormat="false" ht="48" hidden="false" customHeight="true" outlineLevel="0" collapsed="false">
      <c r="A193" s="13" t="s">
        <v>1182</v>
      </c>
      <c r="B193" s="14" t="s">
        <v>786</v>
      </c>
      <c r="C193" s="15" t="s">
        <v>570</v>
      </c>
      <c r="D193" s="15" t="s">
        <v>1183</v>
      </c>
      <c r="E193" s="28" t="s">
        <v>19</v>
      </c>
      <c r="F193" s="16"/>
      <c r="G193" s="16"/>
      <c r="H193" s="19" t="n">
        <f aca="false">LEN(IF(F193&lt;&gt;"",F193,D193))</f>
        <v>70</v>
      </c>
      <c r="I193" s="29" t="str">
        <f aca="false">IF(OR(H193&lt;60,H193&gt;220),"분량 확인","")</f>
        <v/>
      </c>
    </row>
    <row r="194" customFormat="false" ht="61.5" hidden="false" customHeight="true" outlineLevel="0" collapsed="false">
      <c r="A194" s="13" t="s">
        <v>1184</v>
      </c>
      <c r="B194" s="14" t="s">
        <v>798</v>
      </c>
      <c r="C194" s="15" t="s">
        <v>564</v>
      </c>
      <c r="D194" s="15" t="s">
        <v>1185</v>
      </c>
      <c r="E194" s="28" t="s">
        <v>19</v>
      </c>
      <c r="F194" s="16"/>
      <c r="G194" s="16"/>
      <c r="H194" s="19" t="n">
        <f aca="false">LEN(IF(F194&lt;&gt;"",F194,D194))</f>
        <v>90</v>
      </c>
      <c r="I194" s="29" t="str">
        <f aca="false">IF(OR(H194&lt;60,H194&gt;220),"분량 확인","")</f>
        <v/>
      </c>
    </row>
    <row r="195" customFormat="false" ht="48" hidden="false" customHeight="true" outlineLevel="0" collapsed="false">
      <c r="A195" s="13" t="s">
        <v>1186</v>
      </c>
      <c r="B195" s="14" t="s">
        <v>798</v>
      </c>
      <c r="C195" s="15" t="s">
        <v>567</v>
      </c>
      <c r="D195" s="15" t="s">
        <v>1187</v>
      </c>
      <c r="E195" s="28" t="s">
        <v>19</v>
      </c>
      <c r="F195" s="16"/>
      <c r="G195" s="16"/>
      <c r="H195" s="19" t="n">
        <f aca="false">LEN(IF(F195&lt;&gt;"",F195,D195))</f>
        <v>83</v>
      </c>
      <c r="I195" s="29" t="str">
        <f aca="false">IF(OR(H195&lt;60,H195&gt;220),"분량 확인","")</f>
        <v/>
      </c>
    </row>
    <row r="196" customFormat="false" ht="48" hidden="false" customHeight="true" outlineLevel="0" collapsed="false">
      <c r="A196" s="13" t="s">
        <v>1188</v>
      </c>
      <c r="B196" s="14" t="s">
        <v>798</v>
      </c>
      <c r="C196" s="15" t="s">
        <v>570</v>
      </c>
      <c r="D196" s="15" t="s">
        <v>1189</v>
      </c>
      <c r="E196" s="28" t="s">
        <v>19</v>
      </c>
      <c r="F196" s="16"/>
      <c r="G196" s="16"/>
      <c r="H196" s="19" t="n">
        <f aca="false">LEN(IF(F196&lt;&gt;"",F196,D196))</f>
        <v>85</v>
      </c>
      <c r="I196" s="29" t="str">
        <f aca="false">IF(OR(H196&lt;60,H196&gt;220),"분량 확인","")</f>
        <v/>
      </c>
    </row>
    <row r="197" customFormat="false" ht="48" hidden="false" customHeight="true" outlineLevel="0" collapsed="false">
      <c r="A197" s="13" t="s">
        <v>1190</v>
      </c>
      <c r="B197" s="14" t="s">
        <v>810</v>
      </c>
      <c r="C197" s="15" t="s">
        <v>564</v>
      </c>
      <c r="D197" s="15" t="s">
        <v>1191</v>
      </c>
      <c r="E197" s="28" t="s">
        <v>19</v>
      </c>
      <c r="F197" s="16"/>
      <c r="G197" s="16"/>
      <c r="H197" s="19" t="n">
        <f aca="false">LEN(IF(F197&lt;&gt;"",F197,D197))</f>
        <v>79</v>
      </c>
      <c r="I197" s="29" t="str">
        <f aca="false">IF(OR(H197&lt;60,H197&gt;220),"분량 확인","")</f>
        <v/>
      </c>
    </row>
    <row r="198" customFormat="false" ht="61.5" hidden="false" customHeight="true" outlineLevel="0" collapsed="false">
      <c r="A198" s="13" t="s">
        <v>1192</v>
      </c>
      <c r="B198" s="14" t="s">
        <v>810</v>
      </c>
      <c r="C198" s="15" t="s">
        <v>567</v>
      </c>
      <c r="D198" s="15" t="s">
        <v>1193</v>
      </c>
      <c r="E198" s="28" t="s">
        <v>19</v>
      </c>
      <c r="F198" s="16"/>
      <c r="G198" s="16"/>
      <c r="H198" s="19" t="n">
        <f aca="false">LEN(IF(F198&lt;&gt;"",F198,D198))</f>
        <v>97</v>
      </c>
      <c r="I198" s="29" t="str">
        <f aca="false">IF(OR(H198&lt;60,H198&gt;220),"분량 확인","")</f>
        <v/>
      </c>
    </row>
    <row r="199" customFormat="false" ht="48" hidden="false" customHeight="true" outlineLevel="0" collapsed="false">
      <c r="A199" s="13" t="s">
        <v>1194</v>
      </c>
      <c r="B199" s="14" t="s">
        <v>810</v>
      </c>
      <c r="C199" s="15" t="s">
        <v>570</v>
      </c>
      <c r="D199" s="15" t="s">
        <v>1195</v>
      </c>
      <c r="E199" s="28" t="s">
        <v>19</v>
      </c>
      <c r="F199" s="16"/>
      <c r="G199" s="16"/>
      <c r="H199" s="19" t="n">
        <f aca="false">LEN(IF(F199&lt;&gt;"",F199,D199))</f>
        <v>79</v>
      </c>
      <c r="I199" s="29" t="str">
        <f aca="false">IF(OR(H199&lt;60,H199&gt;220),"분량 확인","")</f>
        <v/>
      </c>
    </row>
  </sheetData>
  <autoFilter ref="A1:I199"/>
  <conditionalFormatting sqref="E2:E199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199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199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2F5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33.75" hidden="false" customHeight="true" outlineLevel="0" collapsed="false">
      <c r="A2" s="13" t="s">
        <v>1196</v>
      </c>
      <c r="B2" s="14" t="s">
        <v>556</v>
      </c>
      <c r="C2" s="15" t="s">
        <v>1197</v>
      </c>
      <c r="D2" s="15" t="s">
        <v>1198</v>
      </c>
      <c r="E2" s="28" t="s">
        <v>19</v>
      </c>
      <c r="F2" s="16"/>
      <c r="G2" s="16"/>
      <c r="H2" s="19" t="n">
        <f aca="false">LEN(IF(F2&lt;&gt;"",F2,D2))</f>
        <v>29</v>
      </c>
      <c r="I2" s="29" t="str">
        <f aca="false">IF(OR(H2&lt;12,H2&gt;60),"분량 확인","")</f>
        <v/>
      </c>
    </row>
    <row r="3" customFormat="false" ht="33.75" hidden="false" customHeight="true" outlineLevel="0" collapsed="false">
      <c r="A3" s="13" t="s">
        <v>1199</v>
      </c>
      <c r="B3" s="14" t="s">
        <v>556</v>
      </c>
      <c r="C3" s="15" t="s">
        <v>1200</v>
      </c>
      <c r="D3" s="15" t="s">
        <v>1201</v>
      </c>
      <c r="E3" s="28" t="s">
        <v>19</v>
      </c>
      <c r="F3" s="16"/>
      <c r="G3" s="16"/>
      <c r="H3" s="19" t="n">
        <f aca="false">LEN(IF(F3&lt;&gt;"",F3,D3))</f>
        <v>29</v>
      </c>
      <c r="I3" s="29" t="str">
        <f aca="false">IF(OR(H3&lt;12,H3&gt;60),"분량 확인","")</f>
        <v/>
      </c>
    </row>
    <row r="4" customFormat="false" ht="33.75" hidden="false" customHeight="true" outlineLevel="0" collapsed="false">
      <c r="A4" s="13" t="s">
        <v>260</v>
      </c>
      <c r="B4" s="14" t="s">
        <v>573</v>
      </c>
      <c r="C4" s="15" t="s">
        <v>1197</v>
      </c>
      <c r="D4" s="15" t="s">
        <v>262</v>
      </c>
      <c r="E4" s="28" t="s">
        <v>19</v>
      </c>
      <c r="F4" s="16"/>
      <c r="G4" s="17" t="s">
        <v>1202</v>
      </c>
      <c r="H4" s="19" t="n">
        <f aca="false">LEN(IF(F4&lt;&gt;"",F4,D4))</f>
        <v>26</v>
      </c>
      <c r="I4" s="29" t="str">
        <f aca="false">IF(OR(H4&lt;12,H4&gt;60),"분량 확인","")</f>
        <v/>
      </c>
    </row>
    <row r="5" customFormat="false" ht="33.75" hidden="false" customHeight="true" outlineLevel="0" collapsed="false">
      <c r="A5" s="13" t="s">
        <v>1203</v>
      </c>
      <c r="B5" s="14" t="s">
        <v>573</v>
      </c>
      <c r="C5" s="15" t="s">
        <v>1200</v>
      </c>
      <c r="D5" s="15" t="s">
        <v>1204</v>
      </c>
      <c r="E5" s="28" t="s">
        <v>19</v>
      </c>
      <c r="F5" s="16"/>
      <c r="G5" s="16"/>
      <c r="H5" s="19" t="n">
        <f aca="false">LEN(IF(F5&lt;&gt;"",F5,D5))</f>
        <v>31</v>
      </c>
      <c r="I5" s="29" t="str">
        <f aca="false">IF(OR(H5&lt;12,H5&gt;60),"분량 확인","")</f>
        <v/>
      </c>
    </row>
    <row r="6" customFormat="false" ht="33.75" hidden="false" customHeight="true" outlineLevel="0" collapsed="false">
      <c r="A6" s="13" t="s">
        <v>1205</v>
      </c>
      <c r="B6" s="14" t="s">
        <v>585</v>
      </c>
      <c r="C6" s="15" t="s">
        <v>1197</v>
      </c>
      <c r="D6" s="15" t="s">
        <v>1206</v>
      </c>
      <c r="E6" s="28" t="s">
        <v>19</v>
      </c>
      <c r="F6" s="16"/>
      <c r="G6" s="16"/>
      <c r="H6" s="19" t="n">
        <f aca="false">LEN(IF(F6&lt;&gt;"",F6,D6))</f>
        <v>22</v>
      </c>
      <c r="I6" s="29" t="str">
        <f aca="false">IF(OR(H6&lt;12,H6&gt;60),"분량 확인","")</f>
        <v/>
      </c>
    </row>
    <row r="7" customFormat="false" ht="33.75" hidden="false" customHeight="true" outlineLevel="0" collapsed="false">
      <c r="A7" s="13" t="s">
        <v>1207</v>
      </c>
      <c r="B7" s="14" t="s">
        <v>585</v>
      </c>
      <c r="C7" s="15" t="s">
        <v>1200</v>
      </c>
      <c r="D7" s="15" t="s">
        <v>1208</v>
      </c>
      <c r="E7" s="28" t="s">
        <v>19</v>
      </c>
      <c r="F7" s="16"/>
      <c r="G7" s="16"/>
      <c r="H7" s="19" t="n">
        <f aca="false">LEN(IF(F7&lt;&gt;"",F7,D7))</f>
        <v>27</v>
      </c>
      <c r="I7" s="29" t="str">
        <f aca="false">IF(OR(H7&lt;12,H7&gt;60),"분량 확인","")</f>
        <v/>
      </c>
    </row>
    <row r="8" customFormat="false" ht="33.75" hidden="false" customHeight="true" outlineLevel="0" collapsed="false">
      <c r="A8" s="13" t="s">
        <v>1209</v>
      </c>
      <c r="B8" s="14" t="s">
        <v>596</v>
      </c>
      <c r="C8" s="15" t="s">
        <v>1197</v>
      </c>
      <c r="D8" s="15" t="s">
        <v>1210</v>
      </c>
      <c r="E8" s="28" t="s">
        <v>19</v>
      </c>
      <c r="F8" s="16"/>
      <c r="G8" s="16"/>
      <c r="H8" s="19" t="n">
        <f aca="false">LEN(IF(F8&lt;&gt;"",F8,D8))</f>
        <v>26</v>
      </c>
      <c r="I8" s="29" t="str">
        <f aca="false">IF(OR(H8&lt;12,H8&gt;60),"분량 확인","")</f>
        <v/>
      </c>
    </row>
    <row r="9" customFormat="false" ht="33.75" hidden="false" customHeight="true" outlineLevel="0" collapsed="false">
      <c r="A9" s="13" t="s">
        <v>1211</v>
      </c>
      <c r="B9" s="14" t="s">
        <v>596</v>
      </c>
      <c r="C9" s="15" t="s">
        <v>1200</v>
      </c>
      <c r="D9" s="15" t="s">
        <v>1212</v>
      </c>
      <c r="E9" s="28" t="s">
        <v>19</v>
      </c>
      <c r="F9" s="16"/>
      <c r="G9" s="16"/>
      <c r="H9" s="19" t="n">
        <f aca="false">LEN(IF(F9&lt;&gt;"",F9,D9))</f>
        <v>20</v>
      </c>
      <c r="I9" s="29" t="str">
        <f aca="false">IF(OR(H9&lt;12,H9&gt;60),"분량 확인","")</f>
        <v/>
      </c>
    </row>
    <row r="10" customFormat="false" ht="33.75" hidden="false" customHeight="true" outlineLevel="0" collapsed="false">
      <c r="A10" s="13" t="s">
        <v>1213</v>
      </c>
      <c r="B10" s="14" t="s">
        <v>608</v>
      </c>
      <c r="C10" s="15" t="s">
        <v>1197</v>
      </c>
      <c r="D10" s="15" t="s">
        <v>1214</v>
      </c>
      <c r="E10" s="28" t="s">
        <v>19</v>
      </c>
      <c r="F10" s="16"/>
      <c r="G10" s="16"/>
      <c r="H10" s="19" t="n">
        <f aca="false">LEN(IF(F10&lt;&gt;"",F10,D10))</f>
        <v>25</v>
      </c>
      <c r="I10" s="29" t="str">
        <f aca="false">IF(OR(H10&lt;12,H10&gt;60),"분량 확인","")</f>
        <v/>
      </c>
    </row>
    <row r="11" customFormat="false" ht="33.75" hidden="false" customHeight="true" outlineLevel="0" collapsed="false">
      <c r="A11" s="13" t="s">
        <v>1215</v>
      </c>
      <c r="B11" s="14" t="s">
        <v>608</v>
      </c>
      <c r="C11" s="15" t="s">
        <v>1200</v>
      </c>
      <c r="D11" s="15" t="s">
        <v>1216</v>
      </c>
      <c r="E11" s="28" t="s">
        <v>19</v>
      </c>
      <c r="F11" s="16"/>
      <c r="G11" s="16"/>
      <c r="H11" s="19" t="n">
        <f aca="false">LEN(IF(F11&lt;&gt;"",F11,D11))</f>
        <v>27</v>
      </c>
      <c r="I11" s="29" t="str">
        <f aca="false">IF(OR(H11&lt;12,H11&gt;60),"분량 확인","")</f>
        <v/>
      </c>
    </row>
    <row r="12" customFormat="false" ht="33.75" hidden="false" customHeight="true" outlineLevel="0" collapsed="false">
      <c r="A12" s="13" t="s">
        <v>1217</v>
      </c>
      <c r="B12" s="14" t="s">
        <v>620</v>
      </c>
      <c r="C12" s="15" t="s">
        <v>1197</v>
      </c>
      <c r="D12" s="15" t="s">
        <v>1218</v>
      </c>
      <c r="E12" s="28" t="s">
        <v>19</v>
      </c>
      <c r="F12" s="16"/>
      <c r="G12" s="16"/>
      <c r="H12" s="19" t="n">
        <f aca="false">LEN(IF(F12&lt;&gt;"",F12,D12))</f>
        <v>36</v>
      </c>
      <c r="I12" s="29" t="str">
        <f aca="false">IF(OR(H12&lt;12,H12&gt;60),"분량 확인","")</f>
        <v/>
      </c>
    </row>
    <row r="13" customFormat="false" ht="33.75" hidden="false" customHeight="true" outlineLevel="0" collapsed="false">
      <c r="A13" s="13" t="s">
        <v>138</v>
      </c>
      <c r="B13" s="14" t="s">
        <v>620</v>
      </c>
      <c r="C13" s="15" t="s">
        <v>1200</v>
      </c>
      <c r="D13" s="15" t="s">
        <v>141</v>
      </c>
      <c r="E13" s="28" t="s">
        <v>19</v>
      </c>
      <c r="F13" s="16"/>
      <c r="G13" s="17" t="s">
        <v>1219</v>
      </c>
      <c r="H13" s="19" t="n">
        <f aca="false">LEN(IF(F13&lt;&gt;"",F13,D13))</f>
        <v>27</v>
      </c>
      <c r="I13" s="29" t="str">
        <f aca="false">IF(OR(H13&lt;12,H13&gt;60),"분량 확인","")</f>
        <v/>
      </c>
    </row>
    <row r="14" customFormat="false" ht="33.75" hidden="false" customHeight="true" outlineLevel="0" collapsed="false">
      <c r="A14" s="13" t="s">
        <v>1220</v>
      </c>
      <c r="B14" s="14" t="s">
        <v>632</v>
      </c>
      <c r="C14" s="15" t="s">
        <v>1197</v>
      </c>
      <c r="D14" s="15" t="s">
        <v>1221</v>
      </c>
      <c r="E14" s="28" t="s">
        <v>19</v>
      </c>
      <c r="F14" s="16"/>
      <c r="G14" s="16"/>
      <c r="H14" s="19" t="n">
        <f aca="false">LEN(IF(F14&lt;&gt;"",F14,D14))</f>
        <v>26</v>
      </c>
      <c r="I14" s="29" t="str">
        <f aca="false">IF(OR(H14&lt;12,H14&gt;60),"분량 확인","")</f>
        <v/>
      </c>
    </row>
    <row r="15" customFormat="false" ht="33.75" hidden="false" customHeight="true" outlineLevel="0" collapsed="false">
      <c r="A15" s="13" t="s">
        <v>1222</v>
      </c>
      <c r="B15" s="14" t="s">
        <v>632</v>
      </c>
      <c r="C15" s="15" t="s">
        <v>1200</v>
      </c>
      <c r="D15" s="15" t="s">
        <v>1223</v>
      </c>
      <c r="E15" s="28" t="s">
        <v>19</v>
      </c>
      <c r="F15" s="16"/>
      <c r="G15" s="16"/>
      <c r="H15" s="19" t="n">
        <f aca="false">LEN(IF(F15&lt;&gt;"",F15,D15))</f>
        <v>24</v>
      </c>
      <c r="I15" s="29" t="str">
        <f aca="false">IF(OR(H15&lt;12,H15&gt;60),"분량 확인","")</f>
        <v/>
      </c>
    </row>
    <row r="16" customFormat="false" ht="33.75" hidden="false" customHeight="true" outlineLevel="0" collapsed="false">
      <c r="A16" s="13" t="s">
        <v>1224</v>
      </c>
      <c r="B16" s="14" t="s">
        <v>645</v>
      </c>
      <c r="C16" s="15" t="s">
        <v>1197</v>
      </c>
      <c r="D16" s="15" t="s">
        <v>1225</v>
      </c>
      <c r="E16" s="28" t="s">
        <v>19</v>
      </c>
      <c r="F16" s="16"/>
      <c r="G16" s="16"/>
      <c r="H16" s="19" t="n">
        <f aca="false">LEN(IF(F16&lt;&gt;"",F16,D16))</f>
        <v>22</v>
      </c>
      <c r="I16" s="29" t="str">
        <f aca="false">IF(OR(H16&lt;12,H16&gt;60),"분량 확인","")</f>
        <v/>
      </c>
    </row>
    <row r="17" customFormat="false" ht="33.75" hidden="false" customHeight="true" outlineLevel="0" collapsed="false">
      <c r="A17" s="13" t="s">
        <v>1226</v>
      </c>
      <c r="B17" s="14" t="s">
        <v>645</v>
      </c>
      <c r="C17" s="15" t="s">
        <v>1200</v>
      </c>
      <c r="D17" s="15" t="s">
        <v>1227</v>
      </c>
      <c r="E17" s="28" t="s">
        <v>19</v>
      </c>
      <c r="F17" s="16"/>
      <c r="G17" s="16"/>
      <c r="H17" s="19" t="n">
        <f aca="false">LEN(IF(F17&lt;&gt;"",F17,D17))</f>
        <v>24</v>
      </c>
      <c r="I17" s="29" t="str">
        <f aca="false">IF(OR(H17&lt;12,H17&gt;60),"분량 확인","")</f>
        <v/>
      </c>
    </row>
    <row r="18" customFormat="false" ht="33.75" hidden="false" customHeight="true" outlineLevel="0" collapsed="false">
      <c r="A18" s="13" t="s">
        <v>159</v>
      </c>
      <c r="B18" s="14" t="s">
        <v>655</v>
      </c>
      <c r="C18" s="15" t="s">
        <v>1197</v>
      </c>
      <c r="D18" s="15" t="s">
        <v>162</v>
      </c>
      <c r="E18" s="28" t="s">
        <v>19</v>
      </c>
      <c r="F18" s="16"/>
      <c r="G18" s="17" t="s">
        <v>1228</v>
      </c>
      <c r="H18" s="19" t="n">
        <f aca="false">LEN(IF(F18&lt;&gt;"",F18,D18))</f>
        <v>28</v>
      </c>
      <c r="I18" s="29" t="str">
        <f aca="false">IF(OR(H18&lt;12,H18&gt;60),"분량 확인","")</f>
        <v/>
      </c>
    </row>
    <row r="19" customFormat="false" ht="33.75" hidden="false" customHeight="true" outlineLevel="0" collapsed="false">
      <c r="A19" s="13" t="s">
        <v>1229</v>
      </c>
      <c r="B19" s="14" t="s">
        <v>655</v>
      </c>
      <c r="C19" s="15" t="s">
        <v>1200</v>
      </c>
      <c r="D19" s="15" t="s">
        <v>1230</v>
      </c>
      <c r="E19" s="28" t="s">
        <v>19</v>
      </c>
      <c r="F19" s="16"/>
      <c r="G19" s="16"/>
      <c r="H19" s="19" t="n">
        <f aca="false">LEN(IF(F19&lt;&gt;"",F19,D19))</f>
        <v>21</v>
      </c>
      <c r="I19" s="29" t="str">
        <f aca="false">IF(OR(H19&lt;12,H19&gt;60),"분량 확인","")</f>
        <v/>
      </c>
    </row>
    <row r="20" customFormat="false" ht="33.75" hidden="false" customHeight="true" outlineLevel="0" collapsed="false">
      <c r="A20" s="13" t="s">
        <v>1231</v>
      </c>
      <c r="B20" s="14" t="s">
        <v>668</v>
      </c>
      <c r="C20" s="15" t="s">
        <v>1197</v>
      </c>
      <c r="D20" s="15" t="s">
        <v>1232</v>
      </c>
      <c r="E20" s="28" t="s">
        <v>19</v>
      </c>
      <c r="F20" s="16"/>
      <c r="G20" s="16"/>
      <c r="H20" s="19" t="n">
        <f aca="false">LEN(IF(F20&lt;&gt;"",F20,D20))</f>
        <v>29</v>
      </c>
      <c r="I20" s="29" t="str">
        <f aca="false">IF(OR(H20&lt;12,H20&gt;60),"분량 확인","")</f>
        <v/>
      </c>
    </row>
    <row r="21" customFormat="false" ht="33.75" hidden="false" customHeight="true" outlineLevel="0" collapsed="false">
      <c r="A21" s="13" t="s">
        <v>1233</v>
      </c>
      <c r="B21" s="14" t="s">
        <v>668</v>
      </c>
      <c r="C21" s="15" t="s">
        <v>1200</v>
      </c>
      <c r="D21" s="15" t="s">
        <v>1234</v>
      </c>
      <c r="E21" s="28" t="s">
        <v>19</v>
      </c>
      <c r="F21" s="16"/>
      <c r="G21" s="16"/>
      <c r="H21" s="19" t="n">
        <f aca="false">LEN(IF(F21&lt;&gt;"",F21,D21))</f>
        <v>30</v>
      </c>
      <c r="I21" s="29" t="str">
        <f aca="false">IF(OR(H21&lt;12,H21&gt;60),"분량 확인","")</f>
        <v/>
      </c>
    </row>
    <row r="22" customFormat="false" ht="33.75" hidden="false" customHeight="true" outlineLevel="0" collapsed="false">
      <c r="A22" s="13" t="s">
        <v>1235</v>
      </c>
      <c r="B22" s="14" t="s">
        <v>680</v>
      </c>
      <c r="C22" s="15" t="s">
        <v>1197</v>
      </c>
      <c r="D22" s="15" t="s">
        <v>1236</v>
      </c>
      <c r="E22" s="28" t="s">
        <v>19</v>
      </c>
      <c r="F22" s="16"/>
      <c r="G22" s="16"/>
      <c r="H22" s="19" t="n">
        <f aca="false">LEN(IF(F22&lt;&gt;"",F22,D22))</f>
        <v>25</v>
      </c>
      <c r="I22" s="29" t="str">
        <f aca="false">IF(OR(H22&lt;12,H22&gt;60),"분량 확인","")</f>
        <v/>
      </c>
    </row>
    <row r="23" customFormat="false" ht="33.75" hidden="false" customHeight="true" outlineLevel="0" collapsed="false">
      <c r="A23" s="13" t="s">
        <v>1237</v>
      </c>
      <c r="B23" s="14" t="s">
        <v>680</v>
      </c>
      <c r="C23" s="15" t="s">
        <v>1200</v>
      </c>
      <c r="D23" s="15" t="s">
        <v>1238</v>
      </c>
      <c r="E23" s="28" t="s">
        <v>19</v>
      </c>
      <c r="F23" s="16"/>
      <c r="G23" s="16"/>
      <c r="H23" s="19" t="n">
        <f aca="false">LEN(IF(F23&lt;&gt;"",F23,D23))</f>
        <v>27</v>
      </c>
      <c r="I23" s="29" t="str">
        <f aca="false">IF(OR(H23&lt;12,H23&gt;60),"분량 확인","")</f>
        <v/>
      </c>
    </row>
    <row r="24" customFormat="false" ht="33.75" hidden="false" customHeight="true" outlineLevel="0" collapsed="false">
      <c r="A24" s="13" t="s">
        <v>1239</v>
      </c>
      <c r="B24" s="14" t="s">
        <v>693</v>
      </c>
      <c r="C24" s="15" t="s">
        <v>1197</v>
      </c>
      <c r="D24" s="15" t="s">
        <v>1240</v>
      </c>
      <c r="E24" s="28" t="s">
        <v>19</v>
      </c>
      <c r="F24" s="16"/>
      <c r="G24" s="16"/>
      <c r="H24" s="19" t="n">
        <f aca="false">LEN(IF(F24&lt;&gt;"",F24,D24))</f>
        <v>21</v>
      </c>
      <c r="I24" s="29" t="str">
        <f aca="false">IF(OR(H24&lt;12,H24&gt;60),"분량 확인","")</f>
        <v/>
      </c>
    </row>
    <row r="25" customFormat="false" ht="33.75" hidden="false" customHeight="true" outlineLevel="0" collapsed="false">
      <c r="A25" s="13" t="s">
        <v>1241</v>
      </c>
      <c r="B25" s="14" t="s">
        <v>693</v>
      </c>
      <c r="C25" s="15" t="s">
        <v>1200</v>
      </c>
      <c r="D25" s="15" t="s">
        <v>1242</v>
      </c>
      <c r="E25" s="28" t="s">
        <v>19</v>
      </c>
      <c r="F25" s="16"/>
      <c r="G25" s="16"/>
      <c r="H25" s="19" t="n">
        <f aca="false">LEN(IF(F25&lt;&gt;"",F25,D25))</f>
        <v>17</v>
      </c>
      <c r="I25" s="29" t="str">
        <f aca="false">IF(OR(H25&lt;12,H25&gt;60),"분량 확인","")</f>
        <v/>
      </c>
    </row>
    <row r="26" customFormat="false" ht="33.75" hidden="false" customHeight="true" outlineLevel="0" collapsed="false">
      <c r="A26" s="13" t="s">
        <v>1243</v>
      </c>
      <c r="B26" s="14" t="s">
        <v>32</v>
      </c>
      <c r="C26" s="15" t="s">
        <v>1197</v>
      </c>
      <c r="D26" s="15" t="s">
        <v>1244</v>
      </c>
      <c r="E26" s="28" t="s">
        <v>19</v>
      </c>
      <c r="F26" s="16"/>
      <c r="G26" s="16"/>
      <c r="H26" s="19" t="n">
        <f aca="false">LEN(IF(F26&lt;&gt;"",F26,D26))</f>
        <v>29</v>
      </c>
      <c r="I26" s="29" t="str">
        <f aca="false">IF(OR(H26&lt;12,H26&gt;60),"분량 확인","")</f>
        <v/>
      </c>
    </row>
    <row r="27" customFormat="false" ht="33.75" hidden="false" customHeight="true" outlineLevel="0" collapsed="false">
      <c r="A27" s="13" t="s">
        <v>1245</v>
      </c>
      <c r="B27" s="14" t="s">
        <v>32</v>
      </c>
      <c r="C27" s="15" t="s">
        <v>1200</v>
      </c>
      <c r="D27" s="15" t="s">
        <v>1246</v>
      </c>
      <c r="E27" s="28" t="s">
        <v>19</v>
      </c>
      <c r="F27" s="16"/>
      <c r="G27" s="16"/>
      <c r="H27" s="19" t="n">
        <f aca="false">LEN(IF(F27&lt;&gt;"",F27,D27))</f>
        <v>27</v>
      </c>
      <c r="I27" s="29" t="str">
        <f aca="false">IF(OR(H27&lt;12,H27&gt;60),"분량 확인","")</f>
        <v/>
      </c>
    </row>
    <row r="28" customFormat="false" ht="33.75" hidden="false" customHeight="true" outlineLevel="0" collapsed="false">
      <c r="A28" s="13" t="s">
        <v>101</v>
      </c>
      <c r="B28" s="14" t="s">
        <v>716</v>
      </c>
      <c r="C28" s="15" t="s">
        <v>1197</v>
      </c>
      <c r="D28" s="15" t="s">
        <v>104</v>
      </c>
      <c r="E28" s="28" t="s">
        <v>19</v>
      </c>
      <c r="F28" s="16"/>
      <c r="G28" s="17" t="s">
        <v>1247</v>
      </c>
      <c r="H28" s="19" t="n">
        <f aca="false">LEN(IF(F28&lt;&gt;"",F28,D28))</f>
        <v>35</v>
      </c>
      <c r="I28" s="29" t="str">
        <f aca="false">IF(OR(H28&lt;12,H28&gt;60),"분량 확인","")</f>
        <v/>
      </c>
    </row>
    <row r="29" customFormat="false" ht="33.75" hidden="false" customHeight="true" outlineLevel="0" collapsed="false">
      <c r="A29" s="13" t="s">
        <v>105</v>
      </c>
      <c r="B29" s="14" t="s">
        <v>716</v>
      </c>
      <c r="C29" s="15" t="s">
        <v>1200</v>
      </c>
      <c r="D29" s="15" t="s">
        <v>108</v>
      </c>
      <c r="E29" s="28" t="s">
        <v>19</v>
      </c>
      <c r="F29" s="16"/>
      <c r="G29" s="17" t="s">
        <v>1248</v>
      </c>
      <c r="H29" s="19" t="n">
        <f aca="false">LEN(IF(F29&lt;&gt;"",F29,D29))</f>
        <v>22</v>
      </c>
      <c r="I29" s="29" t="str">
        <f aca="false">IF(OR(H29&lt;12,H29&gt;60),"분량 확인","")</f>
        <v/>
      </c>
    </row>
    <row r="30" customFormat="false" ht="33.75" hidden="false" customHeight="true" outlineLevel="0" collapsed="false">
      <c r="A30" s="13" t="s">
        <v>1249</v>
      </c>
      <c r="B30" s="14" t="s">
        <v>727</v>
      </c>
      <c r="C30" s="15" t="s">
        <v>1197</v>
      </c>
      <c r="D30" s="15" t="s">
        <v>1250</v>
      </c>
      <c r="E30" s="28" t="s">
        <v>19</v>
      </c>
      <c r="F30" s="16"/>
      <c r="G30" s="16"/>
      <c r="H30" s="19" t="n">
        <f aca="false">LEN(IF(F30&lt;&gt;"",F30,D30))</f>
        <v>24</v>
      </c>
      <c r="I30" s="29" t="str">
        <f aca="false">IF(OR(H30&lt;12,H30&gt;60),"분량 확인","")</f>
        <v/>
      </c>
    </row>
    <row r="31" customFormat="false" ht="33.75" hidden="false" customHeight="true" outlineLevel="0" collapsed="false">
      <c r="A31" s="13" t="s">
        <v>1251</v>
      </c>
      <c r="B31" s="14" t="s">
        <v>727</v>
      </c>
      <c r="C31" s="15" t="s">
        <v>1200</v>
      </c>
      <c r="D31" s="15" t="s">
        <v>1252</v>
      </c>
      <c r="E31" s="28" t="s">
        <v>19</v>
      </c>
      <c r="F31" s="16"/>
      <c r="G31" s="16"/>
      <c r="H31" s="19" t="n">
        <f aca="false">LEN(IF(F31&lt;&gt;"",F31,D31))</f>
        <v>22</v>
      </c>
      <c r="I31" s="29" t="str">
        <f aca="false">IF(OR(H31&lt;12,H31&gt;60),"분량 확인","")</f>
        <v/>
      </c>
    </row>
    <row r="32" customFormat="false" ht="33.75" hidden="false" customHeight="true" outlineLevel="0" collapsed="false">
      <c r="A32" s="13" t="s">
        <v>1253</v>
      </c>
      <c r="B32" s="14" t="s">
        <v>739</v>
      </c>
      <c r="C32" s="15" t="s">
        <v>1197</v>
      </c>
      <c r="D32" s="15" t="s">
        <v>1254</v>
      </c>
      <c r="E32" s="28" t="s">
        <v>19</v>
      </c>
      <c r="F32" s="16"/>
      <c r="G32" s="16"/>
      <c r="H32" s="19" t="n">
        <f aca="false">LEN(IF(F32&lt;&gt;"",F32,D32))</f>
        <v>30</v>
      </c>
      <c r="I32" s="29" t="str">
        <f aca="false">IF(OR(H32&lt;12,H32&gt;60),"분량 확인","")</f>
        <v/>
      </c>
    </row>
    <row r="33" customFormat="false" ht="33.75" hidden="false" customHeight="true" outlineLevel="0" collapsed="false">
      <c r="A33" s="13" t="s">
        <v>1255</v>
      </c>
      <c r="B33" s="14" t="s">
        <v>739</v>
      </c>
      <c r="C33" s="15" t="s">
        <v>1200</v>
      </c>
      <c r="D33" s="15" t="s">
        <v>1256</v>
      </c>
      <c r="E33" s="28" t="s">
        <v>19</v>
      </c>
      <c r="F33" s="16"/>
      <c r="G33" s="16"/>
      <c r="H33" s="19" t="n">
        <f aca="false">LEN(IF(F33&lt;&gt;"",F33,D33))</f>
        <v>23</v>
      </c>
      <c r="I33" s="29" t="str">
        <f aca="false">IF(OR(H33&lt;12,H33&gt;60),"분량 확인","")</f>
        <v/>
      </c>
    </row>
    <row r="34" customFormat="false" ht="33.75" hidden="false" customHeight="true" outlineLevel="0" collapsed="false">
      <c r="A34" s="13" t="s">
        <v>1257</v>
      </c>
      <c r="B34" s="14" t="s">
        <v>752</v>
      </c>
      <c r="C34" s="15" t="s">
        <v>1197</v>
      </c>
      <c r="D34" s="15" t="s">
        <v>1258</v>
      </c>
      <c r="E34" s="28" t="s">
        <v>19</v>
      </c>
      <c r="F34" s="16"/>
      <c r="G34" s="16"/>
      <c r="H34" s="19" t="n">
        <f aca="false">LEN(IF(F34&lt;&gt;"",F34,D34))</f>
        <v>28</v>
      </c>
      <c r="I34" s="29" t="str">
        <f aca="false">IF(OR(H34&lt;12,H34&gt;60),"분량 확인","")</f>
        <v/>
      </c>
    </row>
    <row r="35" customFormat="false" ht="33.75" hidden="false" customHeight="true" outlineLevel="0" collapsed="false">
      <c r="A35" s="13" t="s">
        <v>1259</v>
      </c>
      <c r="B35" s="14" t="s">
        <v>752</v>
      </c>
      <c r="C35" s="15" t="s">
        <v>1200</v>
      </c>
      <c r="D35" s="15" t="s">
        <v>1260</v>
      </c>
      <c r="E35" s="28" t="s">
        <v>19</v>
      </c>
      <c r="F35" s="16"/>
      <c r="G35" s="16"/>
      <c r="H35" s="19" t="n">
        <f aca="false">LEN(IF(F35&lt;&gt;"",F35,D35))</f>
        <v>23</v>
      </c>
      <c r="I35" s="29" t="str">
        <f aca="false">IF(OR(H35&lt;12,H35&gt;60),"분량 확인","")</f>
        <v/>
      </c>
    </row>
    <row r="36" customFormat="false" ht="33.75" hidden="false" customHeight="true" outlineLevel="0" collapsed="false">
      <c r="A36" s="13" t="s">
        <v>117</v>
      </c>
      <c r="B36" s="14" t="s">
        <v>764</v>
      </c>
      <c r="C36" s="15" t="s">
        <v>1197</v>
      </c>
      <c r="D36" s="15" t="s">
        <v>120</v>
      </c>
      <c r="E36" s="28" t="s">
        <v>19</v>
      </c>
      <c r="F36" s="16"/>
      <c r="G36" s="17" t="s">
        <v>1261</v>
      </c>
      <c r="H36" s="19" t="n">
        <f aca="false">LEN(IF(F36&lt;&gt;"",F36,D36))</f>
        <v>27</v>
      </c>
      <c r="I36" s="29" t="str">
        <f aca="false">IF(OR(H36&lt;12,H36&gt;60),"분량 확인","")</f>
        <v/>
      </c>
    </row>
    <row r="37" customFormat="false" ht="33.75" hidden="false" customHeight="true" outlineLevel="0" collapsed="false">
      <c r="A37" s="13" t="s">
        <v>1262</v>
      </c>
      <c r="B37" s="14" t="s">
        <v>764</v>
      </c>
      <c r="C37" s="15" t="s">
        <v>1200</v>
      </c>
      <c r="D37" s="15" t="s">
        <v>1263</v>
      </c>
      <c r="E37" s="28" t="s">
        <v>19</v>
      </c>
      <c r="F37" s="16"/>
      <c r="G37" s="16"/>
      <c r="H37" s="19" t="n">
        <f aca="false">LEN(IF(F37&lt;&gt;"",F37,D37))</f>
        <v>20</v>
      </c>
      <c r="I37" s="29" t="str">
        <f aca="false">IF(OR(H37&lt;12,H37&gt;60),"분량 확인","")</f>
        <v/>
      </c>
    </row>
    <row r="38" customFormat="false" ht="33.75" hidden="false" customHeight="true" outlineLevel="0" collapsed="false">
      <c r="A38" s="13" t="s">
        <v>1264</v>
      </c>
      <c r="B38" s="14" t="s">
        <v>775</v>
      </c>
      <c r="C38" s="15" t="s">
        <v>1197</v>
      </c>
      <c r="D38" s="15" t="s">
        <v>1265</v>
      </c>
      <c r="E38" s="28" t="s">
        <v>19</v>
      </c>
      <c r="F38" s="16"/>
      <c r="G38" s="16"/>
      <c r="H38" s="19" t="n">
        <f aca="false">LEN(IF(F38&lt;&gt;"",F38,D38))</f>
        <v>25</v>
      </c>
      <c r="I38" s="29" t="str">
        <f aca="false">IF(OR(H38&lt;12,H38&gt;60),"분량 확인","")</f>
        <v/>
      </c>
    </row>
    <row r="39" customFormat="false" ht="33.75" hidden="false" customHeight="true" outlineLevel="0" collapsed="false">
      <c r="A39" s="13" t="s">
        <v>1266</v>
      </c>
      <c r="B39" s="14" t="s">
        <v>775</v>
      </c>
      <c r="C39" s="15" t="s">
        <v>1200</v>
      </c>
      <c r="D39" s="15" t="s">
        <v>1267</v>
      </c>
      <c r="E39" s="28" t="s">
        <v>19</v>
      </c>
      <c r="F39" s="16"/>
      <c r="G39" s="16"/>
      <c r="H39" s="19" t="n">
        <f aca="false">LEN(IF(F39&lt;&gt;"",F39,D39))</f>
        <v>17</v>
      </c>
      <c r="I39" s="29" t="str">
        <f aca="false">IF(OR(H39&lt;12,H39&gt;60),"분량 확인","")</f>
        <v/>
      </c>
    </row>
    <row r="40" customFormat="false" ht="33.75" hidden="false" customHeight="true" outlineLevel="0" collapsed="false">
      <c r="A40" s="13" t="s">
        <v>1268</v>
      </c>
      <c r="B40" s="14" t="s">
        <v>786</v>
      </c>
      <c r="C40" s="15" t="s">
        <v>1197</v>
      </c>
      <c r="D40" s="15" t="s">
        <v>1269</v>
      </c>
      <c r="E40" s="28" t="s">
        <v>19</v>
      </c>
      <c r="F40" s="16"/>
      <c r="G40" s="16"/>
      <c r="H40" s="19" t="n">
        <f aca="false">LEN(IF(F40&lt;&gt;"",F40,D40))</f>
        <v>23</v>
      </c>
      <c r="I40" s="29" t="str">
        <f aca="false">IF(OR(H40&lt;12,H40&gt;60),"분량 확인","")</f>
        <v/>
      </c>
    </row>
    <row r="41" customFormat="false" ht="33.75" hidden="false" customHeight="true" outlineLevel="0" collapsed="false">
      <c r="A41" s="13" t="s">
        <v>1270</v>
      </c>
      <c r="B41" s="14" t="s">
        <v>786</v>
      </c>
      <c r="C41" s="15" t="s">
        <v>1200</v>
      </c>
      <c r="D41" s="15" t="s">
        <v>1271</v>
      </c>
      <c r="E41" s="28" t="s">
        <v>19</v>
      </c>
      <c r="F41" s="16"/>
      <c r="G41" s="16"/>
      <c r="H41" s="19" t="n">
        <f aca="false">LEN(IF(F41&lt;&gt;"",F41,D41))</f>
        <v>21</v>
      </c>
      <c r="I41" s="29" t="str">
        <f aca="false">IF(OR(H41&lt;12,H41&gt;60),"분량 확인","")</f>
        <v/>
      </c>
    </row>
    <row r="42" customFormat="false" ht="33.75" hidden="false" customHeight="true" outlineLevel="0" collapsed="false">
      <c r="A42" s="13" t="s">
        <v>1272</v>
      </c>
      <c r="B42" s="14" t="s">
        <v>798</v>
      </c>
      <c r="C42" s="15" t="s">
        <v>1197</v>
      </c>
      <c r="D42" s="15" t="s">
        <v>1273</v>
      </c>
      <c r="E42" s="28" t="s">
        <v>19</v>
      </c>
      <c r="F42" s="16"/>
      <c r="G42" s="16"/>
      <c r="H42" s="19" t="n">
        <f aca="false">LEN(IF(F42&lt;&gt;"",F42,D42))</f>
        <v>28</v>
      </c>
      <c r="I42" s="29" t="str">
        <f aca="false">IF(OR(H42&lt;12,H42&gt;60),"분량 확인","")</f>
        <v/>
      </c>
    </row>
    <row r="43" customFormat="false" ht="33.75" hidden="false" customHeight="true" outlineLevel="0" collapsed="false">
      <c r="A43" s="13" t="s">
        <v>1274</v>
      </c>
      <c r="B43" s="14" t="s">
        <v>798</v>
      </c>
      <c r="C43" s="15" t="s">
        <v>1200</v>
      </c>
      <c r="D43" s="15" t="s">
        <v>1275</v>
      </c>
      <c r="E43" s="28" t="s">
        <v>19</v>
      </c>
      <c r="F43" s="16"/>
      <c r="G43" s="16"/>
      <c r="H43" s="19" t="n">
        <f aca="false">LEN(IF(F43&lt;&gt;"",F43,D43))</f>
        <v>25</v>
      </c>
      <c r="I43" s="29" t="str">
        <f aca="false">IF(OR(H43&lt;12,H43&gt;60),"분량 확인","")</f>
        <v/>
      </c>
    </row>
    <row r="44" customFormat="false" ht="48" hidden="false" customHeight="true" outlineLevel="0" collapsed="false">
      <c r="A44" s="13" t="s">
        <v>434</v>
      </c>
      <c r="B44" s="14" t="s">
        <v>810</v>
      </c>
      <c r="C44" s="15" t="s">
        <v>1197</v>
      </c>
      <c r="D44" s="15" t="s">
        <v>436</v>
      </c>
      <c r="E44" s="28" t="s">
        <v>19</v>
      </c>
      <c r="F44" s="16"/>
      <c r="G44" s="17" t="s">
        <v>1276</v>
      </c>
      <c r="H44" s="19" t="n">
        <f aca="false">LEN(IF(F44&lt;&gt;"",F44,D44))</f>
        <v>25</v>
      </c>
      <c r="I44" s="29" t="str">
        <f aca="false">IF(OR(H44&lt;12,H44&gt;60),"분량 확인","")</f>
        <v/>
      </c>
    </row>
    <row r="45" customFormat="false" ht="48" hidden="false" customHeight="true" outlineLevel="0" collapsed="false">
      <c r="A45" s="13" t="s">
        <v>1277</v>
      </c>
      <c r="B45" s="14" t="s">
        <v>810</v>
      </c>
      <c r="C45" s="15" t="s">
        <v>1200</v>
      </c>
      <c r="D45" s="15" t="s">
        <v>1278</v>
      </c>
      <c r="E45" s="28" t="s">
        <v>19</v>
      </c>
      <c r="F45" s="16"/>
      <c r="G45" s="16"/>
      <c r="H45" s="19" t="n">
        <f aca="false">LEN(IF(F45&lt;&gt;"",F45,D45))</f>
        <v>28</v>
      </c>
      <c r="I45" s="29" t="str">
        <f aca="false">IF(OR(H45&lt;12,H45&gt;60),"분량 확인","")</f>
        <v/>
      </c>
    </row>
  </sheetData>
  <autoFilter ref="A1:I45"/>
  <conditionalFormatting sqref="E2:E45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45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45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2F5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33.75" hidden="false" customHeight="true" outlineLevel="0" collapsed="false">
      <c r="A2" s="13" t="s">
        <v>1279</v>
      </c>
      <c r="B2" s="14" t="s">
        <v>556</v>
      </c>
      <c r="C2" s="15" t="s">
        <v>1280</v>
      </c>
      <c r="D2" s="15" t="s">
        <v>1281</v>
      </c>
      <c r="E2" s="28" t="s">
        <v>19</v>
      </c>
      <c r="F2" s="16"/>
      <c r="G2" s="16"/>
      <c r="H2" s="19" t="n">
        <f aca="false">LEN(IF(F2&lt;&gt;"",F2,D2))</f>
        <v>42</v>
      </c>
      <c r="I2" s="29" t="str">
        <f aca="false">IF(OR(H2&lt;20,H2&gt;140),"분량 확인","")</f>
        <v/>
      </c>
    </row>
    <row r="3" customFormat="false" ht="48" hidden="false" customHeight="true" outlineLevel="0" collapsed="false">
      <c r="A3" s="13" t="s">
        <v>240</v>
      </c>
      <c r="B3" s="14" t="s">
        <v>556</v>
      </c>
      <c r="C3" s="15" t="s">
        <v>1282</v>
      </c>
      <c r="D3" s="15" t="s">
        <v>244</v>
      </c>
      <c r="E3" s="28" t="s">
        <v>19</v>
      </c>
      <c r="F3" s="16"/>
      <c r="G3" s="17" t="s">
        <v>1283</v>
      </c>
      <c r="H3" s="19" t="n">
        <f aca="false">LEN(IF(F3&lt;&gt;"",F3,D3))</f>
        <v>82</v>
      </c>
      <c r="I3" s="29" t="str">
        <f aca="false">IF(OR(H3&lt;20,H3&gt;140),"분량 확인","")</f>
        <v/>
      </c>
    </row>
    <row r="4" customFormat="false" ht="33.75" hidden="false" customHeight="true" outlineLevel="0" collapsed="false">
      <c r="A4" s="13" t="s">
        <v>1284</v>
      </c>
      <c r="B4" s="14" t="s">
        <v>573</v>
      </c>
      <c r="C4" s="15" t="s">
        <v>1280</v>
      </c>
      <c r="D4" s="15" t="s">
        <v>1285</v>
      </c>
      <c r="E4" s="28" t="s">
        <v>19</v>
      </c>
      <c r="F4" s="16"/>
      <c r="G4" s="16"/>
      <c r="H4" s="19" t="n">
        <f aca="false">LEN(IF(F4&lt;&gt;"",F4,D4))</f>
        <v>38</v>
      </c>
      <c r="I4" s="29" t="str">
        <f aca="false">IF(OR(H4&lt;20,H4&gt;140),"분량 확인","")</f>
        <v/>
      </c>
    </row>
    <row r="5" customFormat="false" ht="48" hidden="false" customHeight="true" outlineLevel="0" collapsed="false">
      <c r="A5" s="13" t="s">
        <v>257</v>
      </c>
      <c r="B5" s="14" t="s">
        <v>573</v>
      </c>
      <c r="C5" s="15" t="s">
        <v>1282</v>
      </c>
      <c r="D5" s="15" t="s">
        <v>259</v>
      </c>
      <c r="E5" s="28" t="s">
        <v>19</v>
      </c>
      <c r="F5" s="16"/>
      <c r="G5" s="17" t="s">
        <v>1286</v>
      </c>
      <c r="H5" s="19" t="n">
        <f aca="false">LEN(IF(F5&lt;&gt;"",F5,D5))</f>
        <v>87</v>
      </c>
      <c r="I5" s="29" t="str">
        <f aca="false">IF(OR(H5&lt;20,H5&gt;140),"분량 확인","")</f>
        <v/>
      </c>
    </row>
    <row r="6" customFormat="false" ht="33.75" hidden="false" customHeight="true" outlineLevel="0" collapsed="false">
      <c r="A6" s="13" t="s">
        <v>1287</v>
      </c>
      <c r="B6" s="14" t="s">
        <v>585</v>
      </c>
      <c r="C6" s="15" t="s">
        <v>1280</v>
      </c>
      <c r="D6" s="15" t="s">
        <v>1288</v>
      </c>
      <c r="E6" s="28" t="s">
        <v>19</v>
      </c>
      <c r="F6" s="16"/>
      <c r="G6" s="16"/>
      <c r="H6" s="19" t="n">
        <f aca="false">LEN(IF(F6&lt;&gt;"",F6,D6))</f>
        <v>38</v>
      </c>
      <c r="I6" s="29" t="str">
        <f aca="false">IF(OR(H6&lt;20,H6&gt;140),"분량 확인","")</f>
        <v/>
      </c>
    </row>
    <row r="7" customFormat="false" ht="61.5" hidden="false" customHeight="true" outlineLevel="0" collapsed="false">
      <c r="A7" s="13" t="s">
        <v>393</v>
      </c>
      <c r="B7" s="14" t="s">
        <v>585</v>
      </c>
      <c r="C7" s="15" t="s">
        <v>1282</v>
      </c>
      <c r="D7" s="15" t="s">
        <v>395</v>
      </c>
      <c r="E7" s="28" t="s">
        <v>19</v>
      </c>
      <c r="F7" s="16"/>
      <c r="G7" s="17" t="s">
        <v>1289</v>
      </c>
      <c r="H7" s="19" t="n">
        <f aca="false">LEN(IF(F7&lt;&gt;"",F7,D7))</f>
        <v>88</v>
      </c>
      <c r="I7" s="29" t="str">
        <f aca="false">IF(OR(H7&lt;20,H7&gt;140),"분량 확인","")</f>
        <v/>
      </c>
    </row>
    <row r="8" customFormat="false" ht="33.75" hidden="false" customHeight="true" outlineLevel="0" collapsed="false">
      <c r="A8" s="13" t="s">
        <v>1290</v>
      </c>
      <c r="B8" s="14" t="s">
        <v>596</v>
      </c>
      <c r="C8" s="15" t="s">
        <v>1280</v>
      </c>
      <c r="D8" s="15" t="s">
        <v>1291</v>
      </c>
      <c r="E8" s="28" t="s">
        <v>19</v>
      </c>
      <c r="F8" s="16"/>
      <c r="G8" s="16"/>
      <c r="H8" s="19" t="n">
        <f aca="false">LEN(IF(F8&lt;&gt;"",F8,D8))</f>
        <v>33</v>
      </c>
      <c r="I8" s="29" t="str">
        <f aca="false">IF(OR(H8&lt;20,H8&gt;140),"분량 확인","")</f>
        <v/>
      </c>
    </row>
    <row r="9" customFormat="false" ht="48" hidden="false" customHeight="true" outlineLevel="0" collapsed="false">
      <c r="A9" s="13" t="s">
        <v>437</v>
      </c>
      <c r="B9" s="14" t="s">
        <v>596</v>
      </c>
      <c r="C9" s="15" t="s">
        <v>1282</v>
      </c>
      <c r="D9" s="15" t="s">
        <v>439</v>
      </c>
      <c r="E9" s="28" t="s">
        <v>19</v>
      </c>
      <c r="F9" s="16"/>
      <c r="G9" s="17" t="s">
        <v>1292</v>
      </c>
      <c r="H9" s="19" t="n">
        <f aca="false">LEN(IF(F9&lt;&gt;"",F9,D9))</f>
        <v>82</v>
      </c>
      <c r="I9" s="29" t="str">
        <f aca="false">IF(OR(H9&lt;20,H9&gt;140),"분량 확인","")</f>
        <v/>
      </c>
    </row>
    <row r="10" customFormat="false" ht="33.75" hidden="false" customHeight="true" outlineLevel="0" collapsed="false">
      <c r="A10" s="13" t="s">
        <v>1293</v>
      </c>
      <c r="B10" s="14" t="s">
        <v>608</v>
      </c>
      <c r="C10" s="15" t="s">
        <v>1280</v>
      </c>
      <c r="D10" s="15" t="s">
        <v>1294</v>
      </c>
      <c r="E10" s="28" t="s">
        <v>19</v>
      </c>
      <c r="F10" s="16"/>
      <c r="G10" s="16"/>
      <c r="H10" s="19" t="n">
        <f aca="false">LEN(IF(F10&lt;&gt;"",F10,D10))</f>
        <v>33</v>
      </c>
      <c r="I10" s="29" t="str">
        <f aca="false">IF(OR(H10&lt;20,H10&gt;140),"분량 확인","")</f>
        <v/>
      </c>
    </row>
    <row r="11" customFormat="false" ht="48" hidden="false" customHeight="true" outlineLevel="0" collapsed="false">
      <c r="A11" s="13" t="s">
        <v>444</v>
      </c>
      <c r="B11" s="14" t="s">
        <v>608</v>
      </c>
      <c r="C11" s="15" t="s">
        <v>1282</v>
      </c>
      <c r="D11" s="15" t="s">
        <v>446</v>
      </c>
      <c r="E11" s="28" t="s">
        <v>19</v>
      </c>
      <c r="F11" s="16"/>
      <c r="G11" s="17" t="s">
        <v>1295</v>
      </c>
      <c r="H11" s="19" t="n">
        <f aca="false">LEN(IF(F11&lt;&gt;"",F11,D11))</f>
        <v>75</v>
      </c>
      <c r="I11" s="29" t="str">
        <f aca="false">IF(OR(H11&lt;20,H11&gt;140),"분량 확인","")</f>
        <v/>
      </c>
    </row>
    <row r="12" customFormat="false" ht="33.75" hidden="false" customHeight="true" outlineLevel="0" collapsed="false">
      <c r="A12" s="13" t="s">
        <v>1296</v>
      </c>
      <c r="B12" s="14" t="s">
        <v>620</v>
      </c>
      <c r="C12" s="15" t="s">
        <v>1280</v>
      </c>
      <c r="D12" s="15" t="s">
        <v>1297</v>
      </c>
      <c r="E12" s="28" t="s">
        <v>19</v>
      </c>
      <c r="F12" s="16"/>
      <c r="G12" s="16"/>
      <c r="H12" s="19" t="n">
        <f aca="false">LEN(IF(F12&lt;&gt;"",F12,D12))</f>
        <v>32</v>
      </c>
      <c r="I12" s="29" t="str">
        <f aca="false">IF(OR(H12&lt;20,H12&gt;140),"분량 확인","")</f>
        <v/>
      </c>
    </row>
    <row r="13" customFormat="false" ht="48" hidden="false" customHeight="true" outlineLevel="0" collapsed="false">
      <c r="A13" s="13" t="s">
        <v>463</v>
      </c>
      <c r="B13" s="14" t="s">
        <v>620</v>
      </c>
      <c r="C13" s="15" t="s">
        <v>1282</v>
      </c>
      <c r="D13" s="15" t="s">
        <v>465</v>
      </c>
      <c r="E13" s="28" t="s">
        <v>19</v>
      </c>
      <c r="F13" s="16"/>
      <c r="G13" s="17" t="s">
        <v>1298</v>
      </c>
      <c r="H13" s="19" t="n">
        <f aca="false">LEN(IF(F13&lt;&gt;"",F13,D13))</f>
        <v>79</v>
      </c>
      <c r="I13" s="29" t="str">
        <f aca="false">IF(OR(H13&lt;20,H13&gt;140),"분량 확인","")</f>
        <v/>
      </c>
    </row>
    <row r="14" customFormat="false" ht="33.75" hidden="false" customHeight="true" outlineLevel="0" collapsed="false">
      <c r="A14" s="13" t="s">
        <v>1299</v>
      </c>
      <c r="B14" s="14" t="s">
        <v>632</v>
      </c>
      <c r="C14" s="15" t="s">
        <v>1280</v>
      </c>
      <c r="D14" s="15" t="s">
        <v>1300</v>
      </c>
      <c r="E14" s="28" t="s">
        <v>19</v>
      </c>
      <c r="F14" s="16"/>
      <c r="G14" s="16"/>
      <c r="H14" s="19" t="n">
        <f aca="false">LEN(IF(F14&lt;&gt;"",F14,D14))</f>
        <v>40</v>
      </c>
      <c r="I14" s="29" t="str">
        <f aca="false">IF(OR(H14&lt;20,H14&gt;140),"분량 확인","")</f>
        <v/>
      </c>
    </row>
    <row r="15" customFormat="false" ht="48" hidden="false" customHeight="true" outlineLevel="0" collapsed="false">
      <c r="A15" s="13" t="s">
        <v>478</v>
      </c>
      <c r="B15" s="14" t="s">
        <v>632</v>
      </c>
      <c r="C15" s="15" t="s">
        <v>1282</v>
      </c>
      <c r="D15" s="15" t="s">
        <v>480</v>
      </c>
      <c r="E15" s="28" t="s">
        <v>19</v>
      </c>
      <c r="F15" s="16"/>
      <c r="G15" s="17" t="s">
        <v>1301</v>
      </c>
      <c r="H15" s="19" t="n">
        <f aca="false">LEN(IF(F15&lt;&gt;"",F15,D15))</f>
        <v>78</v>
      </c>
      <c r="I15" s="29" t="str">
        <f aca="false">IF(OR(H15&lt;20,H15&gt;140),"분량 확인","")</f>
        <v/>
      </c>
    </row>
    <row r="16" customFormat="false" ht="33.75" hidden="false" customHeight="true" outlineLevel="0" collapsed="false">
      <c r="A16" s="13" t="s">
        <v>1302</v>
      </c>
      <c r="B16" s="14" t="s">
        <v>645</v>
      </c>
      <c r="C16" s="15" t="s">
        <v>1280</v>
      </c>
      <c r="D16" s="15" t="s">
        <v>1303</v>
      </c>
      <c r="E16" s="28" t="s">
        <v>19</v>
      </c>
      <c r="F16" s="16"/>
      <c r="G16" s="16"/>
      <c r="H16" s="19" t="n">
        <f aca="false">LEN(IF(F16&lt;&gt;"",F16,D16))</f>
        <v>32</v>
      </c>
      <c r="I16" s="29" t="str">
        <f aca="false">IF(OR(H16&lt;20,H16&gt;140),"분량 확인","")</f>
        <v/>
      </c>
    </row>
    <row r="17" customFormat="false" ht="48" hidden="false" customHeight="true" outlineLevel="0" collapsed="false">
      <c r="A17" s="13" t="s">
        <v>493</v>
      </c>
      <c r="B17" s="14" t="s">
        <v>645</v>
      </c>
      <c r="C17" s="15" t="s">
        <v>1282</v>
      </c>
      <c r="D17" s="15" t="s">
        <v>495</v>
      </c>
      <c r="E17" s="28" t="s">
        <v>19</v>
      </c>
      <c r="F17" s="16"/>
      <c r="G17" s="17" t="s">
        <v>1304</v>
      </c>
      <c r="H17" s="19" t="n">
        <f aca="false">LEN(IF(F17&lt;&gt;"",F17,D17))</f>
        <v>84</v>
      </c>
      <c r="I17" s="29" t="str">
        <f aca="false">IF(OR(H17&lt;20,H17&gt;140),"분량 확인","")</f>
        <v/>
      </c>
    </row>
    <row r="18" customFormat="false" ht="33.75" hidden="false" customHeight="true" outlineLevel="0" collapsed="false">
      <c r="A18" s="13" t="s">
        <v>1305</v>
      </c>
      <c r="B18" s="14" t="s">
        <v>655</v>
      </c>
      <c r="C18" s="15" t="s">
        <v>1280</v>
      </c>
      <c r="D18" s="15" t="s">
        <v>1306</v>
      </c>
      <c r="E18" s="28" t="s">
        <v>19</v>
      </c>
      <c r="F18" s="16"/>
      <c r="G18" s="16"/>
      <c r="H18" s="19" t="n">
        <f aca="false">LEN(IF(F18&lt;&gt;"",F18,D18))</f>
        <v>30</v>
      </c>
      <c r="I18" s="29" t="str">
        <f aca="false">IF(OR(H18&lt;20,H18&gt;140),"분량 확인","")</f>
        <v/>
      </c>
    </row>
    <row r="19" customFormat="false" ht="48" hidden="false" customHeight="true" outlineLevel="0" collapsed="false">
      <c r="A19" s="13" t="s">
        <v>504</v>
      </c>
      <c r="B19" s="14" t="s">
        <v>655</v>
      </c>
      <c r="C19" s="15" t="s">
        <v>1282</v>
      </c>
      <c r="D19" s="15" t="s">
        <v>506</v>
      </c>
      <c r="E19" s="28" t="s">
        <v>19</v>
      </c>
      <c r="F19" s="16"/>
      <c r="G19" s="17" t="s">
        <v>1307</v>
      </c>
      <c r="H19" s="19" t="n">
        <f aca="false">LEN(IF(F19&lt;&gt;"",F19,D19))</f>
        <v>79</v>
      </c>
      <c r="I19" s="29" t="str">
        <f aca="false">IF(OR(H19&lt;20,H19&gt;140),"분량 확인","")</f>
        <v/>
      </c>
    </row>
    <row r="20" customFormat="false" ht="33.75" hidden="false" customHeight="true" outlineLevel="0" collapsed="false">
      <c r="A20" s="13" t="s">
        <v>1308</v>
      </c>
      <c r="B20" s="14" t="s">
        <v>668</v>
      </c>
      <c r="C20" s="15" t="s">
        <v>1280</v>
      </c>
      <c r="D20" s="15" t="s">
        <v>1309</v>
      </c>
      <c r="E20" s="28" t="s">
        <v>19</v>
      </c>
      <c r="F20" s="16"/>
      <c r="G20" s="16"/>
      <c r="H20" s="19" t="n">
        <f aca="false">LEN(IF(F20&lt;&gt;"",F20,D20))</f>
        <v>40</v>
      </c>
      <c r="I20" s="29" t="str">
        <f aca="false">IF(OR(H20&lt;20,H20&gt;140),"분량 확인","")</f>
        <v/>
      </c>
    </row>
    <row r="21" customFormat="false" ht="61.5" hidden="false" customHeight="true" outlineLevel="0" collapsed="false">
      <c r="A21" s="13" t="s">
        <v>519</v>
      </c>
      <c r="B21" s="14" t="s">
        <v>668</v>
      </c>
      <c r="C21" s="15" t="s">
        <v>1282</v>
      </c>
      <c r="D21" s="15" t="s">
        <v>521</v>
      </c>
      <c r="E21" s="28" t="s">
        <v>19</v>
      </c>
      <c r="F21" s="16"/>
      <c r="G21" s="17" t="s">
        <v>1310</v>
      </c>
      <c r="H21" s="19" t="n">
        <f aca="false">LEN(IF(F21&lt;&gt;"",F21,D21))</f>
        <v>89</v>
      </c>
      <c r="I21" s="29" t="str">
        <f aca="false">IF(OR(H21&lt;20,H21&gt;140),"분량 확인","")</f>
        <v/>
      </c>
    </row>
    <row r="22" customFormat="false" ht="33.75" hidden="false" customHeight="true" outlineLevel="0" collapsed="false">
      <c r="A22" s="13" t="s">
        <v>1311</v>
      </c>
      <c r="B22" s="14" t="s">
        <v>680</v>
      </c>
      <c r="C22" s="15" t="s">
        <v>1280</v>
      </c>
      <c r="D22" s="15" t="s">
        <v>1312</v>
      </c>
      <c r="E22" s="28" t="s">
        <v>19</v>
      </c>
      <c r="F22" s="16"/>
      <c r="G22" s="16"/>
      <c r="H22" s="19" t="n">
        <f aca="false">LEN(IF(F22&lt;&gt;"",F22,D22))</f>
        <v>33</v>
      </c>
      <c r="I22" s="29" t="str">
        <f aca="false">IF(OR(H22&lt;20,H22&gt;140),"분량 확인","")</f>
        <v/>
      </c>
    </row>
    <row r="23" customFormat="false" ht="61.5" hidden="false" customHeight="true" outlineLevel="0" collapsed="false">
      <c r="A23" s="13" t="s">
        <v>275</v>
      </c>
      <c r="B23" s="14" t="s">
        <v>680</v>
      </c>
      <c r="C23" s="15" t="s">
        <v>1282</v>
      </c>
      <c r="D23" s="15" t="s">
        <v>277</v>
      </c>
      <c r="E23" s="28" t="s">
        <v>19</v>
      </c>
      <c r="F23" s="16"/>
      <c r="G23" s="17" t="s">
        <v>1313</v>
      </c>
      <c r="H23" s="19" t="n">
        <f aca="false">LEN(IF(F23&lt;&gt;"",F23,D23))</f>
        <v>88</v>
      </c>
      <c r="I23" s="29" t="str">
        <f aca="false">IF(OR(H23&lt;20,H23&gt;140),"분량 확인","")</f>
        <v/>
      </c>
    </row>
    <row r="24" customFormat="false" ht="33.75" hidden="false" customHeight="true" outlineLevel="0" collapsed="false">
      <c r="A24" s="13" t="s">
        <v>1314</v>
      </c>
      <c r="B24" s="14" t="s">
        <v>693</v>
      </c>
      <c r="C24" s="15" t="s">
        <v>1280</v>
      </c>
      <c r="D24" s="15" t="s">
        <v>1315</v>
      </c>
      <c r="E24" s="28" t="s">
        <v>19</v>
      </c>
      <c r="F24" s="16"/>
      <c r="G24" s="16"/>
      <c r="H24" s="19" t="n">
        <f aca="false">LEN(IF(F24&lt;&gt;"",F24,D24))</f>
        <v>36</v>
      </c>
      <c r="I24" s="29" t="str">
        <f aca="false">IF(OR(H24&lt;20,H24&gt;140),"분량 확인","")</f>
        <v/>
      </c>
    </row>
    <row r="25" customFormat="false" ht="48" hidden="false" customHeight="true" outlineLevel="0" collapsed="false">
      <c r="A25" s="13" t="s">
        <v>286</v>
      </c>
      <c r="B25" s="14" t="s">
        <v>693</v>
      </c>
      <c r="C25" s="15" t="s">
        <v>1282</v>
      </c>
      <c r="D25" s="15" t="s">
        <v>288</v>
      </c>
      <c r="E25" s="28" t="s">
        <v>19</v>
      </c>
      <c r="F25" s="16"/>
      <c r="G25" s="17" t="s">
        <v>1316</v>
      </c>
      <c r="H25" s="19" t="n">
        <f aca="false">LEN(IF(F25&lt;&gt;"",F25,D25))</f>
        <v>75</v>
      </c>
      <c r="I25" s="29" t="str">
        <f aca="false">IF(OR(H25&lt;20,H25&gt;140),"분량 확인","")</f>
        <v/>
      </c>
    </row>
    <row r="26" customFormat="false" ht="33.75" hidden="false" customHeight="true" outlineLevel="0" collapsed="false">
      <c r="A26" s="13" t="s">
        <v>1317</v>
      </c>
      <c r="B26" s="14" t="s">
        <v>32</v>
      </c>
      <c r="C26" s="15" t="s">
        <v>1280</v>
      </c>
      <c r="D26" s="15" t="s">
        <v>1318</v>
      </c>
      <c r="E26" s="28" t="s">
        <v>19</v>
      </c>
      <c r="F26" s="16"/>
      <c r="G26" s="16"/>
      <c r="H26" s="19" t="n">
        <f aca="false">LEN(IF(F26&lt;&gt;"",F26,D26))</f>
        <v>39</v>
      </c>
      <c r="I26" s="29" t="str">
        <f aca="false">IF(OR(H26&lt;20,H26&gt;140),"분량 확인","")</f>
        <v/>
      </c>
    </row>
    <row r="27" customFormat="false" ht="48" hidden="false" customHeight="true" outlineLevel="0" collapsed="false">
      <c r="A27" s="13" t="s">
        <v>293</v>
      </c>
      <c r="B27" s="14" t="s">
        <v>32</v>
      </c>
      <c r="C27" s="15" t="s">
        <v>1282</v>
      </c>
      <c r="D27" s="15" t="s">
        <v>295</v>
      </c>
      <c r="E27" s="28" t="s">
        <v>19</v>
      </c>
      <c r="F27" s="16"/>
      <c r="G27" s="17" t="s">
        <v>1319</v>
      </c>
      <c r="H27" s="19" t="n">
        <f aca="false">LEN(IF(F27&lt;&gt;"",F27,D27))</f>
        <v>72</v>
      </c>
      <c r="I27" s="29" t="str">
        <f aca="false">IF(OR(H27&lt;20,H27&gt;140),"분량 확인","")</f>
        <v/>
      </c>
    </row>
    <row r="28" customFormat="false" ht="33.75" hidden="false" customHeight="true" outlineLevel="0" collapsed="false">
      <c r="A28" s="13" t="s">
        <v>1320</v>
      </c>
      <c r="B28" s="14" t="s">
        <v>716</v>
      </c>
      <c r="C28" s="15" t="s">
        <v>1280</v>
      </c>
      <c r="D28" s="15" t="s">
        <v>1321</v>
      </c>
      <c r="E28" s="28" t="s">
        <v>19</v>
      </c>
      <c r="F28" s="16"/>
      <c r="G28" s="16"/>
      <c r="H28" s="19" t="n">
        <f aca="false">LEN(IF(F28&lt;&gt;"",F28,D28))</f>
        <v>31</v>
      </c>
      <c r="I28" s="29" t="str">
        <f aca="false">IF(OR(H28&lt;20,H28&gt;140),"분량 확인","")</f>
        <v/>
      </c>
    </row>
    <row r="29" customFormat="false" ht="61.5" hidden="false" customHeight="true" outlineLevel="0" collapsed="false">
      <c r="A29" s="13" t="s">
        <v>296</v>
      </c>
      <c r="B29" s="14" t="s">
        <v>716</v>
      </c>
      <c r="C29" s="15" t="s">
        <v>1282</v>
      </c>
      <c r="D29" s="15" t="s">
        <v>298</v>
      </c>
      <c r="E29" s="28" t="s">
        <v>19</v>
      </c>
      <c r="F29" s="16"/>
      <c r="G29" s="17" t="s">
        <v>1322</v>
      </c>
      <c r="H29" s="19" t="n">
        <f aca="false">LEN(IF(F29&lt;&gt;"",F29,D29))</f>
        <v>88</v>
      </c>
      <c r="I29" s="29" t="str">
        <f aca="false">IF(OR(H29&lt;20,H29&gt;140),"분량 확인","")</f>
        <v/>
      </c>
    </row>
    <row r="30" customFormat="false" ht="33.75" hidden="false" customHeight="true" outlineLevel="0" collapsed="false">
      <c r="A30" s="13" t="s">
        <v>1323</v>
      </c>
      <c r="B30" s="14" t="s">
        <v>727</v>
      </c>
      <c r="C30" s="15" t="s">
        <v>1280</v>
      </c>
      <c r="D30" s="15" t="s">
        <v>1324</v>
      </c>
      <c r="E30" s="28" t="s">
        <v>19</v>
      </c>
      <c r="F30" s="16"/>
      <c r="G30" s="16"/>
      <c r="H30" s="19" t="n">
        <f aca="false">LEN(IF(F30&lt;&gt;"",F30,D30))</f>
        <v>33</v>
      </c>
      <c r="I30" s="29" t="str">
        <f aca="false">IF(OR(H30&lt;20,H30&gt;140),"분량 확인","")</f>
        <v/>
      </c>
    </row>
    <row r="31" customFormat="false" ht="61.5" hidden="false" customHeight="true" outlineLevel="0" collapsed="false">
      <c r="A31" s="13" t="s">
        <v>311</v>
      </c>
      <c r="B31" s="14" t="s">
        <v>727</v>
      </c>
      <c r="C31" s="15" t="s">
        <v>1282</v>
      </c>
      <c r="D31" s="15" t="s">
        <v>313</v>
      </c>
      <c r="E31" s="28" t="s">
        <v>19</v>
      </c>
      <c r="F31" s="16"/>
      <c r="G31" s="17" t="s">
        <v>1325</v>
      </c>
      <c r="H31" s="19" t="n">
        <f aca="false">LEN(IF(F31&lt;&gt;"",F31,D31))</f>
        <v>89</v>
      </c>
      <c r="I31" s="29" t="str">
        <f aca="false">IF(OR(H31&lt;20,H31&gt;140),"분량 확인","")</f>
        <v/>
      </c>
    </row>
    <row r="32" customFormat="false" ht="33.75" hidden="false" customHeight="true" outlineLevel="0" collapsed="false">
      <c r="A32" s="13" t="s">
        <v>1326</v>
      </c>
      <c r="B32" s="14" t="s">
        <v>739</v>
      </c>
      <c r="C32" s="15" t="s">
        <v>1280</v>
      </c>
      <c r="D32" s="15" t="s">
        <v>1327</v>
      </c>
      <c r="E32" s="28" t="s">
        <v>19</v>
      </c>
      <c r="F32" s="16"/>
      <c r="G32" s="16"/>
      <c r="H32" s="19" t="n">
        <f aca="false">LEN(IF(F32&lt;&gt;"",F32,D32))</f>
        <v>42</v>
      </c>
      <c r="I32" s="29" t="str">
        <f aca="false">IF(OR(H32&lt;20,H32&gt;140),"분량 확인","")</f>
        <v/>
      </c>
    </row>
    <row r="33" customFormat="false" ht="48" hidden="false" customHeight="true" outlineLevel="0" collapsed="false">
      <c r="A33" s="13" t="s">
        <v>322</v>
      </c>
      <c r="B33" s="14" t="s">
        <v>739</v>
      </c>
      <c r="C33" s="15" t="s">
        <v>1282</v>
      </c>
      <c r="D33" s="15" t="s">
        <v>324</v>
      </c>
      <c r="E33" s="28" t="s">
        <v>19</v>
      </c>
      <c r="F33" s="16"/>
      <c r="G33" s="17" t="s">
        <v>1328</v>
      </c>
      <c r="H33" s="19" t="n">
        <f aca="false">LEN(IF(F33&lt;&gt;"",F33,D33))</f>
        <v>75</v>
      </c>
      <c r="I33" s="29" t="str">
        <f aca="false">IF(OR(H33&lt;20,H33&gt;140),"분량 확인","")</f>
        <v/>
      </c>
    </row>
    <row r="34" customFormat="false" ht="33.75" hidden="false" customHeight="true" outlineLevel="0" collapsed="false">
      <c r="A34" s="13" t="s">
        <v>1329</v>
      </c>
      <c r="B34" s="14" t="s">
        <v>752</v>
      </c>
      <c r="C34" s="15" t="s">
        <v>1280</v>
      </c>
      <c r="D34" s="15" t="s">
        <v>1330</v>
      </c>
      <c r="E34" s="28" t="s">
        <v>19</v>
      </c>
      <c r="F34" s="16"/>
      <c r="G34" s="16"/>
      <c r="H34" s="19" t="n">
        <f aca="false">LEN(IF(F34&lt;&gt;"",F34,D34))</f>
        <v>36</v>
      </c>
      <c r="I34" s="29" t="str">
        <f aca="false">IF(OR(H34&lt;20,H34&gt;140),"분량 확인","")</f>
        <v/>
      </c>
    </row>
    <row r="35" customFormat="false" ht="48" hidden="false" customHeight="true" outlineLevel="0" collapsed="false">
      <c r="A35" s="13" t="s">
        <v>337</v>
      </c>
      <c r="B35" s="14" t="s">
        <v>752</v>
      </c>
      <c r="C35" s="15" t="s">
        <v>1282</v>
      </c>
      <c r="D35" s="15" t="s">
        <v>339</v>
      </c>
      <c r="E35" s="28" t="s">
        <v>19</v>
      </c>
      <c r="F35" s="16"/>
      <c r="G35" s="17" t="s">
        <v>1331</v>
      </c>
      <c r="H35" s="19" t="n">
        <f aca="false">LEN(IF(F35&lt;&gt;"",F35,D35))</f>
        <v>87</v>
      </c>
      <c r="I35" s="29" t="str">
        <f aca="false">IF(OR(H35&lt;20,H35&gt;140),"분량 확인","")</f>
        <v/>
      </c>
    </row>
    <row r="36" customFormat="false" ht="33.75" hidden="false" customHeight="true" outlineLevel="0" collapsed="false">
      <c r="A36" s="13" t="s">
        <v>1332</v>
      </c>
      <c r="B36" s="14" t="s">
        <v>764</v>
      </c>
      <c r="C36" s="15" t="s">
        <v>1280</v>
      </c>
      <c r="D36" s="15" t="s">
        <v>1333</v>
      </c>
      <c r="E36" s="28" t="s">
        <v>19</v>
      </c>
      <c r="F36" s="16"/>
      <c r="G36" s="16"/>
      <c r="H36" s="19" t="n">
        <f aca="false">LEN(IF(F36&lt;&gt;"",F36,D36))</f>
        <v>33</v>
      </c>
      <c r="I36" s="29" t="str">
        <f aca="false">IF(OR(H36&lt;20,H36&gt;140),"분량 확인","")</f>
        <v/>
      </c>
    </row>
    <row r="37" customFormat="false" ht="48" hidden="false" customHeight="true" outlineLevel="0" collapsed="false">
      <c r="A37" s="13" t="s">
        <v>356</v>
      </c>
      <c r="B37" s="14" t="s">
        <v>764</v>
      </c>
      <c r="C37" s="15" t="s">
        <v>1282</v>
      </c>
      <c r="D37" s="15" t="s">
        <v>358</v>
      </c>
      <c r="E37" s="28" t="s">
        <v>19</v>
      </c>
      <c r="F37" s="16"/>
      <c r="G37" s="17" t="s">
        <v>1334</v>
      </c>
      <c r="H37" s="19" t="n">
        <f aca="false">LEN(IF(F37&lt;&gt;"",F37,D37))</f>
        <v>68</v>
      </c>
      <c r="I37" s="29" t="str">
        <f aca="false">IF(OR(H37&lt;20,H37&gt;140),"분량 확인","")</f>
        <v/>
      </c>
    </row>
    <row r="38" customFormat="false" ht="33.75" hidden="false" customHeight="true" outlineLevel="0" collapsed="false">
      <c r="A38" s="13" t="s">
        <v>1335</v>
      </c>
      <c r="B38" s="14" t="s">
        <v>775</v>
      </c>
      <c r="C38" s="15" t="s">
        <v>1280</v>
      </c>
      <c r="D38" s="15" t="s">
        <v>1336</v>
      </c>
      <c r="E38" s="28" t="s">
        <v>19</v>
      </c>
      <c r="F38" s="16"/>
      <c r="G38" s="16"/>
      <c r="H38" s="19" t="n">
        <f aca="false">LEN(IF(F38&lt;&gt;"",F38,D38))</f>
        <v>32</v>
      </c>
      <c r="I38" s="29" t="str">
        <f aca="false">IF(OR(H38&lt;20,H38&gt;140),"분량 확인","")</f>
        <v/>
      </c>
    </row>
    <row r="39" customFormat="false" ht="48" hidden="false" customHeight="true" outlineLevel="0" collapsed="false">
      <c r="A39" s="13" t="s">
        <v>371</v>
      </c>
      <c r="B39" s="14" t="s">
        <v>775</v>
      </c>
      <c r="C39" s="15" t="s">
        <v>1282</v>
      </c>
      <c r="D39" s="15" t="s">
        <v>373</v>
      </c>
      <c r="E39" s="28" t="s">
        <v>19</v>
      </c>
      <c r="F39" s="16"/>
      <c r="G39" s="17" t="s">
        <v>1337</v>
      </c>
      <c r="H39" s="19" t="n">
        <f aca="false">LEN(IF(F39&lt;&gt;"",F39,D39))</f>
        <v>81</v>
      </c>
      <c r="I39" s="29" t="str">
        <f aca="false">IF(OR(H39&lt;20,H39&gt;140),"분량 확인","")</f>
        <v/>
      </c>
    </row>
    <row r="40" customFormat="false" ht="33.75" hidden="false" customHeight="true" outlineLevel="0" collapsed="false">
      <c r="A40" s="13" t="s">
        <v>1338</v>
      </c>
      <c r="B40" s="14" t="s">
        <v>786</v>
      </c>
      <c r="C40" s="15" t="s">
        <v>1280</v>
      </c>
      <c r="D40" s="15" t="s">
        <v>1339</v>
      </c>
      <c r="E40" s="28" t="s">
        <v>19</v>
      </c>
      <c r="F40" s="16"/>
      <c r="G40" s="16"/>
      <c r="H40" s="19" t="n">
        <f aca="false">LEN(IF(F40&lt;&gt;"",F40,D40))</f>
        <v>34</v>
      </c>
      <c r="I40" s="29" t="str">
        <f aca="false">IF(OR(H40&lt;20,H40&gt;140),"분량 확인","")</f>
        <v/>
      </c>
    </row>
    <row r="41" customFormat="false" ht="48" hidden="false" customHeight="true" outlineLevel="0" collapsed="false">
      <c r="A41" s="13" t="s">
        <v>378</v>
      </c>
      <c r="B41" s="14" t="s">
        <v>786</v>
      </c>
      <c r="C41" s="15" t="s">
        <v>1282</v>
      </c>
      <c r="D41" s="15" t="s">
        <v>380</v>
      </c>
      <c r="E41" s="28" t="s">
        <v>19</v>
      </c>
      <c r="F41" s="16"/>
      <c r="G41" s="17" t="s">
        <v>1340</v>
      </c>
      <c r="H41" s="19" t="n">
        <f aca="false">LEN(IF(F41&lt;&gt;"",F41,D41))</f>
        <v>76</v>
      </c>
      <c r="I41" s="29" t="str">
        <f aca="false">IF(OR(H41&lt;20,H41&gt;140),"분량 확인","")</f>
        <v/>
      </c>
    </row>
    <row r="42" customFormat="false" ht="33.75" hidden="false" customHeight="true" outlineLevel="0" collapsed="false">
      <c r="A42" s="13" t="s">
        <v>1341</v>
      </c>
      <c r="B42" s="14" t="s">
        <v>798</v>
      </c>
      <c r="C42" s="15" t="s">
        <v>1280</v>
      </c>
      <c r="D42" s="15" t="s">
        <v>1342</v>
      </c>
      <c r="E42" s="28" t="s">
        <v>19</v>
      </c>
      <c r="F42" s="16"/>
      <c r="G42" s="16"/>
      <c r="H42" s="19" t="n">
        <f aca="false">LEN(IF(F42&lt;&gt;"",F42,D42))</f>
        <v>36</v>
      </c>
      <c r="I42" s="29" t="str">
        <f aca="false">IF(OR(H42&lt;20,H42&gt;140),"분량 확인","")</f>
        <v/>
      </c>
    </row>
    <row r="43" customFormat="false" ht="48" hidden="false" customHeight="true" outlineLevel="0" collapsed="false">
      <c r="A43" s="13" t="s">
        <v>416</v>
      </c>
      <c r="B43" s="14" t="s">
        <v>798</v>
      </c>
      <c r="C43" s="15" t="s">
        <v>1282</v>
      </c>
      <c r="D43" s="15" t="s">
        <v>418</v>
      </c>
      <c r="E43" s="28" t="s">
        <v>19</v>
      </c>
      <c r="F43" s="16"/>
      <c r="G43" s="17" t="s">
        <v>1343</v>
      </c>
      <c r="H43" s="19" t="n">
        <f aca="false">LEN(IF(F43&lt;&gt;"",F43,D43))</f>
        <v>80</v>
      </c>
      <c r="I43" s="29" t="str">
        <f aca="false">IF(OR(H43&lt;20,H43&gt;140),"분량 확인","")</f>
        <v/>
      </c>
    </row>
    <row r="44" customFormat="false" ht="48" hidden="false" customHeight="true" outlineLevel="0" collapsed="false">
      <c r="A44" s="13" t="s">
        <v>1344</v>
      </c>
      <c r="B44" s="14" t="s">
        <v>810</v>
      </c>
      <c r="C44" s="15" t="s">
        <v>1280</v>
      </c>
      <c r="D44" s="15" t="s">
        <v>1345</v>
      </c>
      <c r="E44" s="28" t="s">
        <v>19</v>
      </c>
      <c r="F44" s="16"/>
      <c r="G44" s="16"/>
      <c r="H44" s="19" t="n">
        <f aca="false">LEN(IF(F44&lt;&gt;"",F44,D44))</f>
        <v>32</v>
      </c>
      <c r="I44" s="29" t="str">
        <f aca="false">IF(OR(H44&lt;20,H44&gt;140),"분량 확인","")</f>
        <v/>
      </c>
    </row>
    <row r="45" customFormat="false" ht="48" hidden="false" customHeight="true" outlineLevel="0" collapsed="false">
      <c r="A45" s="13" t="s">
        <v>427</v>
      </c>
      <c r="B45" s="14" t="s">
        <v>810</v>
      </c>
      <c r="C45" s="15" t="s">
        <v>1282</v>
      </c>
      <c r="D45" s="15" t="s">
        <v>429</v>
      </c>
      <c r="E45" s="28" t="s">
        <v>19</v>
      </c>
      <c r="F45" s="16"/>
      <c r="G45" s="17" t="s">
        <v>1346</v>
      </c>
      <c r="H45" s="19" t="n">
        <f aca="false">LEN(IF(F45&lt;&gt;"",F45,D45))</f>
        <v>76</v>
      </c>
      <c r="I45" s="29" t="str">
        <f aca="false">IF(OR(H45&lt;20,H45&gt;140),"분량 확인","")</f>
        <v/>
      </c>
    </row>
  </sheetData>
  <autoFilter ref="A1:I45"/>
  <conditionalFormatting sqref="E2:E45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45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45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2F53"/>
    <pageSetUpPr fitToPage="false"/>
  </sheetPr>
  <dimension ref="A1:I8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33.75" hidden="false" customHeight="true" outlineLevel="0" collapsed="false">
      <c r="A2" s="13" t="s">
        <v>1347</v>
      </c>
      <c r="B2" s="14" t="s">
        <v>556</v>
      </c>
      <c r="C2" s="15" t="s">
        <v>1348</v>
      </c>
      <c r="D2" s="15" t="s">
        <v>1349</v>
      </c>
      <c r="E2" s="28" t="s">
        <v>19</v>
      </c>
      <c r="F2" s="16"/>
      <c r="G2" s="16"/>
      <c r="H2" s="19" t="n">
        <f aca="false">LEN(IF(F2&lt;&gt;"",F2,D2))</f>
        <v>38</v>
      </c>
      <c r="I2" s="29" t="str">
        <f aca="false">IF(OR(H2&lt;15,H2&gt;90),"분량 확인","")</f>
        <v/>
      </c>
    </row>
    <row r="3" customFormat="false" ht="33.75" hidden="false" customHeight="true" outlineLevel="0" collapsed="false">
      <c r="A3" s="13" t="s">
        <v>1350</v>
      </c>
      <c r="B3" s="14" t="s">
        <v>556</v>
      </c>
      <c r="C3" s="15" t="s">
        <v>1351</v>
      </c>
      <c r="D3" s="15" t="s">
        <v>1352</v>
      </c>
      <c r="E3" s="28" t="s">
        <v>19</v>
      </c>
      <c r="F3" s="16"/>
      <c r="G3" s="16"/>
      <c r="H3" s="19" t="n">
        <f aca="false">LEN(IF(F3&lt;&gt;"",F3,D3))</f>
        <v>40</v>
      </c>
      <c r="I3" s="29" t="str">
        <f aca="false">IF(OR(H3&lt;15,H3&gt;90),"분량 확인","")</f>
        <v/>
      </c>
    </row>
    <row r="4" customFormat="false" ht="33.75" hidden="false" customHeight="true" outlineLevel="0" collapsed="false">
      <c r="A4" s="13" t="s">
        <v>1353</v>
      </c>
      <c r="B4" s="14" t="s">
        <v>556</v>
      </c>
      <c r="C4" s="15" t="s">
        <v>1354</v>
      </c>
      <c r="D4" s="15" t="s">
        <v>1355</v>
      </c>
      <c r="E4" s="28" t="s">
        <v>19</v>
      </c>
      <c r="F4" s="16"/>
      <c r="G4" s="16"/>
      <c r="H4" s="19" t="n">
        <f aca="false">LEN(IF(F4&lt;&gt;"",F4,D4))</f>
        <v>36</v>
      </c>
      <c r="I4" s="29" t="str">
        <f aca="false">IF(OR(H4&lt;15,H4&gt;90),"분량 확인","")</f>
        <v/>
      </c>
    </row>
    <row r="5" customFormat="false" ht="33.75" hidden="false" customHeight="true" outlineLevel="0" collapsed="false">
      <c r="A5" s="13" t="s">
        <v>1356</v>
      </c>
      <c r="B5" s="14" t="s">
        <v>556</v>
      </c>
      <c r="C5" s="15" t="s">
        <v>1357</v>
      </c>
      <c r="D5" s="15" t="s">
        <v>1358</v>
      </c>
      <c r="E5" s="28" t="s">
        <v>19</v>
      </c>
      <c r="F5" s="16"/>
      <c r="G5" s="16"/>
      <c r="H5" s="19" t="n">
        <f aca="false">LEN(IF(F5&lt;&gt;"",F5,D5))</f>
        <v>34</v>
      </c>
      <c r="I5" s="29" t="str">
        <f aca="false">IF(OR(H5&lt;15,H5&gt;90),"분량 확인","")</f>
        <v/>
      </c>
    </row>
    <row r="6" customFormat="false" ht="33.75" hidden="false" customHeight="true" outlineLevel="0" collapsed="false">
      <c r="A6" s="13" t="s">
        <v>1359</v>
      </c>
      <c r="B6" s="14" t="s">
        <v>573</v>
      </c>
      <c r="C6" s="15" t="s">
        <v>1348</v>
      </c>
      <c r="D6" s="15" t="s">
        <v>1360</v>
      </c>
      <c r="E6" s="28" t="s">
        <v>19</v>
      </c>
      <c r="F6" s="16"/>
      <c r="G6" s="16"/>
      <c r="H6" s="19" t="n">
        <f aca="false">LEN(IF(F6&lt;&gt;"",F6,D6))</f>
        <v>41</v>
      </c>
      <c r="I6" s="29" t="str">
        <f aca="false">IF(OR(H6&lt;15,H6&gt;90),"분량 확인","")</f>
        <v/>
      </c>
    </row>
    <row r="7" customFormat="false" ht="33.75" hidden="false" customHeight="true" outlineLevel="0" collapsed="false">
      <c r="A7" s="13" t="s">
        <v>1361</v>
      </c>
      <c r="B7" s="14" t="s">
        <v>573</v>
      </c>
      <c r="C7" s="15" t="s">
        <v>1351</v>
      </c>
      <c r="D7" s="15" t="s">
        <v>1362</v>
      </c>
      <c r="E7" s="28" t="s">
        <v>19</v>
      </c>
      <c r="F7" s="16"/>
      <c r="G7" s="16"/>
      <c r="H7" s="19" t="n">
        <f aca="false">LEN(IF(F7&lt;&gt;"",F7,D7))</f>
        <v>37</v>
      </c>
      <c r="I7" s="29" t="str">
        <f aca="false">IF(OR(H7&lt;15,H7&gt;90),"분량 확인","")</f>
        <v/>
      </c>
    </row>
    <row r="8" customFormat="false" ht="33.75" hidden="false" customHeight="true" outlineLevel="0" collapsed="false">
      <c r="A8" s="13" t="s">
        <v>1363</v>
      </c>
      <c r="B8" s="14" t="s">
        <v>573</v>
      </c>
      <c r="C8" s="15" t="s">
        <v>1354</v>
      </c>
      <c r="D8" s="15" t="s">
        <v>1364</v>
      </c>
      <c r="E8" s="28" t="s">
        <v>19</v>
      </c>
      <c r="F8" s="16"/>
      <c r="G8" s="16"/>
      <c r="H8" s="19" t="n">
        <f aca="false">LEN(IF(F8&lt;&gt;"",F8,D8))</f>
        <v>41</v>
      </c>
      <c r="I8" s="29" t="str">
        <f aca="false">IF(OR(H8&lt;15,H8&gt;90),"분량 확인","")</f>
        <v/>
      </c>
    </row>
    <row r="9" customFormat="false" ht="33.75" hidden="false" customHeight="true" outlineLevel="0" collapsed="false">
      <c r="A9" s="13" t="s">
        <v>1365</v>
      </c>
      <c r="B9" s="14" t="s">
        <v>573</v>
      </c>
      <c r="C9" s="15" t="s">
        <v>1357</v>
      </c>
      <c r="D9" s="15" t="s">
        <v>1366</v>
      </c>
      <c r="E9" s="28" t="s">
        <v>19</v>
      </c>
      <c r="F9" s="16"/>
      <c r="G9" s="16"/>
      <c r="H9" s="19" t="n">
        <f aca="false">LEN(IF(F9&lt;&gt;"",F9,D9))</f>
        <v>38</v>
      </c>
      <c r="I9" s="29" t="str">
        <f aca="false">IF(OR(H9&lt;15,H9&gt;90),"분량 확인","")</f>
        <v/>
      </c>
    </row>
    <row r="10" customFormat="false" ht="33.75" hidden="false" customHeight="true" outlineLevel="0" collapsed="false">
      <c r="A10" s="13" t="s">
        <v>1367</v>
      </c>
      <c r="B10" s="14" t="s">
        <v>585</v>
      </c>
      <c r="C10" s="15" t="s">
        <v>1348</v>
      </c>
      <c r="D10" s="15" t="s">
        <v>1368</v>
      </c>
      <c r="E10" s="28" t="s">
        <v>19</v>
      </c>
      <c r="F10" s="16"/>
      <c r="G10" s="16"/>
      <c r="H10" s="19" t="n">
        <f aca="false">LEN(IF(F10&lt;&gt;"",F10,D10))</f>
        <v>35</v>
      </c>
      <c r="I10" s="29" t="str">
        <f aca="false">IF(OR(H10&lt;15,H10&gt;90),"분량 확인","")</f>
        <v/>
      </c>
    </row>
    <row r="11" customFormat="false" ht="33.75" hidden="false" customHeight="true" outlineLevel="0" collapsed="false">
      <c r="A11" s="13" t="s">
        <v>396</v>
      </c>
      <c r="B11" s="14" t="s">
        <v>585</v>
      </c>
      <c r="C11" s="15" t="s">
        <v>1351</v>
      </c>
      <c r="D11" s="15" t="s">
        <v>399</v>
      </c>
      <c r="E11" s="28" t="s">
        <v>19</v>
      </c>
      <c r="F11" s="16"/>
      <c r="G11" s="17" t="s">
        <v>1369</v>
      </c>
      <c r="H11" s="19" t="n">
        <f aca="false">LEN(IF(F11&lt;&gt;"",F11,D11))</f>
        <v>42</v>
      </c>
      <c r="I11" s="29" t="str">
        <f aca="false">IF(OR(H11&lt;15,H11&gt;90),"분량 확인","")</f>
        <v/>
      </c>
    </row>
    <row r="12" customFormat="false" ht="33.75" hidden="false" customHeight="true" outlineLevel="0" collapsed="false">
      <c r="A12" s="13" t="s">
        <v>1370</v>
      </c>
      <c r="B12" s="14" t="s">
        <v>585</v>
      </c>
      <c r="C12" s="15" t="s">
        <v>1354</v>
      </c>
      <c r="D12" s="15" t="s">
        <v>1371</v>
      </c>
      <c r="E12" s="28" t="s">
        <v>19</v>
      </c>
      <c r="F12" s="16"/>
      <c r="G12" s="16"/>
      <c r="H12" s="19" t="n">
        <f aca="false">LEN(IF(F12&lt;&gt;"",F12,D12))</f>
        <v>43</v>
      </c>
      <c r="I12" s="29" t="str">
        <f aca="false">IF(OR(H12&lt;15,H12&gt;90),"분량 확인","")</f>
        <v/>
      </c>
    </row>
    <row r="13" customFormat="false" ht="33.75" hidden="false" customHeight="true" outlineLevel="0" collapsed="false">
      <c r="A13" s="13" t="s">
        <v>1372</v>
      </c>
      <c r="B13" s="14" t="s">
        <v>585</v>
      </c>
      <c r="C13" s="15" t="s">
        <v>1357</v>
      </c>
      <c r="D13" s="15" t="s">
        <v>1373</v>
      </c>
      <c r="E13" s="28" t="s">
        <v>19</v>
      </c>
      <c r="F13" s="16"/>
      <c r="G13" s="16"/>
      <c r="H13" s="19" t="n">
        <f aca="false">LEN(IF(F13&lt;&gt;"",F13,D13))</f>
        <v>38</v>
      </c>
      <c r="I13" s="29" t="str">
        <f aca="false">IF(OR(H13&lt;15,H13&gt;90),"분량 확인","")</f>
        <v/>
      </c>
    </row>
    <row r="14" customFormat="false" ht="33.75" hidden="false" customHeight="true" outlineLevel="0" collapsed="false">
      <c r="A14" s="13" t="s">
        <v>1374</v>
      </c>
      <c r="B14" s="14" t="s">
        <v>596</v>
      </c>
      <c r="C14" s="15" t="s">
        <v>1348</v>
      </c>
      <c r="D14" s="15" t="s">
        <v>1375</v>
      </c>
      <c r="E14" s="28" t="s">
        <v>19</v>
      </c>
      <c r="F14" s="16"/>
      <c r="G14" s="16"/>
      <c r="H14" s="19" t="n">
        <f aca="false">LEN(IF(F14&lt;&gt;"",F14,D14))</f>
        <v>43</v>
      </c>
      <c r="I14" s="29" t="str">
        <f aca="false">IF(OR(H14&lt;15,H14&gt;90),"분량 확인","")</f>
        <v/>
      </c>
    </row>
    <row r="15" customFormat="false" ht="33.75" hidden="false" customHeight="true" outlineLevel="0" collapsed="false">
      <c r="A15" s="13" t="s">
        <v>1376</v>
      </c>
      <c r="B15" s="14" t="s">
        <v>596</v>
      </c>
      <c r="C15" s="15" t="s">
        <v>1351</v>
      </c>
      <c r="D15" s="14" t="s">
        <v>1377</v>
      </c>
      <c r="E15" s="28" t="s">
        <v>19</v>
      </c>
      <c r="F15" s="16"/>
      <c r="G15" s="16"/>
      <c r="H15" s="19" t="n">
        <f aca="false">LEN(IF(F15&lt;&gt;"",F15,D15))</f>
        <v>39</v>
      </c>
      <c r="I15" s="29" t="str">
        <f aca="false">IF(OR(H15&lt;15,H15&gt;90),"분량 확인","")</f>
        <v/>
      </c>
    </row>
    <row r="16" customFormat="false" ht="33.75" hidden="false" customHeight="true" outlineLevel="0" collapsed="false">
      <c r="A16" s="13" t="s">
        <v>1378</v>
      </c>
      <c r="B16" s="14" t="s">
        <v>596</v>
      </c>
      <c r="C16" s="15" t="s">
        <v>1354</v>
      </c>
      <c r="D16" s="15" t="s">
        <v>1379</v>
      </c>
      <c r="E16" s="28" t="s">
        <v>19</v>
      </c>
      <c r="F16" s="16"/>
      <c r="G16" s="16"/>
      <c r="H16" s="19" t="n">
        <f aca="false">LEN(IF(F16&lt;&gt;"",F16,D16))</f>
        <v>38</v>
      </c>
      <c r="I16" s="29" t="str">
        <f aca="false">IF(OR(H16&lt;15,H16&gt;90),"분량 확인","")</f>
        <v/>
      </c>
    </row>
    <row r="17" customFormat="false" ht="33.75" hidden="false" customHeight="true" outlineLevel="0" collapsed="false">
      <c r="A17" s="13" t="s">
        <v>1380</v>
      </c>
      <c r="B17" s="14" t="s">
        <v>596</v>
      </c>
      <c r="C17" s="15" t="s">
        <v>1357</v>
      </c>
      <c r="D17" s="15" t="s">
        <v>1381</v>
      </c>
      <c r="E17" s="28" t="s">
        <v>19</v>
      </c>
      <c r="F17" s="16"/>
      <c r="G17" s="16"/>
      <c r="H17" s="19" t="n">
        <f aca="false">LEN(IF(F17&lt;&gt;"",F17,D17))</f>
        <v>40</v>
      </c>
      <c r="I17" s="29" t="str">
        <f aca="false">IF(OR(H17&lt;15,H17&gt;90),"분량 확인","")</f>
        <v/>
      </c>
    </row>
    <row r="18" customFormat="false" ht="33.75" hidden="false" customHeight="true" outlineLevel="0" collapsed="false">
      <c r="A18" s="13" t="s">
        <v>1382</v>
      </c>
      <c r="B18" s="14" t="s">
        <v>608</v>
      </c>
      <c r="C18" s="15" t="s">
        <v>1348</v>
      </c>
      <c r="D18" s="15" t="s">
        <v>1383</v>
      </c>
      <c r="E18" s="28" t="s">
        <v>19</v>
      </c>
      <c r="F18" s="16"/>
      <c r="G18" s="16"/>
      <c r="H18" s="19" t="n">
        <f aca="false">LEN(IF(F18&lt;&gt;"",F18,D18))</f>
        <v>41</v>
      </c>
      <c r="I18" s="29" t="str">
        <f aca="false">IF(OR(H18&lt;15,H18&gt;90),"분량 확인","")</f>
        <v/>
      </c>
    </row>
    <row r="19" customFormat="false" ht="33.75" hidden="false" customHeight="true" outlineLevel="0" collapsed="false">
      <c r="A19" s="13" t="s">
        <v>1384</v>
      </c>
      <c r="B19" s="14" t="s">
        <v>608</v>
      </c>
      <c r="C19" s="15" t="s">
        <v>1351</v>
      </c>
      <c r="D19" s="15" t="s">
        <v>1385</v>
      </c>
      <c r="E19" s="28" t="s">
        <v>19</v>
      </c>
      <c r="F19" s="16"/>
      <c r="G19" s="16"/>
      <c r="H19" s="19" t="n">
        <f aca="false">LEN(IF(F19&lt;&gt;"",F19,D19))</f>
        <v>37</v>
      </c>
      <c r="I19" s="29" t="str">
        <f aca="false">IF(OR(H19&lt;15,H19&gt;90),"분량 확인","")</f>
        <v/>
      </c>
    </row>
    <row r="20" customFormat="false" ht="33.75" hidden="false" customHeight="true" outlineLevel="0" collapsed="false">
      <c r="A20" s="13" t="s">
        <v>1386</v>
      </c>
      <c r="B20" s="14" t="s">
        <v>608</v>
      </c>
      <c r="C20" s="15" t="s">
        <v>1354</v>
      </c>
      <c r="D20" s="15" t="s">
        <v>1387</v>
      </c>
      <c r="E20" s="28" t="s">
        <v>19</v>
      </c>
      <c r="F20" s="16"/>
      <c r="G20" s="16"/>
      <c r="H20" s="19" t="n">
        <f aca="false">LEN(IF(F20&lt;&gt;"",F20,D20))</f>
        <v>36</v>
      </c>
      <c r="I20" s="29" t="str">
        <f aca="false">IF(OR(H20&lt;15,H20&gt;90),"분량 확인","")</f>
        <v/>
      </c>
    </row>
    <row r="21" customFormat="false" ht="33.75" hidden="false" customHeight="true" outlineLevel="0" collapsed="false">
      <c r="A21" s="13" t="s">
        <v>1388</v>
      </c>
      <c r="B21" s="14" t="s">
        <v>608</v>
      </c>
      <c r="C21" s="15" t="s">
        <v>1357</v>
      </c>
      <c r="D21" s="15" t="s">
        <v>1389</v>
      </c>
      <c r="E21" s="28" t="s">
        <v>19</v>
      </c>
      <c r="F21" s="16"/>
      <c r="G21" s="16"/>
      <c r="H21" s="19" t="n">
        <f aca="false">LEN(IF(F21&lt;&gt;"",F21,D21))</f>
        <v>39</v>
      </c>
      <c r="I21" s="29" t="str">
        <f aca="false">IF(OR(H21&lt;15,H21&gt;90),"분량 확인","")</f>
        <v/>
      </c>
    </row>
    <row r="22" customFormat="false" ht="33.75" hidden="false" customHeight="true" outlineLevel="0" collapsed="false">
      <c r="A22" s="13" t="s">
        <v>1390</v>
      </c>
      <c r="B22" s="14" t="s">
        <v>620</v>
      </c>
      <c r="C22" s="15" t="s">
        <v>1348</v>
      </c>
      <c r="D22" s="14" t="s">
        <v>1391</v>
      </c>
      <c r="E22" s="28" t="s">
        <v>19</v>
      </c>
      <c r="F22" s="16"/>
      <c r="G22" s="16"/>
      <c r="H22" s="19" t="n">
        <f aca="false">LEN(IF(F22&lt;&gt;"",F22,D22))</f>
        <v>42</v>
      </c>
      <c r="I22" s="29" t="str">
        <f aca="false">IF(OR(H22&lt;15,H22&gt;90),"분량 확인","")</f>
        <v/>
      </c>
    </row>
    <row r="23" customFormat="false" ht="33.75" hidden="false" customHeight="true" outlineLevel="0" collapsed="false">
      <c r="A23" s="13" t="s">
        <v>466</v>
      </c>
      <c r="B23" s="14" t="s">
        <v>620</v>
      </c>
      <c r="C23" s="15" t="s">
        <v>1351</v>
      </c>
      <c r="D23" s="15" t="s">
        <v>469</v>
      </c>
      <c r="E23" s="28" t="s">
        <v>19</v>
      </c>
      <c r="F23" s="16"/>
      <c r="G23" s="17" t="s">
        <v>1392</v>
      </c>
      <c r="H23" s="19" t="n">
        <f aca="false">LEN(IF(F23&lt;&gt;"",F23,D23))</f>
        <v>38</v>
      </c>
      <c r="I23" s="29" t="str">
        <f aca="false">IF(OR(H23&lt;15,H23&gt;90),"분량 확인","")</f>
        <v/>
      </c>
    </row>
    <row r="24" customFormat="false" ht="33.75" hidden="false" customHeight="true" outlineLevel="0" collapsed="false">
      <c r="A24" s="13" t="s">
        <v>1393</v>
      </c>
      <c r="B24" s="14" t="s">
        <v>620</v>
      </c>
      <c r="C24" s="15" t="s">
        <v>1354</v>
      </c>
      <c r="D24" s="15" t="s">
        <v>1394</v>
      </c>
      <c r="E24" s="28" t="s">
        <v>19</v>
      </c>
      <c r="F24" s="16"/>
      <c r="G24" s="16"/>
      <c r="H24" s="19" t="n">
        <f aca="false">LEN(IF(F24&lt;&gt;"",F24,D24))</f>
        <v>37</v>
      </c>
      <c r="I24" s="29" t="str">
        <f aca="false">IF(OR(H24&lt;15,H24&gt;90),"분량 확인","")</f>
        <v/>
      </c>
    </row>
    <row r="25" customFormat="false" ht="33.75" hidden="false" customHeight="true" outlineLevel="0" collapsed="false">
      <c r="A25" s="13" t="s">
        <v>1395</v>
      </c>
      <c r="B25" s="14" t="s">
        <v>620</v>
      </c>
      <c r="C25" s="15" t="s">
        <v>1357</v>
      </c>
      <c r="D25" s="15" t="s">
        <v>1396</v>
      </c>
      <c r="E25" s="28" t="s">
        <v>19</v>
      </c>
      <c r="F25" s="16"/>
      <c r="G25" s="16"/>
      <c r="H25" s="19" t="n">
        <f aca="false">LEN(IF(F25&lt;&gt;"",F25,D25))</f>
        <v>43</v>
      </c>
      <c r="I25" s="29" t="str">
        <f aca="false">IF(OR(H25&lt;15,H25&gt;90),"분량 확인","")</f>
        <v/>
      </c>
    </row>
    <row r="26" customFormat="false" ht="33.75" hidden="false" customHeight="true" outlineLevel="0" collapsed="false">
      <c r="A26" s="13" t="s">
        <v>1397</v>
      </c>
      <c r="B26" s="14" t="s">
        <v>632</v>
      </c>
      <c r="C26" s="15" t="s">
        <v>1348</v>
      </c>
      <c r="D26" s="15" t="s">
        <v>1398</v>
      </c>
      <c r="E26" s="28" t="s">
        <v>19</v>
      </c>
      <c r="F26" s="16"/>
      <c r="G26" s="16"/>
      <c r="H26" s="19" t="n">
        <f aca="false">LEN(IF(F26&lt;&gt;"",F26,D26))</f>
        <v>40</v>
      </c>
      <c r="I26" s="29" t="str">
        <f aca="false">IF(OR(H26&lt;15,H26&gt;90),"분량 확인","")</f>
        <v/>
      </c>
    </row>
    <row r="27" customFormat="false" ht="33.75" hidden="false" customHeight="true" outlineLevel="0" collapsed="false">
      <c r="A27" s="13" t="s">
        <v>1399</v>
      </c>
      <c r="B27" s="14" t="s">
        <v>632</v>
      </c>
      <c r="C27" s="15" t="s">
        <v>1351</v>
      </c>
      <c r="D27" s="15" t="s">
        <v>1400</v>
      </c>
      <c r="E27" s="28" t="s">
        <v>19</v>
      </c>
      <c r="F27" s="16"/>
      <c r="G27" s="16"/>
      <c r="H27" s="19" t="n">
        <f aca="false">LEN(IF(F27&lt;&gt;"",F27,D27))</f>
        <v>43</v>
      </c>
      <c r="I27" s="29" t="str">
        <f aca="false">IF(OR(H27&lt;15,H27&gt;90),"분량 확인","")</f>
        <v/>
      </c>
    </row>
    <row r="28" customFormat="false" ht="33.75" hidden="false" customHeight="true" outlineLevel="0" collapsed="false">
      <c r="A28" s="13" t="s">
        <v>1401</v>
      </c>
      <c r="B28" s="14" t="s">
        <v>632</v>
      </c>
      <c r="C28" s="15" t="s">
        <v>1354</v>
      </c>
      <c r="D28" s="15" t="s">
        <v>1402</v>
      </c>
      <c r="E28" s="28" t="s">
        <v>19</v>
      </c>
      <c r="F28" s="16"/>
      <c r="G28" s="16"/>
      <c r="H28" s="19" t="n">
        <f aca="false">LEN(IF(F28&lt;&gt;"",F28,D28))</f>
        <v>38</v>
      </c>
      <c r="I28" s="29" t="str">
        <f aca="false">IF(OR(H28&lt;15,H28&gt;90),"분량 확인","")</f>
        <v/>
      </c>
    </row>
    <row r="29" customFormat="false" ht="33.75" hidden="false" customHeight="true" outlineLevel="0" collapsed="false">
      <c r="A29" s="13" t="s">
        <v>1403</v>
      </c>
      <c r="B29" s="14" t="s">
        <v>632</v>
      </c>
      <c r="C29" s="15" t="s">
        <v>1357</v>
      </c>
      <c r="D29" s="15" t="s">
        <v>1404</v>
      </c>
      <c r="E29" s="28" t="s">
        <v>19</v>
      </c>
      <c r="F29" s="16"/>
      <c r="G29" s="16"/>
      <c r="H29" s="19" t="n">
        <f aca="false">LEN(IF(F29&lt;&gt;"",F29,D29))</f>
        <v>42</v>
      </c>
      <c r="I29" s="29" t="str">
        <f aca="false">IF(OR(H29&lt;15,H29&gt;90),"분량 확인","")</f>
        <v/>
      </c>
    </row>
    <row r="30" customFormat="false" ht="33.75" hidden="false" customHeight="true" outlineLevel="0" collapsed="false">
      <c r="A30" s="13" t="s">
        <v>1405</v>
      </c>
      <c r="B30" s="14" t="s">
        <v>645</v>
      </c>
      <c r="C30" s="15" t="s">
        <v>1348</v>
      </c>
      <c r="D30" s="15" t="s">
        <v>1406</v>
      </c>
      <c r="E30" s="28" t="s">
        <v>19</v>
      </c>
      <c r="F30" s="16"/>
      <c r="G30" s="16"/>
      <c r="H30" s="19" t="n">
        <f aca="false">LEN(IF(F30&lt;&gt;"",F30,D30))</f>
        <v>45</v>
      </c>
      <c r="I30" s="29" t="str">
        <f aca="false">IF(OR(H30&lt;15,H30&gt;90),"분량 확인","")</f>
        <v/>
      </c>
    </row>
    <row r="31" customFormat="false" ht="33.75" hidden="false" customHeight="true" outlineLevel="0" collapsed="false">
      <c r="A31" s="13" t="s">
        <v>1407</v>
      </c>
      <c r="B31" s="14" t="s">
        <v>645</v>
      </c>
      <c r="C31" s="15" t="s">
        <v>1351</v>
      </c>
      <c r="D31" s="15" t="s">
        <v>1408</v>
      </c>
      <c r="E31" s="28" t="s">
        <v>19</v>
      </c>
      <c r="F31" s="16"/>
      <c r="G31" s="16"/>
      <c r="H31" s="19" t="n">
        <f aca="false">LEN(IF(F31&lt;&gt;"",F31,D31))</f>
        <v>37</v>
      </c>
      <c r="I31" s="29" t="str">
        <f aca="false">IF(OR(H31&lt;15,H31&gt;90),"분량 확인","")</f>
        <v/>
      </c>
    </row>
    <row r="32" customFormat="false" ht="33.75" hidden="false" customHeight="true" outlineLevel="0" collapsed="false">
      <c r="A32" s="13" t="s">
        <v>1409</v>
      </c>
      <c r="B32" s="14" t="s">
        <v>645</v>
      </c>
      <c r="C32" s="15" t="s">
        <v>1354</v>
      </c>
      <c r="D32" s="15" t="s">
        <v>1410</v>
      </c>
      <c r="E32" s="28" t="s">
        <v>19</v>
      </c>
      <c r="F32" s="16"/>
      <c r="G32" s="16"/>
      <c r="H32" s="19" t="n">
        <f aca="false">LEN(IF(F32&lt;&gt;"",F32,D32))</f>
        <v>36</v>
      </c>
      <c r="I32" s="29" t="str">
        <f aca="false">IF(OR(H32&lt;15,H32&gt;90),"분량 확인","")</f>
        <v/>
      </c>
    </row>
    <row r="33" customFormat="false" ht="33.75" hidden="false" customHeight="true" outlineLevel="0" collapsed="false">
      <c r="A33" s="13" t="s">
        <v>1411</v>
      </c>
      <c r="B33" s="14" t="s">
        <v>645</v>
      </c>
      <c r="C33" s="15" t="s">
        <v>1357</v>
      </c>
      <c r="D33" s="15" t="s">
        <v>1412</v>
      </c>
      <c r="E33" s="28" t="s">
        <v>19</v>
      </c>
      <c r="F33" s="16"/>
      <c r="G33" s="16"/>
      <c r="H33" s="19" t="n">
        <f aca="false">LEN(IF(F33&lt;&gt;"",F33,D33))</f>
        <v>34</v>
      </c>
      <c r="I33" s="29" t="str">
        <f aca="false">IF(OR(H33&lt;15,H33&gt;90),"분량 확인","")</f>
        <v/>
      </c>
    </row>
    <row r="34" customFormat="false" ht="33.75" hidden="false" customHeight="true" outlineLevel="0" collapsed="false">
      <c r="A34" s="13" t="s">
        <v>1413</v>
      </c>
      <c r="B34" s="14" t="s">
        <v>655</v>
      </c>
      <c r="C34" s="15" t="s">
        <v>1348</v>
      </c>
      <c r="D34" s="15" t="s">
        <v>1414</v>
      </c>
      <c r="E34" s="28" t="s">
        <v>19</v>
      </c>
      <c r="F34" s="16"/>
      <c r="G34" s="16"/>
      <c r="H34" s="19" t="n">
        <f aca="false">LEN(IF(F34&lt;&gt;"",F34,D34))</f>
        <v>35</v>
      </c>
      <c r="I34" s="29" t="str">
        <f aca="false">IF(OR(H34&lt;15,H34&gt;90),"분량 확인","")</f>
        <v/>
      </c>
    </row>
    <row r="35" customFormat="false" ht="33.75" hidden="false" customHeight="true" outlineLevel="0" collapsed="false">
      <c r="A35" s="13" t="s">
        <v>1415</v>
      </c>
      <c r="B35" s="14" t="s">
        <v>655</v>
      </c>
      <c r="C35" s="15" t="s">
        <v>1351</v>
      </c>
      <c r="D35" s="15" t="s">
        <v>1416</v>
      </c>
      <c r="E35" s="28" t="s">
        <v>19</v>
      </c>
      <c r="F35" s="16"/>
      <c r="G35" s="16"/>
      <c r="H35" s="19" t="n">
        <f aca="false">LEN(IF(F35&lt;&gt;"",F35,D35))</f>
        <v>37</v>
      </c>
      <c r="I35" s="29" t="str">
        <f aca="false">IF(OR(H35&lt;15,H35&gt;90),"분량 확인","")</f>
        <v/>
      </c>
    </row>
    <row r="36" customFormat="false" ht="33.75" hidden="false" customHeight="true" outlineLevel="0" collapsed="false">
      <c r="A36" s="13" t="s">
        <v>1417</v>
      </c>
      <c r="B36" s="14" t="s">
        <v>655</v>
      </c>
      <c r="C36" s="15" t="s">
        <v>1354</v>
      </c>
      <c r="D36" s="15" t="s">
        <v>1418</v>
      </c>
      <c r="E36" s="28" t="s">
        <v>19</v>
      </c>
      <c r="F36" s="16"/>
      <c r="G36" s="16"/>
      <c r="H36" s="19" t="n">
        <f aca="false">LEN(IF(F36&lt;&gt;"",F36,D36))</f>
        <v>41</v>
      </c>
      <c r="I36" s="29" t="str">
        <f aca="false">IF(OR(H36&lt;15,H36&gt;90),"분량 확인","")</f>
        <v/>
      </c>
    </row>
    <row r="37" customFormat="false" ht="33.75" hidden="false" customHeight="true" outlineLevel="0" collapsed="false">
      <c r="A37" s="13" t="s">
        <v>1419</v>
      </c>
      <c r="B37" s="14" t="s">
        <v>655</v>
      </c>
      <c r="C37" s="15" t="s">
        <v>1357</v>
      </c>
      <c r="D37" s="15" t="s">
        <v>1420</v>
      </c>
      <c r="E37" s="28" t="s">
        <v>19</v>
      </c>
      <c r="F37" s="16"/>
      <c r="G37" s="16"/>
      <c r="H37" s="19" t="n">
        <f aca="false">LEN(IF(F37&lt;&gt;"",F37,D37))</f>
        <v>36</v>
      </c>
      <c r="I37" s="29" t="str">
        <f aca="false">IF(OR(H37&lt;15,H37&gt;90),"분량 확인","")</f>
        <v/>
      </c>
    </row>
    <row r="38" customFormat="false" ht="33.75" hidden="false" customHeight="true" outlineLevel="0" collapsed="false">
      <c r="A38" s="13" t="s">
        <v>1421</v>
      </c>
      <c r="B38" s="14" t="s">
        <v>668</v>
      </c>
      <c r="C38" s="15" t="s">
        <v>1348</v>
      </c>
      <c r="D38" s="15" t="s">
        <v>1422</v>
      </c>
      <c r="E38" s="28" t="s">
        <v>19</v>
      </c>
      <c r="F38" s="16"/>
      <c r="G38" s="16"/>
      <c r="H38" s="19" t="n">
        <f aca="false">LEN(IF(F38&lt;&gt;"",F38,D38))</f>
        <v>38</v>
      </c>
      <c r="I38" s="29" t="str">
        <f aca="false">IF(OR(H38&lt;15,H38&gt;90),"분량 확인","")</f>
        <v/>
      </c>
    </row>
    <row r="39" customFormat="false" ht="33.75" hidden="false" customHeight="true" outlineLevel="0" collapsed="false">
      <c r="A39" s="13" t="s">
        <v>1423</v>
      </c>
      <c r="B39" s="14" t="s">
        <v>668</v>
      </c>
      <c r="C39" s="15" t="s">
        <v>1351</v>
      </c>
      <c r="D39" s="15" t="s">
        <v>1424</v>
      </c>
      <c r="E39" s="28" t="s">
        <v>19</v>
      </c>
      <c r="F39" s="16"/>
      <c r="G39" s="16"/>
      <c r="H39" s="19" t="n">
        <f aca="false">LEN(IF(F39&lt;&gt;"",F39,D39))</f>
        <v>37</v>
      </c>
      <c r="I39" s="29" t="str">
        <f aca="false">IF(OR(H39&lt;15,H39&gt;90),"분량 확인","")</f>
        <v/>
      </c>
    </row>
    <row r="40" customFormat="false" ht="33.75" hidden="false" customHeight="true" outlineLevel="0" collapsed="false">
      <c r="A40" s="13" t="s">
        <v>1425</v>
      </c>
      <c r="B40" s="14" t="s">
        <v>668</v>
      </c>
      <c r="C40" s="15" t="s">
        <v>1354</v>
      </c>
      <c r="D40" s="15" t="s">
        <v>1426</v>
      </c>
      <c r="E40" s="28" t="s">
        <v>19</v>
      </c>
      <c r="F40" s="16"/>
      <c r="G40" s="16"/>
      <c r="H40" s="19" t="n">
        <f aca="false">LEN(IF(F40&lt;&gt;"",F40,D40))</f>
        <v>37</v>
      </c>
      <c r="I40" s="29" t="str">
        <f aca="false">IF(OR(H40&lt;15,H40&gt;90),"분량 확인","")</f>
        <v/>
      </c>
    </row>
    <row r="41" customFormat="false" ht="33.75" hidden="false" customHeight="true" outlineLevel="0" collapsed="false">
      <c r="A41" s="13" t="s">
        <v>1427</v>
      </c>
      <c r="B41" s="14" t="s">
        <v>668</v>
      </c>
      <c r="C41" s="15" t="s">
        <v>1357</v>
      </c>
      <c r="D41" s="14" t="s">
        <v>1428</v>
      </c>
      <c r="E41" s="28" t="s">
        <v>19</v>
      </c>
      <c r="F41" s="16"/>
      <c r="G41" s="16"/>
      <c r="H41" s="19" t="n">
        <f aca="false">LEN(IF(F41&lt;&gt;"",F41,D41))</f>
        <v>40</v>
      </c>
      <c r="I41" s="29" t="str">
        <f aca="false">IF(OR(H41&lt;15,H41&gt;90),"분량 확인","")</f>
        <v/>
      </c>
    </row>
    <row r="42" customFormat="false" ht="33.75" hidden="false" customHeight="true" outlineLevel="0" collapsed="false">
      <c r="A42" s="13" t="s">
        <v>1429</v>
      </c>
      <c r="B42" s="14" t="s">
        <v>680</v>
      </c>
      <c r="C42" s="15" t="s">
        <v>1348</v>
      </c>
      <c r="D42" s="15" t="s">
        <v>1430</v>
      </c>
      <c r="E42" s="28" t="s">
        <v>19</v>
      </c>
      <c r="F42" s="16"/>
      <c r="G42" s="16"/>
      <c r="H42" s="19" t="n">
        <f aca="false">LEN(IF(F42&lt;&gt;"",F42,D42))</f>
        <v>39</v>
      </c>
      <c r="I42" s="29" t="str">
        <f aca="false">IF(OR(H42&lt;15,H42&gt;90),"분량 확인","")</f>
        <v/>
      </c>
    </row>
    <row r="43" customFormat="false" ht="33.75" hidden="false" customHeight="true" outlineLevel="0" collapsed="false">
      <c r="A43" s="13" t="s">
        <v>1431</v>
      </c>
      <c r="B43" s="14" t="s">
        <v>680</v>
      </c>
      <c r="C43" s="15" t="s">
        <v>1351</v>
      </c>
      <c r="D43" s="15" t="s">
        <v>1432</v>
      </c>
      <c r="E43" s="28" t="s">
        <v>19</v>
      </c>
      <c r="F43" s="16"/>
      <c r="G43" s="16"/>
      <c r="H43" s="19" t="n">
        <f aca="false">LEN(IF(F43&lt;&gt;"",F43,D43))</f>
        <v>34</v>
      </c>
      <c r="I43" s="29" t="str">
        <f aca="false">IF(OR(H43&lt;15,H43&gt;90),"분량 확인","")</f>
        <v/>
      </c>
    </row>
    <row r="44" customFormat="false" ht="33.75" hidden="false" customHeight="true" outlineLevel="0" collapsed="false">
      <c r="A44" s="13" t="s">
        <v>1433</v>
      </c>
      <c r="B44" s="14" t="s">
        <v>680</v>
      </c>
      <c r="C44" s="15" t="s">
        <v>1354</v>
      </c>
      <c r="D44" s="15" t="s">
        <v>1434</v>
      </c>
      <c r="E44" s="28" t="s">
        <v>19</v>
      </c>
      <c r="F44" s="16"/>
      <c r="G44" s="16"/>
      <c r="H44" s="19" t="n">
        <f aca="false">LEN(IF(F44&lt;&gt;"",F44,D44))</f>
        <v>32</v>
      </c>
      <c r="I44" s="29" t="str">
        <f aca="false">IF(OR(H44&lt;15,H44&gt;90),"분량 확인","")</f>
        <v/>
      </c>
    </row>
    <row r="45" customFormat="false" ht="33.75" hidden="false" customHeight="true" outlineLevel="0" collapsed="false">
      <c r="A45" s="13" t="s">
        <v>1435</v>
      </c>
      <c r="B45" s="14" t="s">
        <v>680</v>
      </c>
      <c r="C45" s="15" t="s">
        <v>1357</v>
      </c>
      <c r="D45" s="14" t="s">
        <v>1436</v>
      </c>
      <c r="E45" s="28" t="s">
        <v>19</v>
      </c>
      <c r="F45" s="16"/>
      <c r="G45" s="16"/>
      <c r="H45" s="19" t="n">
        <f aca="false">LEN(IF(F45&lt;&gt;"",F45,D45))</f>
        <v>33</v>
      </c>
      <c r="I45" s="29" t="str">
        <f aca="false">IF(OR(H45&lt;15,H45&gt;90),"분량 확인","")</f>
        <v/>
      </c>
    </row>
    <row r="46" customFormat="false" ht="33.75" hidden="false" customHeight="true" outlineLevel="0" collapsed="false">
      <c r="A46" s="13" t="s">
        <v>1437</v>
      </c>
      <c r="B46" s="14" t="s">
        <v>693</v>
      </c>
      <c r="C46" s="15" t="s">
        <v>1348</v>
      </c>
      <c r="D46" s="15" t="s">
        <v>1438</v>
      </c>
      <c r="E46" s="28" t="s">
        <v>19</v>
      </c>
      <c r="F46" s="16"/>
      <c r="G46" s="16"/>
      <c r="H46" s="19" t="n">
        <f aca="false">LEN(IF(F46&lt;&gt;"",F46,D46))</f>
        <v>30</v>
      </c>
      <c r="I46" s="29" t="str">
        <f aca="false">IF(OR(H46&lt;15,H46&gt;90),"분량 확인","")</f>
        <v/>
      </c>
    </row>
    <row r="47" customFormat="false" ht="33.75" hidden="false" customHeight="true" outlineLevel="0" collapsed="false">
      <c r="A47" s="13" t="s">
        <v>1439</v>
      </c>
      <c r="B47" s="14" t="s">
        <v>693</v>
      </c>
      <c r="C47" s="15" t="s">
        <v>1351</v>
      </c>
      <c r="D47" s="15" t="s">
        <v>1440</v>
      </c>
      <c r="E47" s="28" t="s">
        <v>19</v>
      </c>
      <c r="F47" s="16"/>
      <c r="G47" s="16"/>
      <c r="H47" s="19" t="n">
        <f aca="false">LEN(IF(F47&lt;&gt;"",F47,D47))</f>
        <v>28</v>
      </c>
      <c r="I47" s="29" t="str">
        <f aca="false">IF(OR(H47&lt;15,H47&gt;90),"분량 확인","")</f>
        <v/>
      </c>
    </row>
    <row r="48" customFormat="false" ht="33.75" hidden="false" customHeight="true" outlineLevel="0" collapsed="false">
      <c r="A48" s="13" t="s">
        <v>1441</v>
      </c>
      <c r="B48" s="14" t="s">
        <v>693</v>
      </c>
      <c r="C48" s="15" t="s">
        <v>1354</v>
      </c>
      <c r="D48" s="15" t="s">
        <v>1442</v>
      </c>
      <c r="E48" s="28" t="s">
        <v>19</v>
      </c>
      <c r="F48" s="16"/>
      <c r="G48" s="16"/>
      <c r="H48" s="19" t="n">
        <f aca="false">LEN(IF(F48&lt;&gt;"",F48,D48))</f>
        <v>38</v>
      </c>
      <c r="I48" s="29" t="str">
        <f aca="false">IF(OR(H48&lt;15,H48&gt;90),"분량 확인","")</f>
        <v/>
      </c>
    </row>
    <row r="49" customFormat="false" ht="33.75" hidden="false" customHeight="true" outlineLevel="0" collapsed="false">
      <c r="A49" s="13" t="s">
        <v>1443</v>
      </c>
      <c r="B49" s="14" t="s">
        <v>693</v>
      </c>
      <c r="C49" s="15" t="s">
        <v>1357</v>
      </c>
      <c r="D49" s="15" t="s">
        <v>1444</v>
      </c>
      <c r="E49" s="28" t="s">
        <v>19</v>
      </c>
      <c r="F49" s="16"/>
      <c r="G49" s="16"/>
      <c r="H49" s="19" t="n">
        <f aca="false">LEN(IF(F49&lt;&gt;"",F49,D49))</f>
        <v>30</v>
      </c>
      <c r="I49" s="29" t="str">
        <f aca="false">IF(OR(H49&lt;15,H49&gt;90),"분량 확인","")</f>
        <v/>
      </c>
    </row>
    <row r="50" customFormat="false" ht="33.75" hidden="false" customHeight="true" outlineLevel="0" collapsed="false">
      <c r="A50" s="13" t="s">
        <v>1445</v>
      </c>
      <c r="B50" s="14" t="s">
        <v>32</v>
      </c>
      <c r="C50" s="15" t="s">
        <v>1348</v>
      </c>
      <c r="D50" s="15" t="s">
        <v>1446</v>
      </c>
      <c r="E50" s="28" t="s">
        <v>19</v>
      </c>
      <c r="F50" s="16"/>
      <c r="G50" s="16"/>
      <c r="H50" s="19" t="n">
        <f aca="false">LEN(IF(F50&lt;&gt;"",F50,D50))</f>
        <v>30</v>
      </c>
      <c r="I50" s="29" t="str">
        <f aca="false">IF(OR(H50&lt;15,H50&gt;90),"분량 확인","")</f>
        <v/>
      </c>
    </row>
    <row r="51" customFormat="false" ht="33.75" hidden="false" customHeight="true" outlineLevel="0" collapsed="false">
      <c r="A51" s="13" t="s">
        <v>1447</v>
      </c>
      <c r="B51" s="14" t="s">
        <v>32</v>
      </c>
      <c r="C51" s="15" t="s">
        <v>1351</v>
      </c>
      <c r="D51" s="15" t="s">
        <v>1448</v>
      </c>
      <c r="E51" s="28" t="s">
        <v>19</v>
      </c>
      <c r="F51" s="16"/>
      <c r="G51" s="16"/>
      <c r="H51" s="19" t="n">
        <f aca="false">LEN(IF(F51&lt;&gt;"",F51,D51))</f>
        <v>31</v>
      </c>
      <c r="I51" s="29" t="str">
        <f aca="false">IF(OR(H51&lt;15,H51&gt;90),"분량 확인","")</f>
        <v/>
      </c>
    </row>
    <row r="52" customFormat="false" ht="33.75" hidden="false" customHeight="true" outlineLevel="0" collapsed="false">
      <c r="A52" s="13" t="s">
        <v>1449</v>
      </c>
      <c r="B52" s="14" t="s">
        <v>32</v>
      </c>
      <c r="C52" s="15" t="s">
        <v>1354</v>
      </c>
      <c r="D52" s="15" t="s">
        <v>1450</v>
      </c>
      <c r="E52" s="28" t="s">
        <v>19</v>
      </c>
      <c r="F52" s="16"/>
      <c r="G52" s="16"/>
      <c r="H52" s="19" t="n">
        <f aca="false">LEN(IF(F52&lt;&gt;"",F52,D52))</f>
        <v>32</v>
      </c>
      <c r="I52" s="29" t="str">
        <f aca="false">IF(OR(H52&lt;15,H52&gt;90),"분량 확인","")</f>
        <v/>
      </c>
    </row>
    <row r="53" customFormat="false" ht="33.75" hidden="false" customHeight="true" outlineLevel="0" collapsed="false">
      <c r="A53" s="13" t="s">
        <v>1451</v>
      </c>
      <c r="B53" s="14" t="s">
        <v>32</v>
      </c>
      <c r="C53" s="15" t="s">
        <v>1357</v>
      </c>
      <c r="D53" s="15" t="s">
        <v>1452</v>
      </c>
      <c r="E53" s="28" t="s">
        <v>19</v>
      </c>
      <c r="F53" s="16"/>
      <c r="G53" s="16"/>
      <c r="H53" s="19" t="n">
        <f aca="false">LEN(IF(F53&lt;&gt;"",F53,D53))</f>
        <v>33</v>
      </c>
      <c r="I53" s="29" t="str">
        <f aca="false">IF(OR(H53&lt;15,H53&gt;90),"분량 확인","")</f>
        <v/>
      </c>
    </row>
    <row r="54" customFormat="false" ht="33.75" hidden="false" customHeight="true" outlineLevel="0" collapsed="false">
      <c r="A54" s="13" t="s">
        <v>1453</v>
      </c>
      <c r="B54" s="14" t="s">
        <v>716</v>
      </c>
      <c r="C54" s="15" t="s">
        <v>1348</v>
      </c>
      <c r="D54" s="15" t="s">
        <v>1454</v>
      </c>
      <c r="E54" s="28" t="s">
        <v>19</v>
      </c>
      <c r="F54" s="16"/>
      <c r="G54" s="16"/>
      <c r="H54" s="19" t="n">
        <f aca="false">LEN(IF(F54&lt;&gt;"",F54,D54))</f>
        <v>36</v>
      </c>
      <c r="I54" s="29" t="str">
        <f aca="false">IF(OR(H54&lt;15,H54&gt;90),"분량 확인","")</f>
        <v/>
      </c>
    </row>
    <row r="55" customFormat="false" ht="33.75" hidden="false" customHeight="true" outlineLevel="0" collapsed="false">
      <c r="A55" s="13" t="s">
        <v>1455</v>
      </c>
      <c r="B55" s="14" t="s">
        <v>716</v>
      </c>
      <c r="C55" s="15" t="s">
        <v>1351</v>
      </c>
      <c r="D55" s="15" t="s">
        <v>1456</v>
      </c>
      <c r="E55" s="28" t="s">
        <v>19</v>
      </c>
      <c r="F55" s="16"/>
      <c r="G55" s="16"/>
      <c r="H55" s="19" t="n">
        <f aca="false">LEN(IF(F55&lt;&gt;"",F55,D55))</f>
        <v>36</v>
      </c>
      <c r="I55" s="29" t="str">
        <f aca="false">IF(OR(H55&lt;15,H55&gt;90),"분량 확인","")</f>
        <v/>
      </c>
    </row>
    <row r="56" customFormat="false" ht="33.75" hidden="false" customHeight="true" outlineLevel="0" collapsed="false">
      <c r="A56" s="13" t="s">
        <v>1457</v>
      </c>
      <c r="B56" s="14" t="s">
        <v>716</v>
      </c>
      <c r="C56" s="15" t="s">
        <v>1354</v>
      </c>
      <c r="D56" s="15" t="s">
        <v>1458</v>
      </c>
      <c r="E56" s="28" t="s">
        <v>19</v>
      </c>
      <c r="F56" s="16"/>
      <c r="G56" s="16"/>
      <c r="H56" s="19" t="n">
        <f aca="false">LEN(IF(F56&lt;&gt;"",F56,D56))</f>
        <v>38</v>
      </c>
      <c r="I56" s="29" t="str">
        <f aca="false">IF(OR(H56&lt;15,H56&gt;90),"분량 확인","")</f>
        <v/>
      </c>
    </row>
    <row r="57" customFormat="false" ht="33.75" hidden="false" customHeight="true" outlineLevel="0" collapsed="false">
      <c r="A57" s="13" t="s">
        <v>1459</v>
      </c>
      <c r="B57" s="14" t="s">
        <v>716</v>
      </c>
      <c r="C57" s="15" t="s">
        <v>1357</v>
      </c>
      <c r="D57" s="15" t="s">
        <v>1460</v>
      </c>
      <c r="E57" s="28" t="s">
        <v>19</v>
      </c>
      <c r="F57" s="16"/>
      <c r="G57" s="16"/>
      <c r="H57" s="19" t="n">
        <f aca="false">LEN(IF(F57&lt;&gt;"",F57,D57))</f>
        <v>34</v>
      </c>
      <c r="I57" s="29" t="str">
        <f aca="false">IF(OR(H57&lt;15,H57&gt;90),"분량 확인","")</f>
        <v/>
      </c>
    </row>
    <row r="58" customFormat="false" ht="33.75" hidden="false" customHeight="true" outlineLevel="0" collapsed="false">
      <c r="A58" s="13" t="s">
        <v>1461</v>
      </c>
      <c r="B58" s="14" t="s">
        <v>727</v>
      </c>
      <c r="C58" s="15" t="s">
        <v>1348</v>
      </c>
      <c r="D58" s="15" t="s">
        <v>1462</v>
      </c>
      <c r="E58" s="28" t="s">
        <v>19</v>
      </c>
      <c r="F58" s="16"/>
      <c r="G58" s="16"/>
      <c r="H58" s="19" t="n">
        <f aca="false">LEN(IF(F58&lt;&gt;"",F58,D58))</f>
        <v>37</v>
      </c>
      <c r="I58" s="29" t="str">
        <f aca="false">IF(OR(H58&lt;15,H58&gt;90),"분량 확인","")</f>
        <v/>
      </c>
    </row>
    <row r="59" customFormat="false" ht="33.75" hidden="false" customHeight="true" outlineLevel="0" collapsed="false">
      <c r="A59" s="13" t="s">
        <v>1463</v>
      </c>
      <c r="B59" s="14" t="s">
        <v>727</v>
      </c>
      <c r="C59" s="15" t="s">
        <v>1351</v>
      </c>
      <c r="D59" s="15" t="s">
        <v>1464</v>
      </c>
      <c r="E59" s="28" t="s">
        <v>19</v>
      </c>
      <c r="F59" s="16"/>
      <c r="G59" s="16"/>
      <c r="H59" s="19" t="n">
        <f aca="false">LEN(IF(F59&lt;&gt;"",F59,D59))</f>
        <v>40</v>
      </c>
      <c r="I59" s="29" t="str">
        <f aca="false">IF(OR(H59&lt;15,H59&gt;90),"분량 확인","")</f>
        <v/>
      </c>
    </row>
    <row r="60" customFormat="false" ht="33.75" hidden="false" customHeight="true" outlineLevel="0" collapsed="false">
      <c r="A60" s="13" t="s">
        <v>1465</v>
      </c>
      <c r="B60" s="14" t="s">
        <v>727</v>
      </c>
      <c r="C60" s="15" t="s">
        <v>1354</v>
      </c>
      <c r="D60" s="15" t="s">
        <v>1466</v>
      </c>
      <c r="E60" s="28" t="s">
        <v>19</v>
      </c>
      <c r="F60" s="16"/>
      <c r="G60" s="16"/>
      <c r="H60" s="19" t="n">
        <f aca="false">LEN(IF(F60&lt;&gt;"",F60,D60))</f>
        <v>35</v>
      </c>
      <c r="I60" s="29" t="str">
        <f aca="false">IF(OR(H60&lt;15,H60&gt;90),"분량 확인","")</f>
        <v/>
      </c>
    </row>
    <row r="61" customFormat="false" ht="33.75" hidden="false" customHeight="true" outlineLevel="0" collapsed="false">
      <c r="A61" s="13" t="s">
        <v>1467</v>
      </c>
      <c r="B61" s="14" t="s">
        <v>727</v>
      </c>
      <c r="C61" s="15" t="s">
        <v>1357</v>
      </c>
      <c r="D61" s="15" t="s">
        <v>1468</v>
      </c>
      <c r="E61" s="28" t="s">
        <v>19</v>
      </c>
      <c r="F61" s="16"/>
      <c r="G61" s="16"/>
      <c r="H61" s="19" t="n">
        <f aca="false">LEN(IF(F61&lt;&gt;"",F61,D61))</f>
        <v>41</v>
      </c>
      <c r="I61" s="29" t="str">
        <f aca="false">IF(OR(H61&lt;15,H61&gt;90),"분량 확인","")</f>
        <v/>
      </c>
    </row>
    <row r="62" customFormat="false" ht="33.75" hidden="false" customHeight="true" outlineLevel="0" collapsed="false">
      <c r="A62" s="13" t="s">
        <v>325</v>
      </c>
      <c r="B62" s="14" t="s">
        <v>739</v>
      </c>
      <c r="C62" s="15" t="s">
        <v>1348</v>
      </c>
      <c r="D62" s="15" t="s">
        <v>328</v>
      </c>
      <c r="E62" s="28" t="s">
        <v>19</v>
      </c>
      <c r="F62" s="16"/>
      <c r="G62" s="17" t="s">
        <v>1469</v>
      </c>
      <c r="H62" s="19" t="n">
        <f aca="false">LEN(IF(F62&lt;&gt;"",F62,D62))</f>
        <v>39</v>
      </c>
      <c r="I62" s="29" t="str">
        <f aca="false">IF(OR(H62&lt;15,H62&gt;90),"분량 확인","")</f>
        <v/>
      </c>
    </row>
    <row r="63" customFormat="false" ht="33.75" hidden="false" customHeight="true" outlineLevel="0" collapsed="false">
      <c r="A63" s="13" t="s">
        <v>1470</v>
      </c>
      <c r="B63" s="14" t="s">
        <v>739</v>
      </c>
      <c r="C63" s="15" t="s">
        <v>1351</v>
      </c>
      <c r="D63" s="15" t="s">
        <v>1471</v>
      </c>
      <c r="E63" s="28" t="s">
        <v>19</v>
      </c>
      <c r="F63" s="16"/>
      <c r="G63" s="16"/>
      <c r="H63" s="19" t="n">
        <f aca="false">LEN(IF(F63&lt;&gt;"",F63,D63))</f>
        <v>35</v>
      </c>
      <c r="I63" s="29" t="str">
        <f aca="false">IF(OR(H63&lt;15,H63&gt;90),"분량 확인","")</f>
        <v/>
      </c>
    </row>
    <row r="64" customFormat="false" ht="33.75" hidden="false" customHeight="true" outlineLevel="0" collapsed="false">
      <c r="A64" s="13" t="s">
        <v>1472</v>
      </c>
      <c r="B64" s="14" t="s">
        <v>739</v>
      </c>
      <c r="C64" s="15" t="s">
        <v>1354</v>
      </c>
      <c r="D64" s="15" t="s">
        <v>1473</v>
      </c>
      <c r="E64" s="28" t="s">
        <v>19</v>
      </c>
      <c r="F64" s="16"/>
      <c r="G64" s="16"/>
      <c r="H64" s="19" t="n">
        <f aca="false">LEN(IF(F64&lt;&gt;"",F64,D64))</f>
        <v>40</v>
      </c>
      <c r="I64" s="29" t="str">
        <f aca="false">IF(OR(H64&lt;15,H64&gt;90),"분량 확인","")</f>
        <v/>
      </c>
    </row>
    <row r="65" customFormat="false" ht="33.75" hidden="false" customHeight="true" outlineLevel="0" collapsed="false">
      <c r="A65" s="13" t="s">
        <v>1474</v>
      </c>
      <c r="B65" s="14" t="s">
        <v>739</v>
      </c>
      <c r="C65" s="15" t="s">
        <v>1357</v>
      </c>
      <c r="D65" s="15" t="s">
        <v>1475</v>
      </c>
      <c r="E65" s="28" t="s">
        <v>19</v>
      </c>
      <c r="F65" s="16"/>
      <c r="G65" s="16"/>
      <c r="H65" s="19" t="n">
        <f aca="false">LEN(IF(F65&lt;&gt;"",F65,D65))</f>
        <v>38</v>
      </c>
      <c r="I65" s="29" t="str">
        <f aca="false">IF(OR(H65&lt;15,H65&gt;90),"분량 확인","")</f>
        <v/>
      </c>
    </row>
    <row r="66" customFormat="false" ht="33.75" hidden="false" customHeight="true" outlineLevel="0" collapsed="false">
      <c r="A66" s="13" t="s">
        <v>1476</v>
      </c>
      <c r="B66" s="14" t="s">
        <v>752</v>
      </c>
      <c r="C66" s="15" t="s">
        <v>1348</v>
      </c>
      <c r="D66" s="15" t="s">
        <v>1477</v>
      </c>
      <c r="E66" s="28" t="s">
        <v>19</v>
      </c>
      <c r="F66" s="16"/>
      <c r="G66" s="16"/>
      <c r="H66" s="19" t="n">
        <f aca="false">LEN(IF(F66&lt;&gt;"",F66,D66))</f>
        <v>35</v>
      </c>
      <c r="I66" s="29" t="str">
        <f aca="false">IF(OR(H66&lt;15,H66&gt;90),"분량 확인","")</f>
        <v/>
      </c>
    </row>
    <row r="67" customFormat="false" ht="33.75" hidden="false" customHeight="true" outlineLevel="0" collapsed="false">
      <c r="A67" s="13" t="s">
        <v>1478</v>
      </c>
      <c r="B67" s="14" t="s">
        <v>752</v>
      </c>
      <c r="C67" s="15" t="s">
        <v>1351</v>
      </c>
      <c r="D67" s="15" t="s">
        <v>1479</v>
      </c>
      <c r="E67" s="28" t="s">
        <v>19</v>
      </c>
      <c r="F67" s="16"/>
      <c r="G67" s="16"/>
      <c r="H67" s="19" t="n">
        <f aca="false">LEN(IF(F67&lt;&gt;"",F67,D67))</f>
        <v>34</v>
      </c>
      <c r="I67" s="29" t="str">
        <f aca="false">IF(OR(H67&lt;15,H67&gt;90),"분량 확인","")</f>
        <v/>
      </c>
    </row>
    <row r="68" customFormat="false" ht="33.75" hidden="false" customHeight="true" outlineLevel="0" collapsed="false">
      <c r="A68" s="13" t="s">
        <v>1480</v>
      </c>
      <c r="B68" s="14" t="s">
        <v>752</v>
      </c>
      <c r="C68" s="15" t="s">
        <v>1354</v>
      </c>
      <c r="D68" s="15" t="s">
        <v>1481</v>
      </c>
      <c r="E68" s="28" t="s">
        <v>19</v>
      </c>
      <c r="F68" s="16"/>
      <c r="G68" s="16"/>
      <c r="H68" s="19" t="n">
        <f aca="false">LEN(IF(F68&lt;&gt;"",F68,D68))</f>
        <v>32</v>
      </c>
      <c r="I68" s="29" t="str">
        <f aca="false">IF(OR(H68&lt;15,H68&gt;90),"분량 확인","")</f>
        <v/>
      </c>
    </row>
    <row r="69" customFormat="false" ht="33.75" hidden="false" customHeight="true" outlineLevel="0" collapsed="false">
      <c r="A69" s="13" t="s">
        <v>1482</v>
      </c>
      <c r="B69" s="14" t="s">
        <v>752</v>
      </c>
      <c r="C69" s="15" t="s">
        <v>1357</v>
      </c>
      <c r="D69" s="15" t="s">
        <v>1483</v>
      </c>
      <c r="E69" s="28" t="s">
        <v>19</v>
      </c>
      <c r="F69" s="16"/>
      <c r="G69" s="16"/>
      <c r="H69" s="19" t="n">
        <f aca="false">LEN(IF(F69&lt;&gt;"",F69,D69))</f>
        <v>35</v>
      </c>
      <c r="I69" s="29" t="str">
        <f aca="false">IF(OR(H69&lt;15,H69&gt;90),"분량 확인","")</f>
        <v/>
      </c>
    </row>
    <row r="70" customFormat="false" ht="33.75" hidden="false" customHeight="true" outlineLevel="0" collapsed="false">
      <c r="A70" s="13" t="s">
        <v>1484</v>
      </c>
      <c r="B70" s="14" t="s">
        <v>764</v>
      </c>
      <c r="C70" s="15" t="s">
        <v>1348</v>
      </c>
      <c r="D70" s="15" t="s">
        <v>1485</v>
      </c>
      <c r="E70" s="28" t="s">
        <v>19</v>
      </c>
      <c r="F70" s="16"/>
      <c r="G70" s="16"/>
      <c r="H70" s="19" t="n">
        <f aca="false">LEN(IF(F70&lt;&gt;"",F70,D70))</f>
        <v>36</v>
      </c>
      <c r="I70" s="29" t="str">
        <f aca="false">IF(OR(H70&lt;15,H70&gt;90),"분량 확인","")</f>
        <v/>
      </c>
    </row>
    <row r="71" customFormat="false" ht="33.75" hidden="false" customHeight="true" outlineLevel="0" collapsed="false">
      <c r="A71" s="13" t="s">
        <v>1486</v>
      </c>
      <c r="B71" s="14" t="s">
        <v>764</v>
      </c>
      <c r="C71" s="15" t="s">
        <v>1351</v>
      </c>
      <c r="D71" s="15" t="s">
        <v>1487</v>
      </c>
      <c r="E71" s="28" t="s">
        <v>19</v>
      </c>
      <c r="F71" s="16"/>
      <c r="G71" s="16"/>
      <c r="H71" s="19" t="n">
        <f aca="false">LEN(IF(F71&lt;&gt;"",F71,D71))</f>
        <v>31</v>
      </c>
      <c r="I71" s="29" t="str">
        <f aca="false">IF(OR(H71&lt;15,H71&gt;90),"분량 확인","")</f>
        <v/>
      </c>
    </row>
    <row r="72" customFormat="false" ht="33.75" hidden="false" customHeight="true" outlineLevel="0" collapsed="false">
      <c r="A72" s="13" t="s">
        <v>1488</v>
      </c>
      <c r="B72" s="14" t="s">
        <v>764</v>
      </c>
      <c r="C72" s="15" t="s">
        <v>1354</v>
      </c>
      <c r="D72" s="15" t="s">
        <v>1489</v>
      </c>
      <c r="E72" s="28" t="s">
        <v>19</v>
      </c>
      <c r="F72" s="16"/>
      <c r="G72" s="16"/>
      <c r="H72" s="19" t="n">
        <f aca="false">LEN(IF(F72&lt;&gt;"",F72,D72))</f>
        <v>35</v>
      </c>
      <c r="I72" s="29" t="str">
        <f aca="false">IF(OR(H72&lt;15,H72&gt;90),"분량 확인","")</f>
        <v/>
      </c>
    </row>
    <row r="73" customFormat="false" ht="33.75" hidden="false" customHeight="true" outlineLevel="0" collapsed="false">
      <c r="A73" s="13" t="s">
        <v>1490</v>
      </c>
      <c r="B73" s="14" t="s">
        <v>764</v>
      </c>
      <c r="C73" s="15" t="s">
        <v>1357</v>
      </c>
      <c r="D73" s="15" t="s">
        <v>1491</v>
      </c>
      <c r="E73" s="28" t="s">
        <v>19</v>
      </c>
      <c r="F73" s="16"/>
      <c r="G73" s="16"/>
      <c r="H73" s="19" t="n">
        <f aca="false">LEN(IF(F73&lt;&gt;"",F73,D73))</f>
        <v>30</v>
      </c>
      <c r="I73" s="29" t="str">
        <f aca="false">IF(OR(H73&lt;15,H73&gt;90),"분량 확인","")</f>
        <v/>
      </c>
    </row>
    <row r="74" customFormat="false" ht="33.75" hidden="false" customHeight="true" outlineLevel="0" collapsed="false">
      <c r="A74" s="13" t="s">
        <v>1492</v>
      </c>
      <c r="B74" s="14" t="s">
        <v>775</v>
      </c>
      <c r="C74" s="15" t="s">
        <v>1348</v>
      </c>
      <c r="D74" s="15" t="s">
        <v>1493</v>
      </c>
      <c r="E74" s="28" t="s">
        <v>19</v>
      </c>
      <c r="F74" s="16"/>
      <c r="G74" s="16"/>
      <c r="H74" s="19" t="n">
        <f aca="false">LEN(IF(F74&lt;&gt;"",F74,D74))</f>
        <v>40</v>
      </c>
      <c r="I74" s="29" t="str">
        <f aca="false">IF(OR(H74&lt;15,H74&gt;90),"분량 확인","")</f>
        <v/>
      </c>
    </row>
    <row r="75" customFormat="false" ht="33.75" hidden="false" customHeight="true" outlineLevel="0" collapsed="false">
      <c r="A75" s="13" t="s">
        <v>1494</v>
      </c>
      <c r="B75" s="14" t="s">
        <v>775</v>
      </c>
      <c r="C75" s="15" t="s">
        <v>1351</v>
      </c>
      <c r="D75" s="15" t="s">
        <v>1495</v>
      </c>
      <c r="E75" s="28" t="s">
        <v>19</v>
      </c>
      <c r="F75" s="16"/>
      <c r="G75" s="16"/>
      <c r="H75" s="19" t="n">
        <f aca="false">LEN(IF(F75&lt;&gt;"",F75,D75))</f>
        <v>36</v>
      </c>
      <c r="I75" s="29" t="str">
        <f aca="false">IF(OR(H75&lt;15,H75&gt;90),"분량 확인","")</f>
        <v/>
      </c>
    </row>
    <row r="76" customFormat="false" ht="33.75" hidden="false" customHeight="true" outlineLevel="0" collapsed="false">
      <c r="A76" s="13" t="s">
        <v>1496</v>
      </c>
      <c r="B76" s="14" t="s">
        <v>775</v>
      </c>
      <c r="C76" s="15" t="s">
        <v>1354</v>
      </c>
      <c r="D76" s="15" t="s">
        <v>1497</v>
      </c>
      <c r="E76" s="28" t="s">
        <v>19</v>
      </c>
      <c r="F76" s="16"/>
      <c r="G76" s="16"/>
      <c r="H76" s="19" t="n">
        <f aca="false">LEN(IF(F76&lt;&gt;"",F76,D76))</f>
        <v>38</v>
      </c>
      <c r="I76" s="29" t="str">
        <f aca="false">IF(OR(H76&lt;15,H76&gt;90),"분량 확인","")</f>
        <v/>
      </c>
    </row>
    <row r="77" customFormat="false" ht="33.75" hidden="false" customHeight="true" outlineLevel="0" collapsed="false">
      <c r="A77" s="13" t="s">
        <v>1498</v>
      </c>
      <c r="B77" s="14" t="s">
        <v>775</v>
      </c>
      <c r="C77" s="15" t="s">
        <v>1357</v>
      </c>
      <c r="D77" s="15" t="s">
        <v>1499</v>
      </c>
      <c r="E77" s="28" t="s">
        <v>19</v>
      </c>
      <c r="F77" s="16"/>
      <c r="G77" s="16"/>
      <c r="H77" s="19" t="n">
        <f aca="false">LEN(IF(F77&lt;&gt;"",F77,D77))</f>
        <v>36</v>
      </c>
      <c r="I77" s="29" t="str">
        <f aca="false">IF(OR(H77&lt;15,H77&gt;90),"분량 확인","")</f>
        <v/>
      </c>
    </row>
    <row r="78" customFormat="false" ht="33.75" hidden="false" customHeight="true" outlineLevel="0" collapsed="false">
      <c r="A78" s="13" t="s">
        <v>1500</v>
      </c>
      <c r="B78" s="14" t="s">
        <v>786</v>
      </c>
      <c r="C78" s="15" t="s">
        <v>1348</v>
      </c>
      <c r="D78" s="15" t="s">
        <v>1501</v>
      </c>
      <c r="E78" s="28" t="s">
        <v>19</v>
      </c>
      <c r="F78" s="16"/>
      <c r="G78" s="16"/>
      <c r="H78" s="19" t="n">
        <f aca="false">LEN(IF(F78&lt;&gt;"",F78,D78))</f>
        <v>43</v>
      </c>
      <c r="I78" s="29" t="str">
        <f aca="false">IF(OR(H78&lt;15,H78&gt;90),"분량 확인","")</f>
        <v/>
      </c>
    </row>
    <row r="79" customFormat="false" ht="33.75" hidden="false" customHeight="true" outlineLevel="0" collapsed="false">
      <c r="A79" s="13" t="s">
        <v>1502</v>
      </c>
      <c r="B79" s="14" t="s">
        <v>786</v>
      </c>
      <c r="C79" s="15" t="s">
        <v>1351</v>
      </c>
      <c r="D79" s="15" t="s">
        <v>1503</v>
      </c>
      <c r="E79" s="28" t="s">
        <v>19</v>
      </c>
      <c r="F79" s="16"/>
      <c r="G79" s="16"/>
      <c r="H79" s="19" t="n">
        <f aca="false">LEN(IF(F79&lt;&gt;"",F79,D79))</f>
        <v>36</v>
      </c>
      <c r="I79" s="29" t="str">
        <f aca="false">IF(OR(H79&lt;15,H79&gt;90),"분량 확인","")</f>
        <v/>
      </c>
    </row>
    <row r="80" customFormat="false" ht="33.75" hidden="false" customHeight="true" outlineLevel="0" collapsed="false">
      <c r="A80" s="13" t="s">
        <v>1504</v>
      </c>
      <c r="B80" s="14" t="s">
        <v>786</v>
      </c>
      <c r="C80" s="15" t="s">
        <v>1354</v>
      </c>
      <c r="D80" s="15" t="s">
        <v>1505</v>
      </c>
      <c r="E80" s="28" t="s">
        <v>19</v>
      </c>
      <c r="F80" s="16"/>
      <c r="G80" s="16"/>
      <c r="H80" s="19" t="n">
        <f aca="false">LEN(IF(F80&lt;&gt;"",F80,D80))</f>
        <v>36</v>
      </c>
      <c r="I80" s="29" t="str">
        <f aca="false">IF(OR(H80&lt;15,H80&gt;90),"분량 확인","")</f>
        <v/>
      </c>
    </row>
    <row r="81" customFormat="false" ht="33.75" hidden="false" customHeight="true" outlineLevel="0" collapsed="false">
      <c r="A81" s="13" t="s">
        <v>1506</v>
      </c>
      <c r="B81" s="14" t="s">
        <v>786</v>
      </c>
      <c r="C81" s="15" t="s">
        <v>1357</v>
      </c>
      <c r="D81" s="15" t="s">
        <v>1507</v>
      </c>
      <c r="E81" s="28" t="s">
        <v>19</v>
      </c>
      <c r="F81" s="16"/>
      <c r="G81" s="16"/>
      <c r="H81" s="19" t="n">
        <f aca="false">LEN(IF(F81&lt;&gt;"",F81,D81))</f>
        <v>29</v>
      </c>
      <c r="I81" s="29" t="str">
        <f aca="false">IF(OR(H81&lt;15,H81&gt;90),"분량 확인","")</f>
        <v/>
      </c>
    </row>
    <row r="82" customFormat="false" ht="33.75" hidden="false" customHeight="true" outlineLevel="0" collapsed="false">
      <c r="A82" s="13" t="s">
        <v>1508</v>
      </c>
      <c r="B82" s="14" t="s">
        <v>798</v>
      </c>
      <c r="C82" s="15" t="s">
        <v>1348</v>
      </c>
      <c r="D82" s="14" t="s">
        <v>1509</v>
      </c>
      <c r="E82" s="28" t="s">
        <v>19</v>
      </c>
      <c r="F82" s="16"/>
      <c r="G82" s="16"/>
      <c r="H82" s="19" t="n">
        <f aca="false">LEN(IF(F82&lt;&gt;"",F82,D82))</f>
        <v>35</v>
      </c>
      <c r="I82" s="29" t="str">
        <f aca="false">IF(OR(H82&lt;15,H82&gt;90),"분량 확인","")</f>
        <v/>
      </c>
    </row>
    <row r="83" customFormat="false" ht="33.75" hidden="false" customHeight="true" outlineLevel="0" collapsed="false">
      <c r="A83" s="13" t="s">
        <v>1510</v>
      </c>
      <c r="B83" s="14" t="s">
        <v>798</v>
      </c>
      <c r="C83" s="15" t="s">
        <v>1351</v>
      </c>
      <c r="D83" s="15" t="s">
        <v>1511</v>
      </c>
      <c r="E83" s="28" t="s">
        <v>19</v>
      </c>
      <c r="F83" s="16"/>
      <c r="G83" s="16"/>
      <c r="H83" s="19" t="n">
        <f aca="false">LEN(IF(F83&lt;&gt;"",F83,D83))</f>
        <v>37</v>
      </c>
      <c r="I83" s="29" t="str">
        <f aca="false">IF(OR(H83&lt;15,H83&gt;90),"분량 확인","")</f>
        <v/>
      </c>
    </row>
    <row r="84" customFormat="false" ht="33.75" hidden="false" customHeight="true" outlineLevel="0" collapsed="false">
      <c r="A84" s="13" t="s">
        <v>1512</v>
      </c>
      <c r="B84" s="14" t="s">
        <v>798</v>
      </c>
      <c r="C84" s="15" t="s">
        <v>1354</v>
      </c>
      <c r="D84" s="15" t="s">
        <v>1513</v>
      </c>
      <c r="E84" s="28" t="s">
        <v>19</v>
      </c>
      <c r="F84" s="16"/>
      <c r="G84" s="16"/>
      <c r="H84" s="19" t="n">
        <f aca="false">LEN(IF(F84&lt;&gt;"",F84,D84))</f>
        <v>35</v>
      </c>
      <c r="I84" s="29" t="str">
        <f aca="false">IF(OR(H84&lt;15,H84&gt;90),"분량 확인","")</f>
        <v/>
      </c>
    </row>
    <row r="85" customFormat="false" ht="33.75" hidden="false" customHeight="true" outlineLevel="0" collapsed="false">
      <c r="A85" s="13" t="s">
        <v>1514</v>
      </c>
      <c r="B85" s="14" t="s">
        <v>798</v>
      </c>
      <c r="C85" s="15" t="s">
        <v>1357</v>
      </c>
      <c r="D85" s="15" t="s">
        <v>1515</v>
      </c>
      <c r="E85" s="28" t="s">
        <v>19</v>
      </c>
      <c r="F85" s="16"/>
      <c r="G85" s="16"/>
      <c r="H85" s="19" t="n">
        <f aca="false">LEN(IF(F85&lt;&gt;"",F85,D85))</f>
        <v>36</v>
      </c>
      <c r="I85" s="29" t="str">
        <f aca="false">IF(OR(H85&lt;15,H85&gt;90),"분량 확인","")</f>
        <v/>
      </c>
    </row>
    <row r="86" customFormat="false" ht="48" hidden="false" customHeight="true" outlineLevel="0" collapsed="false">
      <c r="A86" s="13" t="s">
        <v>1516</v>
      </c>
      <c r="B86" s="14" t="s">
        <v>810</v>
      </c>
      <c r="C86" s="15" t="s">
        <v>1348</v>
      </c>
      <c r="D86" s="15" t="s">
        <v>1517</v>
      </c>
      <c r="E86" s="28" t="s">
        <v>19</v>
      </c>
      <c r="F86" s="16"/>
      <c r="G86" s="16"/>
      <c r="H86" s="19" t="n">
        <f aca="false">LEN(IF(F86&lt;&gt;"",F86,D86))</f>
        <v>43</v>
      </c>
      <c r="I86" s="29" t="str">
        <f aca="false">IF(OR(H86&lt;15,H86&gt;90),"분량 확인","")</f>
        <v/>
      </c>
    </row>
    <row r="87" customFormat="false" ht="48" hidden="false" customHeight="true" outlineLevel="0" collapsed="false">
      <c r="A87" s="13" t="s">
        <v>430</v>
      </c>
      <c r="B87" s="14" t="s">
        <v>810</v>
      </c>
      <c r="C87" s="15" t="s">
        <v>1351</v>
      </c>
      <c r="D87" s="15" t="s">
        <v>433</v>
      </c>
      <c r="E87" s="28" t="s">
        <v>19</v>
      </c>
      <c r="F87" s="16"/>
      <c r="G87" s="17" t="s">
        <v>1518</v>
      </c>
      <c r="H87" s="19" t="n">
        <f aca="false">LEN(IF(F87&lt;&gt;"",F87,D87))</f>
        <v>37</v>
      </c>
      <c r="I87" s="29" t="str">
        <f aca="false">IF(OR(H87&lt;15,H87&gt;90),"분량 확인","")</f>
        <v/>
      </c>
    </row>
    <row r="88" customFormat="false" ht="48" hidden="false" customHeight="true" outlineLevel="0" collapsed="false">
      <c r="A88" s="13" t="s">
        <v>1519</v>
      </c>
      <c r="B88" s="14" t="s">
        <v>810</v>
      </c>
      <c r="C88" s="15" t="s">
        <v>1354</v>
      </c>
      <c r="D88" s="15" t="s">
        <v>1520</v>
      </c>
      <c r="E88" s="28" t="s">
        <v>19</v>
      </c>
      <c r="F88" s="16"/>
      <c r="G88" s="16"/>
      <c r="H88" s="19" t="n">
        <f aca="false">LEN(IF(F88&lt;&gt;"",F88,D88))</f>
        <v>33</v>
      </c>
      <c r="I88" s="29" t="str">
        <f aca="false">IF(OR(H88&lt;15,H88&gt;90),"분량 확인","")</f>
        <v/>
      </c>
    </row>
    <row r="89" customFormat="false" ht="48" hidden="false" customHeight="true" outlineLevel="0" collapsed="false">
      <c r="A89" s="13" t="s">
        <v>1521</v>
      </c>
      <c r="B89" s="14" t="s">
        <v>810</v>
      </c>
      <c r="C89" s="15" t="s">
        <v>1357</v>
      </c>
      <c r="D89" s="15" t="s">
        <v>1522</v>
      </c>
      <c r="E89" s="28" t="s">
        <v>19</v>
      </c>
      <c r="F89" s="16"/>
      <c r="G89" s="16"/>
      <c r="H89" s="19" t="n">
        <f aca="false">LEN(IF(F89&lt;&gt;"",F89,D89))</f>
        <v>35</v>
      </c>
      <c r="I89" s="29" t="str">
        <f aca="false">IF(OR(H89&lt;15,H89&gt;90),"분량 확인","")</f>
        <v/>
      </c>
    </row>
  </sheetData>
  <autoFilter ref="A1:I89"/>
  <conditionalFormatting sqref="E2:E89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89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89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2F5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33.75" hidden="false" customHeight="true" outlineLevel="0" collapsed="false">
      <c r="A2" s="13" t="s">
        <v>1523</v>
      </c>
      <c r="B2" s="14" t="s">
        <v>556</v>
      </c>
      <c r="C2" s="15" t="s">
        <v>1524</v>
      </c>
      <c r="D2" s="15" t="s">
        <v>1525</v>
      </c>
      <c r="E2" s="28" t="s">
        <v>19</v>
      </c>
      <c r="F2" s="16"/>
      <c r="G2" s="16"/>
      <c r="H2" s="19" t="n">
        <f aca="false">LEN(IF(F2&lt;&gt;"",F2,D2))</f>
        <v>52</v>
      </c>
      <c r="I2" s="29" t="str">
        <f aca="false">IF(OR(H2&lt;25,H2&gt;90),"분량 확인","")</f>
        <v/>
      </c>
    </row>
    <row r="3" customFormat="false" ht="48" hidden="false" customHeight="true" outlineLevel="0" collapsed="false">
      <c r="A3" s="13" t="s">
        <v>1526</v>
      </c>
      <c r="B3" s="14" t="s">
        <v>556</v>
      </c>
      <c r="C3" s="15" t="s">
        <v>1527</v>
      </c>
      <c r="D3" s="15" t="s">
        <v>1528</v>
      </c>
      <c r="E3" s="28" t="s">
        <v>19</v>
      </c>
      <c r="F3" s="16"/>
      <c r="G3" s="16"/>
      <c r="H3" s="19" t="n">
        <f aca="false">LEN(IF(F3&lt;&gt;"",F3,D3))</f>
        <v>69</v>
      </c>
      <c r="I3" s="29" t="str">
        <f aca="false">IF(OR(H3&lt;25,H3&gt;90),"분량 확인","")</f>
        <v/>
      </c>
    </row>
    <row r="4" customFormat="false" ht="48" hidden="false" customHeight="true" outlineLevel="0" collapsed="false">
      <c r="A4" s="13" t="s">
        <v>1529</v>
      </c>
      <c r="B4" s="14" t="s">
        <v>573</v>
      </c>
      <c r="C4" s="15" t="s">
        <v>1524</v>
      </c>
      <c r="D4" s="15" t="s">
        <v>1530</v>
      </c>
      <c r="E4" s="28" t="s">
        <v>19</v>
      </c>
      <c r="F4" s="16"/>
      <c r="G4" s="16"/>
      <c r="H4" s="19" t="n">
        <f aca="false">LEN(IF(F4&lt;&gt;"",F4,D4))</f>
        <v>67</v>
      </c>
      <c r="I4" s="29" t="str">
        <f aca="false">IF(OR(H4&lt;25,H4&gt;90),"분량 확인","")</f>
        <v/>
      </c>
    </row>
    <row r="5" customFormat="false" ht="48" hidden="false" customHeight="true" outlineLevel="0" collapsed="false">
      <c r="A5" s="13" t="s">
        <v>1531</v>
      </c>
      <c r="B5" s="14" t="s">
        <v>573</v>
      </c>
      <c r="C5" s="15" t="s">
        <v>1527</v>
      </c>
      <c r="D5" s="15" t="s">
        <v>1532</v>
      </c>
      <c r="E5" s="28" t="s">
        <v>19</v>
      </c>
      <c r="F5" s="16"/>
      <c r="G5" s="16"/>
      <c r="H5" s="19" t="n">
        <f aca="false">LEN(IF(F5&lt;&gt;"",F5,D5))</f>
        <v>71</v>
      </c>
      <c r="I5" s="29" t="str">
        <f aca="false">IF(OR(H5&lt;25,H5&gt;90),"분량 확인","")</f>
        <v/>
      </c>
    </row>
    <row r="6" customFormat="false" ht="33.75" hidden="false" customHeight="true" outlineLevel="0" collapsed="false">
      <c r="A6" s="13" t="s">
        <v>1533</v>
      </c>
      <c r="B6" s="14" t="s">
        <v>585</v>
      </c>
      <c r="C6" s="15" t="s">
        <v>1524</v>
      </c>
      <c r="D6" s="15" t="s">
        <v>1534</v>
      </c>
      <c r="E6" s="28" t="s">
        <v>19</v>
      </c>
      <c r="F6" s="16"/>
      <c r="G6" s="16"/>
      <c r="H6" s="19" t="n">
        <f aca="false">LEN(IF(F6&lt;&gt;"",F6,D6))</f>
        <v>53</v>
      </c>
      <c r="I6" s="29" t="str">
        <f aca="false">IF(OR(H6&lt;25,H6&gt;90),"분량 확인","")</f>
        <v/>
      </c>
    </row>
    <row r="7" customFormat="false" ht="48" hidden="false" customHeight="true" outlineLevel="0" collapsed="false">
      <c r="A7" s="13" t="s">
        <v>1535</v>
      </c>
      <c r="B7" s="14" t="s">
        <v>585</v>
      </c>
      <c r="C7" s="15" t="s">
        <v>1527</v>
      </c>
      <c r="D7" s="15" t="s">
        <v>1536</v>
      </c>
      <c r="E7" s="28" t="s">
        <v>19</v>
      </c>
      <c r="F7" s="16"/>
      <c r="G7" s="16"/>
      <c r="H7" s="19" t="n">
        <f aca="false">LEN(IF(F7&lt;&gt;"",F7,D7))</f>
        <v>64</v>
      </c>
      <c r="I7" s="29" t="str">
        <f aca="false">IF(OR(H7&lt;25,H7&gt;90),"분량 확인","")</f>
        <v/>
      </c>
    </row>
    <row r="8" customFormat="false" ht="48" hidden="false" customHeight="true" outlineLevel="0" collapsed="false">
      <c r="A8" s="13" t="s">
        <v>1537</v>
      </c>
      <c r="B8" s="14" t="s">
        <v>596</v>
      </c>
      <c r="C8" s="15" t="s">
        <v>1524</v>
      </c>
      <c r="D8" s="15" t="s">
        <v>1538</v>
      </c>
      <c r="E8" s="28" t="s">
        <v>19</v>
      </c>
      <c r="F8" s="16"/>
      <c r="G8" s="16"/>
      <c r="H8" s="19" t="n">
        <f aca="false">LEN(IF(F8&lt;&gt;"",F8,D8))</f>
        <v>60</v>
      </c>
      <c r="I8" s="29" t="str">
        <f aca="false">IF(OR(H8&lt;25,H8&gt;90),"분량 확인","")</f>
        <v/>
      </c>
    </row>
    <row r="9" customFormat="false" ht="48" hidden="false" customHeight="true" outlineLevel="0" collapsed="false">
      <c r="A9" s="13" t="s">
        <v>1539</v>
      </c>
      <c r="B9" s="14" t="s">
        <v>596</v>
      </c>
      <c r="C9" s="15" t="s">
        <v>1527</v>
      </c>
      <c r="D9" s="15" t="s">
        <v>1540</v>
      </c>
      <c r="E9" s="28" t="s">
        <v>19</v>
      </c>
      <c r="F9" s="16"/>
      <c r="G9" s="16"/>
      <c r="H9" s="19" t="n">
        <f aca="false">LEN(IF(F9&lt;&gt;"",F9,D9))</f>
        <v>69</v>
      </c>
      <c r="I9" s="29" t="str">
        <f aca="false">IF(OR(H9&lt;25,H9&gt;90),"분량 확인","")</f>
        <v/>
      </c>
    </row>
    <row r="10" customFormat="false" ht="48" hidden="false" customHeight="true" outlineLevel="0" collapsed="false">
      <c r="A10" s="13" t="s">
        <v>1541</v>
      </c>
      <c r="B10" s="14" t="s">
        <v>608</v>
      </c>
      <c r="C10" s="15" t="s">
        <v>1524</v>
      </c>
      <c r="D10" s="15" t="s">
        <v>1542</v>
      </c>
      <c r="E10" s="28" t="s">
        <v>19</v>
      </c>
      <c r="F10" s="16"/>
      <c r="G10" s="16"/>
      <c r="H10" s="19" t="n">
        <f aca="false">LEN(IF(F10&lt;&gt;"",F10,D10))</f>
        <v>61</v>
      </c>
      <c r="I10" s="29" t="str">
        <f aca="false">IF(OR(H10&lt;25,H10&gt;90),"분량 확인","")</f>
        <v/>
      </c>
    </row>
    <row r="11" customFormat="false" ht="48" hidden="false" customHeight="true" outlineLevel="0" collapsed="false">
      <c r="A11" s="13" t="s">
        <v>1543</v>
      </c>
      <c r="B11" s="14" t="s">
        <v>608</v>
      </c>
      <c r="C11" s="15" t="s">
        <v>1527</v>
      </c>
      <c r="D11" s="15" t="s">
        <v>1544</v>
      </c>
      <c r="E11" s="28" t="s">
        <v>19</v>
      </c>
      <c r="F11" s="16"/>
      <c r="G11" s="16"/>
      <c r="H11" s="19" t="n">
        <f aca="false">LEN(IF(F11&lt;&gt;"",F11,D11))</f>
        <v>71</v>
      </c>
      <c r="I11" s="29" t="str">
        <f aca="false">IF(OR(H11&lt;25,H11&gt;90),"분량 확인","")</f>
        <v/>
      </c>
    </row>
    <row r="12" customFormat="false" ht="33.75" hidden="false" customHeight="true" outlineLevel="0" collapsed="false">
      <c r="A12" s="13" t="s">
        <v>1545</v>
      </c>
      <c r="B12" s="14" t="s">
        <v>620</v>
      </c>
      <c r="C12" s="15" t="s">
        <v>1524</v>
      </c>
      <c r="D12" s="15" t="s">
        <v>1546</v>
      </c>
      <c r="E12" s="28" t="s">
        <v>19</v>
      </c>
      <c r="F12" s="16"/>
      <c r="G12" s="16"/>
      <c r="H12" s="19" t="n">
        <f aca="false">LEN(IF(F12&lt;&gt;"",F12,D12))</f>
        <v>58</v>
      </c>
      <c r="I12" s="29" t="str">
        <f aca="false">IF(OR(H12&lt;25,H12&gt;90),"분량 확인","")</f>
        <v/>
      </c>
    </row>
    <row r="13" customFormat="false" ht="48" hidden="false" customHeight="true" outlineLevel="0" collapsed="false">
      <c r="A13" s="13" t="s">
        <v>1547</v>
      </c>
      <c r="B13" s="14" t="s">
        <v>620</v>
      </c>
      <c r="C13" s="15" t="s">
        <v>1527</v>
      </c>
      <c r="D13" s="15" t="s">
        <v>1548</v>
      </c>
      <c r="E13" s="28" t="s">
        <v>19</v>
      </c>
      <c r="F13" s="16"/>
      <c r="G13" s="16"/>
      <c r="H13" s="19" t="n">
        <f aca="false">LEN(IF(F13&lt;&gt;"",F13,D13))</f>
        <v>69</v>
      </c>
      <c r="I13" s="29" t="str">
        <f aca="false">IF(OR(H13&lt;25,H13&gt;90),"분량 확인","")</f>
        <v/>
      </c>
    </row>
    <row r="14" customFormat="false" ht="48" hidden="false" customHeight="true" outlineLevel="0" collapsed="false">
      <c r="A14" s="13" t="s">
        <v>1549</v>
      </c>
      <c r="B14" s="14" t="s">
        <v>632</v>
      </c>
      <c r="C14" s="15" t="s">
        <v>1524</v>
      </c>
      <c r="D14" s="15" t="s">
        <v>1550</v>
      </c>
      <c r="E14" s="28" t="s">
        <v>19</v>
      </c>
      <c r="F14" s="16"/>
      <c r="G14" s="16"/>
      <c r="H14" s="19" t="n">
        <f aca="false">LEN(IF(F14&lt;&gt;"",F14,D14))</f>
        <v>62</v>
      </c>
      <c r="I14" s="29" t="str">
        <f aca="false">IF(OR(H14&lt;25,H14&gt;90),"분량 확인","")</f>
        <v/>
      </c>
    </row>
    <row r="15" customFormat="false" ht="48" hidden="false" customHeight="true" outlineLevel="0" collapsed="false">
      <c r="A15" s="13" t="s">
        <v>1551</v>
      </c>
      <c r="B15" s="14" t="s">
        <v>632</v>
      </c>
      <c r="C15" s="15" t="s">
        <v>1527</v>
      </c>
      <c r="D15" s="15" t="s">
        <v>1552</v>
      </c>
      <c r="E15" s="28" t="s">
        <v>19</v>
      </c>
      <c r="F15" s="16"/>
      <c r="G15" s="16"/>
      <c r="H15" s="19" t="n">
        <f aca="false">LEN(IF(F15&lt;&gt;"",F15,D15))</f>
        <v>68</v>
      </c>
      <c r="I15" s="29" t="str">
        <f aca="false">IF(OR(H15&lt;25,H15&gt;90),"분량 확인","")</f>
        <v/>
      </c>
    </row>
    <row r="16" customFormat="false" ht="48" hidden="false" customHeight="true" outlineLevel="0" collapsed="false">
      <c r="A16" s="13" t="s">
        <v>1553</v>
      </c>
      <c r="B16" s="14" t="s">
        <v>645</v>
      </c>
      <c r="C16" s="15" t="s">
        <v>1524</v>
      </c>
      <c r="D16" s="15" t="s">
        <v>1554</v>
      </c>
      <c r="E16" s="28" t="s">
        <v>19</v>
      </c>
      <c r="F16" s="16"/>
      <c r="G16" s="16"/>
      <c r="H16" s="19" t="n">
        <f aca="false">LEN(IF(F16&lt;&gt;"",F16,D16))</f>
        <v>67</v>
      </c>
      <c r="I16" s="29" t="str">
        <f aca="false">IF(OR(H16&lt;25,H16&gt;90),"분량 확인","")</f>
        <v/>
      </c>
    </row>
    <row r="17" customFormat="false" ht="48" hidden="false" customHeight="true" outlineLevel="0" collapsed="false">
      <c r="A17" s="13" t="s">
        <v>1555</v>
      </c>
      <c r="B17" s="14" t="s">
        <v>645</v>
      </c>
      <c r="C17" s="15" t="s">
        <v>1527</v>
      </c>
      <c r="D17" s="15" t="s">
        <v>1556</v>
      </c>
      <c r="E17" s="28" t="s">
        <v>19</v>
      </c>
      <c r="F17" s="16"/>
      <c r="G17" s="16"/>
      <c r="H17" s="19" t="n">
        <f aca="false">LEN(IF(F17&lt;&gt;"",F17,D17))</f>
        <v>64</v>
      </c>
      <c r="I17" s="29" t="str">
        <f aca="false">IF(OR(H17&lt;25,H17&gt;90),"분량 확인","")</f>
        <v/>
      </c>
    </row>
    <row r="18" customFormat="false" ht="48" hidden="false" customHeight="true" outlineLevel="0" collapsed="false">
      <c r="A18" s="13" t="s">
        <v>155</v>
      </c>
      <c r="B18" s="14" t="s">
        <v>655</v>
      </c>
      <c r="C18" s="15" t="s">
        <v>1524</v>
      </c>
      <c r="D18" s="15" t="s">
        <v>158</v>
      </c>
      <c r="E18" s="28" t="s">
        <v>19</v>
      </c>
      <c r="F18" s="16"/>
      <c r="G18" s="17" t="s">
        <v>1557</v>
      </c>
      <c r="H18" s="19" t="n">
        <f aca="false">LEN(IF(F18&lt;&gt;"",F18,D18))</f>
        <v>68</v>
      </c>
      <c r="I18" s="29" t="str">
        <f aca="false">IF(OR(H18&lt;25,H18&gt;90),"분량 확인","")</f>
        <v/>
      </c>
    </row>
    <row r="19" customFormat="false" ht="48" hidden="false" customHeight="true" outlineLevel="0" collapsed="false">
      <c r="A19" s="13" t="s">
        <v>1558</v>
      </c>
      <c r="B19" s="14" t="s">
        <v>655</v>
      </c>
      <c r="C19" s="15" t="s">
        <v>1527</v>
      </c>
      <c r="D19" s="15" t="s">
        <v>1559</v>
      </c>
      <c r="E19" s="28" t="s">
        <v>19</v>
      </c>
      <c r="F19" s="16"/>
      <c r="G19" s="16"/>
      <c r="H19" s="19" t="n">
        <f aca="false">LEN(IF(F19&lt;&gt;"",F19,D19))</f>
        <v>71</v>
      </c>
      <c r="I19" s="29" t="str">
        <f aca="false">IF(OR(H19&lt;25,H19&gt;90),"분량 확인","")</f>
        <v/>
      </c>
    </row>
    <row r="20" customFormat="false" ht="48" hidden="false" customHeight="true" outlineLevel="0" collapsed="false">
      <c r="A20" s="13" t="s">
        <v>1560</v>
      </c>
      <c r="B20" s="14" t="s">
        <v>668</v>
      </c>
      <c r="C20" s="15" t="s">
        <v>1524</v>
      </c>
      <c r="D20" s="15" t="s">
        <v>1561</v>
      </c>
      <c r="E20" s="28" t="s">
        <v>19</v>
      </c>
      <c r="F20" s="16"/>
      <c r="G20" s="16"/>
      <c r="H20" s="19" t="n">
        <f aca="false">LEN(IF(F20&lt;&gt;"",F20,D20))</f>
        <v>62</v>
      </c>
      <c r="I20" s="29" t="str">
        <f aca="false">IF(OR(H20&lt;25,H20&gt;90),"분량 확인","")</f>
        <v/>
      </c>
    </row>
    <row r="21" customFormat="false" ht="48" hidden="false" customHeight="true" outlineLevel="0" collapsed="false">
      <c r="A21" s="13" t="s">
        <v>1562</v>
      </c>
      <c r="B21" s="14" t="s">
        <v>668</v>
      </c>
      <c r="C21" s="15" t="s">
        <v>1527</v>
      </c>
      <c r="D21" s="15" t="s">
        <v>1563</v>
      </c>
      <c r="E21" s="28" t="s">
        <v>19</v>
      </c>
      <c r="F21" s="16"/>
      <c r="G21" s="16"/>
      <c r="H21" s="19" t="n">
        <f aca="false">LEN(IF(F21&lt;&gt;"",F21,D21))</f>
        <v>69</v>
      </c>
      <c r="I21" s="29" t="str">
        <f aca="false">IF(OR(H21&lt;25,H21&gt;90),"분량 확인","")</f>
        <v/>
      </c>
    </row>
    <row r="22" customFormat="false" ht="48" hidden="false" customHeight="true" outlineLevel="0" collapsed="false">
      <c r="A22" s="13" t="s">
        <v>1564</v>
      </c>
      <c r="B22" s="14" t="s">
        <v>680</v>
      </c>
      <c r="C22" s="15" t="s">
        <v>1524</v>
      </c>
      <c r="D22" s="15" t="s">
        <v>1565</v>
      </c>
      <c r="E22" s="28" t="s">
        <v>19</v>
      </c>
      <c r="F22" s="16"/>
      <c r="G22" s="16"/>
      <c r="H22" s="19" t="n">
        <f aca="false">LEN(IF(F22&lt;&gt;"",F22,D22))</f>
        <v>64</v>
      </c>
      <c r="I22" s="29" t="str">
        <f aca="false">IF(OR(H22&lt;25,H22&gt;90),"분량 확인","")</f>
        <v/>
      </c>
    </row>
    <row r="23" customFormat="false" ht="48" hidden="false" customHeight="true" outlineLevel="0" collapsed="false">
      <c r="A23" s="13" t="s">
        <v>1566</v>
      </c>
      <c r="B23" s="14" t="s">
        <v>680</v>
      </c>
      <c r="C23" s="15" t="s">
        <v>1527</v>
      </c>
      <c r="D23" s="15" t="s">
        <v>1567</v>
      </c>
      <c r="E23" s="28" t="s">
        <v>19</v>
      </c>
      <c r="F23" s="16"/>
      <c r="G23" s="16"/>
      <c r="H23" s="19" t="n">
        <f aca="false">LEN(IF(F23&lt;&gt;"",F23,D23))</f>
        <v>74</v>
      </c>
      <c r="I23" s="29" t="str">
        <f aca="false">IF(OR(H23&lt;25,H23&gt;90),"분량 확인","")</f>
        <v/>
      </c>
    </row>
    <row r="24" customFormat="false" ht="33.75" hidden="false" customHeight="true" outlineLevel="0" collapsed="false">
      <c r="A24" s="13" t="s">
        <v>1568</v>
      </c>
      <c r="B24" s="14" t="s">
        <v>693</v>
      </c>
      <c r="C24" s="15" t="s">
        <v>1524</v>
      </c>
      <c r="D24" s="15" t="s">
        <v>1569</v>
      </c>
      <c r="E24" s="28" t="s">
        <v>19</v>
      </c>
      <c r="F24" s="16"/>
      <c r="G24" s="16"/>
      <c r="H24" s="19" t="n">
        <f aca="false">LEN(IF(F24&lt;&gt;"",F24,D24))</f>
        <v>57</v>
      </c>
      <c r="I24" s="29" t="str">
        <f aca="false">IF(OR(H24&lt;25,H24&gt;90),"분량 확인","")</f>
        <v/>
      </c>
    </row>
    <row r="25" customFormat="false" ht="48" hidden="false" customHeight="true" outlineLevel="0" collapsed="false">
      <c r="A25" s="13" t="s">
        <v>1570</v>
      </c>
      <c r="B25" s="14" t="s">
        <v>693</v>
      </c>
      <c r="C25" s="15" t="s">
        <v>1527</v>
      </c>
      <c r="D25" s="15" t="s">
        <v>1571</v>
      </c>
      <c r="E25" s="28" t="s">
        <v>19</v>
      </c>
      <c r="F25" s="16"/>
      <c r="G25" s="16"/>
      <c r="H25" s="19" t="n">
        <f aca="false">LEN(IF(F25&lt;&gt;"",F25,D25))</f>
        <v>70</v>
      </c>
      <c r="I25" s="29" t="str">
        <f aca="false">IF(OR(H25&lt;25,H25&gt;90),"분량 확인","")</f>
        <v/>
      </c>
    </row>
    <row r="26" customFormat="false" ht="48" hidden="false" customHeight="true" outlineLevel="0" collapsed="false">
      <c r="A26" s="13" t="s">
        <v>1572</v>
      </c>
      <c r="B26" s="14" t="s">
        <v>32</v>
      </c>
      <c r="C26" s="15" t="s">
        <v>1524</v>
      </c>
      <c r="D26" s="15" t="s">
        <v>1573</v>
      </c>
      <c r="E26" s="28" t="s">
        <v>19</v>
      </c>
      <c r="F26" s="16"/>
      <c r="G26" s="16"/>
      <c r="H26" s="19" t="n">
        <f aca="false">LEN(IF(F26&lt;&gt;"",F26,D26))</f>
        <v>63</v>
      </c>
      <c r="I26" s="29" t="str">
        <f aca="false">IF(OR(H26&lt;25,H26&gt;90),"분량 확인","")</f>
        <v/>
      </c>
    </row>
    <row r="27" customFormat="false" ht="48" hidden="false" customHeight="true" outlineLevel="0" collapsed="false">
      <c r="A27" s="13" t="s">
        <v>1574</v>
      </c>
      <c r="B27" s="14" t="s">
        <v>32</v>
      </c>
      <c r="C27" s="15" t="s">
        <v>1527</v>
      </c>
      <c r="D27" s="15" t="s">
        <v>1575</v>
      </c>
      <c r="E27" s="28" t="s">
        <v>19</v>
      </c>
      <c r="F27" s="16"/>
      <c r="G27" s="16"/>
      <c r="H27" s="19" t="n">
        <f aca="false">LEN(IF(F27&lt;&gt;"",F27,D27))</f>
        <v>65</v>
      </c>
      <c r="I27" s="29" t="str">
        <f aca="false">IF(OR(H27&lt;25,H27&gt;90),"분량 확인","")</f>
        <v/>
      </c>
    </row>
    <row r="28" customFormat="false" ht="48" hidden="false" customHeight="true" outlineLevel="0" collapsed="false">
      <c r="A28" s="13" t="s">
        <v>1576</v>
      </c>
      <c r="B28" s="14" t="s">
        <v>716</v>
      </c>
      <c r="C28" s="15" t="s">
        <v>1524</v>
      </c>
      <c r="D28" s="15" t="s">
        <v>1577</v>
      </c>
      <c r="E28" s="28" t="s">
        <v>19</v>
      </c>
      <c r="F28" s="16"/>
      <c r="G28" s="16"/>
      <c r="H28" s="19" t="n">
        <f aca="false">LEN(IF(F28&lt;&gt;"",F28,D28))</f>
        <v>61</v>
      </c>
      <c r="I28" s="29" t="str">
        <f aca="false">IF(OR(H28&lt;25,H28&gt;90),"분량 확인","")</f>
        <v/>
      </c>
    </row>
    <row r="29" customFormat="false" ht="48" hidden="false" customHeight="true" outlineLevel="0" collapsed="false">
      <c r="A29" s="13" t="s">
        <v>1578</v>
      </c>
      <c r="B29" s="14" t="s">
        <v>716</v>
      </c>
      <c r="C29" s="15" t="s">
        <v>1527</v>
      </c>
      <c r="D29" s="15" t="s">
        <v>1579</v>
      </c>
      <c r="E29" s="28" t="s">
        <v>19</v>
      </c>
      <c r="F29" s="16"/>
      <c r="G29" s="16"/>
      <c r="H29" s="19" t="n">
        <f aca="false">LEN(IF(F29&lt;&gt;"",F29,D29))</f>
        <v>67</v>
      </c>
      <c r="I29" s="29" t="str">
        <f aca="false">IF(OR(H29&lt;25,H29&gt;90),"분량 확인","")</f>
        <v/>
      </c>
    </row>
    <row r="30" customFormat="false" ht="48" hidden="false" customHeight="true" outlineLevel="0" collapsed="false">
      <c r="A30" s="13" t="s">
        <v>1580</v>
      </c>
      <c r="B30" s="14" t="s">
        <v>727</v>
      </c>
      <c r="C30" s="15" t="s">
        <v>1524</v>
      </c>
      <c r="D30" s="15" t="s">
        <v>1581</v>
      </c>
      <c r="E30" s="28" t="s">
        <v>19</v>
      </c>
      <c r="F30" s="16"/>
      <c r="G30" s="16"/>
      <c r="H30" s="19" t="n">
        <f aca="false">LEN(IF(F30&lt;&gt;"",F30,D30))</f>
        <v>65</v>
      </c>
      <c r="I30" s="29" t="str">
        <f aca="false">IF(OR(H30&lt;25,H30&gt;90),"분량 확인","")</f>
        <v/>
      </c>
    </row>
    <row r="31" customFormat="false" ht="48" hidden="false" customHeight="true" outlineLevel="0" collapsed="false">
      <c r="A31" s="13" t="s">
        <v>1582</v>
      </c>
      <c r="B31" s="14" t="s">
        <v>727</v>
      </c>
      <c r="C31" s="15" t="s">
        <v>1527</v>
      </c>
      <c r="D31" s="15" t="s">
        <v>1583</v>
      </c>
      <c r="E31" s="28" t="s">
        <v>19</v>
      </c>
      <c r="F31" s="16"/>
      <c r="G31" s="16"/>
      <c r="H31" s="19" t="n">
        <f aca="false">LEN(IF(F31&lt;&gt;"",F31,D31))</f>
        <v>72</v>
      </c>
      <c r="I31" s="29" t="str">
        <f aca="false">IF(OR(H31&lt;25,H31&gt;90),"분량 확인","")</f>
        <v/>
      </c>
    </row>
    <row r="32" customFormat="false" ht="48" hidden="false" customHeight="true" outlineLevel="0" collapsed="false">
      <c r="A32" s="13" t="s">
        <v>1584</v>
      </c>
      <c r="B32" s="14" t="s">
        <v>739</v>
      </c>
      <c r="C32" s="15" t="s">
        <v>1524</v>
      </c>
      <c r="D32" s="15" t="s">
        <v>1585</v>
      </c>
      <c r="E32" s="28" t="s">
        <v>19</v>
      </c>
      <c r="F32" s="16"/>
      <c r="G32" s="16"/>
      <c r="H32" s="19" t="n">
        <f aca="false">LEN(IF(F32&lt;&gt;"",F32,D32))</f>
        <v>61</v>
      </c>
      <c r="I32" s="29" t="str">
        <f aca="false">IF(OR(H32&lt;25,H32&gt;90),"분량 확인","")</f>
        <v/>
      </c>
    </row>
    <row r="33" customFormat="false" ht="48" hidden="false" customHeight="true" outlineLevel="0" collapsed="false">
      <c r="A33" s="13" t="s">
        <v>1586</v>
      </c>
      <c r="B33" s="14" t="s">
        <v>739</v>
      </c>
      <c r="C33" s="15" t="s">
        <v>1527</v>
      </c>
      <c r="D33" s="15" t="s">
        <v>1587</v>
      </c>
      <c r="E33" s="28" t="s">
        <v>19</v>
      </c>
      <c r="F33" s="16"/>
      <c r="G33" s="16"/>
      <c r="H33" s="19" t="n">
        <f aca="false">LEN(IF(F33&lt;&gt;"",F33,D33))</f>
        <v>73</v>
      </c>
      <c r="I33" s="29" t="str">
        <f aca="false">IF(OR(H33&lt;25,H33&gt;90),"분량 확인","")</f>
        <v/>
      </c>
    </row>
    <row r="34" customFormat="false" ht="33.75" hidden="false" customHeight="true" outlineLevel="0" collapsed="false">
      <c r="A34" s="13" t="s">
        <v>1588</v>
      </c>
      <c r="B34" s="14" t="s">
        <v>752</v>
      </c>
      <c r="C34" s="15" t="s">
        <v>1524</v>
      </c>
      <c r="D34" s="15" t="s">
        <v>1589</v>
      </c>
      <c r="E34" s="28" t="s">
        <v>19</v>
      </c>
      <c r="F34" s="16"/>
      <c r="G34" s="16"/>
      <c r="H34" s="19" t="n">
        <f aca="false">LEN(IF(F34&lt;&gt;"",F34,D34))</f>
        <v>57</v>
      </c>
      <c r="I34" s="29" t="str">
        <f aca="false">IF(OR(H34&lt;25,H34&gt;90),"분량 확인","")</f>
        <v/>
      </c>
    </row>
    <row r="35" customFormat="false" ht="48" hidden="false" customHeight="true" outlineLevel="0" collapsed="false">
      <c r="A35" s="13" t="s">
        <v>1590</v>
      </c>
      <c r="B35" s="14" t="s">
        <v>752</v>
      </c>
      <c r="C35" s="15" t="s">
        <v>1527</v>
      </c>
      <c r="D35" s="15" t="s">
        <v>1591</v>
      </c>
      <c r="E35" s="28" t="s">
        <v>19</v>
      </c>
      <c r="F35" s="16"/>
      <c r="G35" s="16"/>
      <c r="H35" s="19" t="n">
        <f aca="false">LEN(IF(F35&lt;&gt;"",F35,D35))</f>
        <v>68</v>
      </c>
      <c r="I35" s="29" t="str">
        <f aca="false">IF(OR(H35&lt;25,H35&gt;90),"분량 확인","")</f>
        <v/>
      </c>
    </row>
    <row r="36" customFormat="false" ht="48" hidden="false" customHeight="true" outlineLevel="0" collapsed="false">
      <c r="A36" s="13" t="s">
        <v>1592</v>
      </c>
      <c r="B36" s="14" t="s">
        <v>764</v>
      </c>
      <c r="C36" s="15" t="s">
        <v>1524</v>
      </c>
      <c r="D36" s="15" t="s">
        <v>1593</v>
      </c>
      <c r="E36" s="28" t="s">
        <v>19</v>
      </c>
      <c r="F36" s="16"/>
      <c r="G36" s="16"/>
      <c r="H36" s="19" t="n">
        <f aca="false">LEN(IF(F36&lt;&gt;"",F36,D36))</f>
        <v>59</v>
      </c>
      <c r="I36" s="29" t="str">
        <f aca="false">IF(OR(H36&lt;25,H36&gt;90),"분량 확인","")</f>
        <v/>
      </c>
    </row>
    <row r="37" customFormat="false" ht="33.75" hidden="false" customHeight="true" outlineLevel="0" collapsed="false">
      <c r="A37" s="13" t="s">
        <v>1594</v>
      </c>
      <c r="B37" s="14" t="s">
        <v>764</v>
      </c>
      <c r="C37" s="15" t="s">
        <v>1527</v>
      </c>
      <c r="D37" s="15" t="s">
        <v>1595</v>
      </c>
      <c r="E37" s="28" t="s">
        <v>19</v>
      </c>
      <c r="F37" s="16"/>
      <c r="G37" s="16"/>
      <c r="H37" s="19" t="n">
        <f aca="false">LEN(IF(F37&lt;&gt;"",F37,D37))</f>
        <v>57</v>
      </c>
      <c r="I37" s="29" t="str">
        <f aca="false">IF(OR(H37&lt;25,H37&gt;90),"분량 확인","")</f>
        <v/>
      </c>
    </row>
    <row r="38" customFormat="false" ht="33.75" hidden="false" customHeight="true" outlineLevel="0" collapsed="false">
      <c r="A38" s="13" t="s">
        <v>1596</v>
      </c>
      <c r="B38" s="14" t="s">
        <v>775</v>
      </c>
      <c r="C38" s="15" t="s">
        <v>1524</v>
      </c>
      <c r="D38" s="15" t="s">
        <v>1597</v>
      </c>
      <c r="E38" s="28" t="s">
        <v>19</v>
      </c>
      <c r="F38" s="16"/>
      <c r="G38" s="16"/>
      <c r="H38" s="19" t="n">
        <f aca="false">LEN(IF(F38&lt;&gt;"",F38,D38))</f>
        <v>58</v>
      </c>
      <c r="I38" s="29" t="str">
        <f aca="false">IF(OR(H38&lt;25,H38&gt;90),"분량 확인","")</f>
        <v/>
      </c>
    </row>
    <row r="39" customFormat="false" ht="48" hidden="false" customHeight="true" outlineLevel="0" collapsed="false">
      <c r="A39" s="13" t="s">
        <v>1598</v>
      </c>
      <c r="B39" s="14" t="s">
        <v>775</v>
      </c>
      <c r="C39" s="15" t="s">
        <v>1527</v>
      </c>
      <c r="D39" s="15" t="s">
        <v>1599</v>
      </c>
      <c r="E39" s="28" t="s">
        <v>19</v>
      </c>
      <c r="F39" s="16"/>
      <c r="G39" s="16"/>
      <c r="H39" s="19" t="n">
        <f aca="false">LEN(IF(F39&lt;&gt;"",F39,D39))</f>
        <v>67</v>
      </c>
      <c r="I39" s="29" t="str">
        <f aca="false">IF(OR(H39&lt;25,H39&gt;90),"분량 확인","")</f>
        <v/>
      </c>
    </row>
    <row r="40" customFormat="false" ht="48" hidden="false" customHeight="true" outlineLevel="0" collapsed="false">
      <c r="A40" s="13" t="s">
        <v>1600</v>
      </c>
      <c r="B40" s="14" t="s">
        <v>786</v>
      </c>
      <c r="C40" s="15" t="s">
        <v>1524</v>
      </c>
      <c r="D40" s="15" t="s">
        <v>1601</v>
      </c>
      <c r="E40" s="28" t="s">
        <v>19</v>
      </c>
      <c r="F40" s="16"/>
      <c r="G40" s="16"/>
      <c r="H40" s="19" t="n">
        <f aca="false">LEN(IF(F40&lt;&gt;"",F40,D40))</f>
        <v>61</v>
      </c>
      <c r="I40" s="29" t="str">
        <f aca="false">IF(OR(H40&lt;25,H40&gt;90),"분량 확인","")</f>
        <v/>
      </c>
    </row>
    <row r="41" customFormat="false" ht="48" hidden="false" customHeight="true" outlineLevel="0" collapsed="false">
      <c r="A41" s="13" t="s">
        <v>1602</v>
      </c>
      <c r="B41" s="14" t="s">
        <v>786</v>
      </c>
      <c r="C41" s="15" t="s">
        <v>1527</v>
      </c>
      <c r="D41" s="15" t="s">
        <v>1603</v>
      </c>
      <c r="E41" s="28" t="s">
        <v>19</v>
      </c>
      <c r="F41" s="16"/>
      <c r="G41" s="16"/>
      <c r="H41" s="19" t="n">
        <f aca="false">LEN(IF(F41&lt;&gt;"",F41,D41))</f>
        <v>61</v>
      </c>
      <c r="I41" s="29" t="str">
        <f aca="false">IF(OR(H41&lt;25,H41&gt;90),"분량 확인","")</f>
        <v/>
      </c>
    </row>
    <row r="42" customFormat="false" ht="33.75" hidden="false" customHeight="true" outlineLevel="0" collapsed="false">
      <c r="A42" s="13" t="s">
        <v>1604</v>
      </c>
      <c r="B42" s="14" t="s">
        <v>798</v>
      </c>
      <c r="C42" s="15" t="s">
        <v>1524</v>
      </c>
      <c r="D42" s="15" t="s">
        <v>1605</v>
      </c>
      <c r="E42" s="28" t="s">
        <v>19</v>
      </c>
      <c r="F42" s="16"/>
      <c r="G42" s="16"/>
      <c r="H42" s="19" t="n">
        <f aca="false">LEN(IF(F42&lt;&gt;"",F42,D42))</f>
        <v>58</v>
      </c>
      <c r="I42" s="29" t="str">
        <f aca="false">IF(OR(H42&lt;25,H42&gt;90),"분량 확인","")</f>
        <v/>
      </c>
    </row>
    <row r="43" customFormat="false" ht="48" hidden="false" customHeight="true" outlineLevel="0" collapsed="false">
      <c r="A43" s="13" t="s">
        <v>1606</v>
      </c>
      <c r="B43" s="14" t="s">
        <v>798</v>
      </c>
      <c r="C43" s="15" t="s">
        <v>1527</v>
      </c>
      <c r="D43" s="15" t="s">
        <v>1607</v>
      </c>
      <c r="E43" s="28" t="s">
        <v>19</v>
      </c>
      <c r="F43" s="16"/>
      <c r="G43" s="16"/>
      <c r="H43" s="19" t="n">
        <f aca="false">LEN(IF(F43&lt;&gt;"",F43,D43))</f>
        <v>59</v>
      </c>
      <c r="I43" s="29" t="str">
        <f aca="false">IF(OR(H43&lt;25,H43&gt;90),"분량 확인","")</f>
        <v/>
      </c>
    </row>
    <row r="44" customFormat="false" ht="48" hidden="false" customHeight="true" outlineLevel="0" collapsed="false">
      <c r="A44" s="13" t="s">
        <v>1608</v>
      </c>
      <c r="B44" s="14" t="s">
        <v>810</v>
      </c>
      <c r="C44" s="15" t="s">
        <v>1524</v>
      </c>
      <c r="D44" s="15" t="s">
        <v>1609</v>
      </c>
      <c r="E44" s="28" t="s">
        <v>19</v>
      </c>
      <c r="F44" s="16"/>
      <c r="G44" s="16"/>
      <c r="H44" s="19" t="n">
        <f aca="false">LEN(IF(F44&lt;&gt;"",F44,D44))</f>
        <v>56</v>
      </c>
      <c r="I44" s="29" t="str">
        <f aca="false">IF(OR(H44&lt;25,H44&gt;90),"분량 확인","")</f>
        <v/>
      </c>
    </row>
    <row r="45" customFormat="false" ht="48" hidden="false" customHeight="true" outlineLevel="0" collapsed="false">
      <c r="A45" s="13" t="s">
        <v>1610</v>
      </c>
      <c r="B45" s="14" t="s">
        <v>810</v>
      </c>
      <c r="C45" s="15" t="s">
        <v>1527</v>
      </c>
      <c r="D45" s="15" t="s">
        <v>1611</v>
      </c>
      <c r="E45" s="28" t="s">
        <v>19</v>
      </c>
      <c r="F45" s="16"/>
      <c r="G45" s="16"/>
      <c r="H45" s="19" t="n">
        <f aca="false">LEN(IF(F45&lt;&gt;"",F45,D45))</f>
        <v>61</v>
      </c>
      <c r="I45" s="29" t="str">
        <f aca="false">IF(OR(H45&lt;25,H45&gt;90),"분량 확인","")</f>
        <v/>
      </c>
    </row>
  </sheetData>
  <autoFilter ref="A1:I45"/>
  <conditionalFormatting sqref="E2:E45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45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45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2F53"/>
    <pageSetUpPr fitToPage="false"/>
  </sheetPr>
  <dimension ref="A1:I26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33.75" hidden="false" customHeight="true" outlineLevel="0" collapsed="false">
      <c r="A2" s="13" t="s">
        <v>1612</v>
      </c>
      <c r="B2" s="14" t="s">
        <v>556</v>
      </c>
      <c r="C2" s="15" t="s">
        <v>1613</v>
      </c>
      <c r="D2" s="14" t="s">
        <v>1614</v>
      </c>
      <c r="E2" s="28" t="s">
        <v>19</v>
      </c>
      <c r="F2" s="16"/>
      <c r="G2" s="16"/>
      <c r="H2" s="19" t="n">
        <f aca="false">LEN(IF(F2&lt;&gt;"",F2,D2))</f>
        <v>8</v>
      </c>
      <c r="I2" s="29" t="str">
        <f aca="false">IF(OR(H2&lt;2,H2&gt;120),"분량 확인","")</f>
        <v/>
      </c>
    </row>
    <row r="3" customFormat="false" ht="33.75" hidden="false" customHeight="true" outlineLevel="0" collapsed="false">
      <c r="A3" s="13" t="s">
        <v>1615</v>
      </c>
      <c r="B3" s="14" t="s">
        <v>556</v>
      </c>
      <c r="C3" s="15" t="s">
        <v>1616</v>
      </c>
      <c r="D3" s="15" t="s">
        <v>1617</v>
      </c>
      <c r="E3" s="28" t="s">
        <v>19</v>
      </c>
      <c r="F3" s="16"/>
      <c r="G3" s="16"/>
      <c r="H3" s="19" t="n">
        <f aca="false">LEN(IF(F3&lt;&gt;"",F3,D3))</f>
        <v>48</v>
      </c>
      <c r="I3" s="29" t="str">
        <f aca="false">IF(OR(H3&lt;2,H3&gt;120),"분량 확인","")</f>
        <v/>
      </c>
    </row>
    <row r="4" customFormat="false" ht="33.75" hidden="false" customHeight="true" outlineLevel="0" collapsed="false">
      <c r="A4" s="13" t="s">
        <v>1618</v>
      </c>
      <c r="B4" s="14" t="s">
        <v>556</v>
      </c>
      <c r="C4" s="15" t="s">
        <v>1619</v>
      </c>
      <c r="D4" s="14" t="s">
        <v>1620</v>
      </c>
      <c r="E4" s="28" t="s">
        <v>19</v>
      </c>
      <c r="F4" s="16"/>
      <c r="G4" s="16"/>
      <c r="H4" s="19" t="n">
        <f aca="false">LEN(IF(F4&lt;&gt;"",F4,D4))</f>
        <v>2</v>
      </c>
      <c r="I4" s="29" t="str">
        <f aca="false">IF(OR(H4&lt;2,H4&gt;120),"분량 확인","")</f>
        <v/>
      </c>
    </row>
    <row r="5" customFormat="false" ht="33.75" hidden="false" customHeight="true" outlineLevel="0" collapsed="false">
      <c r="A5" s="13" t="s">
        <v>1621</v>
      </c>
      <c r="B5" s="14" t="s">
        <v>556</v>
      </c>
      <c r="C5" s="15" t="s">
        <v>1622</v>
      </c>
      <c r="D5" s="15" t="s">
        <v>1623</v>
      </c>
      <c r="E5" s="28" t="s">
        <v>19</v>
      </c>
      <c r="F5" s="16"/>
      <c r="G5" s="16"/>
      <c r="H5" s="19" t="n">
        <f aca="false">LEN(IF(F5&lt;&gt;"",F5,D5))</f>
        <v>58</v>
      </c>
      <c r="I5" s="29" t="str">
        <f aca="false">IF(OR(H5&lt;2,H5&gt;120),"분량 확인","")</f>
        <v/>
      </c>
    </row>
    <row r="6" customFormat="false" ht="33.75" hidden="false" customHeight="true" outlineLevel="0" collapsed="false">
      <c r="A6" s="13" t="s">
        <v>1624</v>
      </c>
      <c r="B6" s="14" t="s">
        <v>556</v>
      </c>
      <c r="C6" s="15" t="s">
        <v>1625</v>
      </c>
      <c r="D6" s="15" t="s">
        <v>1626</v>
      </c>
      <c r="E6" s="28" t="s">
        <v>19</v>
      </c>
      <c r="F6" s="16"/>
      <c r="G6" s="16"/>
      <c r="H6" s="19" t="n">
        <f aca="false">LEN(IF(F6&lt;&gt;"",F6,D6))</f>
        <v>6</v>
      </c>
      <c r="I6" s="29" t="str">
        <f aca="false">IF(OR(H6&lt;2,H6&gt;120),"분량 확인","")</f>
        <v/>
      </c>
    </row>
    <row r="7" customFormat="false" ht="33.75" hidden="false" customHeight="true" outlineLevel="0" collapsed="false">
      <c r="A7" s="13" t="s">
        <v>189</v>
      </c>
      <c r="B7" s="14" t="s">
        <v>556</v>
      </c>
      <c r="C7" s="15" t="s">
        <v>1627</v>
      </c>
      <c r="D7" s="15" t="s">
        <v>193</v>
      </c>
      <c r="E7" s="28" t="s">
        <v>19</v>
      </c>
      <c r="F7" s="16"/>
      <c r="G7" s="17" t="s">
        <v>1628</v>
      </c>
      <c r="H7" s="19" t="n">
        <f aca="false">LEN(IF(F7&lt;&gt;"",F7,D7))</f>
        <v>42</v>
      </c>
      <c r="I7" s="29" t="str">
        <f aca="false">IF(OR(H7&lt;2,H7&gt;120),"분량 확인","")</f>
        <v/>
      </c>
    </row>
    <row r="8" customFormat="false" ht="33.75" hidden="false" customHeight="true" outlineLevel="0" collapsed="false">
      <c r="A8" s="13" t="s">
        <v>1629</v>
      </c>
      <c r="B8" s="14" t="s">
        <v>556</v>
      </c>
      <c r="C8" s="15" t="s">
        <v>1630</v>
      </c>
      <c r="D8" s="14" t="s">
        <v>1631</v>
      </c>
      <c r="E8" s="28" t="s">
        <v>19</v>
      </c>
      <c r="F8" s="16"/>
      <c r="G8" s="16"/>
      <c r="H8" s="19" t="n">
        <f aca="false">LEN(IF(F8&lt;&gt;"",F8,D8))</f>
        <v>3</v>
      </c>
      <c r="I8" s="29" t="str">
        <f aca="false">IF(OR(H8&lt;2,H8&gt;120),"분량 확인","")</f>
        <v/>
      </c>
    </row>
    <row r="9" customFormat="false" ht="33.75" hidden="false" customHeight="true" outlineLevel="0" collapsed="false">
      <c r="A9" s="13" t="s">
        <v>1632</v>
      </c>
      <c r="B9" s="14" t="s">
        <v>556</v>
      </c>
      <c r="C9" s="15" t="s">
        <v>1633</v>
      </c>
      <c r="D9" s="15" t="s">
        <v>1634</v>
      </c>
      <c r="E9" s="28" t="s">
        <v>19</v>
      </c>
      <c r="F9" s="16"/>
      <c r="G9" s="16"/>
      <c r="H9" s="19" t="n">
        <f aca="false">LEN(IF(F9&lt;&gt;"",F9,D9))</f>
        <v>52</v>
      </c>
      <c r="I9" s="29" t="str">
        <f aca="false">IF(OR(H9&lt;2,H9&gt;120),"분량 확인","")</f>
        <v/>
      </c>
    </row>
    <row r="10" customFormat="false" ht="33.75" hidden="false" customHeight="true" outlineLevel="0" collapsed="false">
      <c r="A10" s="13" t="s">
        <v>1635</v>
      </c>
      <c r="B10" s="14" t="s">
        <v>556</v>
      </c>
      <c r="C10" s="15" t="s">
        <v>1636</v>
      </c>
      <c r="D10" s="15" t="s">
        <v>1637</v>
      </c>
      <c r="E10" s="28" t="s">
        <v>19</v>
      </c>
      <c r="F10" s="16"/>
      <c r="G10" s="16"/>
      <c r="H10" s="19" t="n">
        <f aca="false">LEN(IF(F10&lt;&gt;"",F10,D10))</f>
        <v>13</v>
      </c>
      <c r="I10" s="29" t="str">
        <f aca="false">IF(OR(H10&lt;2,H10&gt;120),"분량 확인","")</f>
        <v/>
      </c>
    </row>
    <row r="11" customFormat="false" ht="33.75" hidden="false" customHeight="true" outlineLevel="0" collapsed="false">
      <c r="A11" s="13" t="s">
        <v>1638</v>
      </c>
      <c r="B11" s="14" t="s">
        <v>556</v>
      </c>
      <c r="C11" s="15" t="s">
        <v>1639</v>
      </c>
      <c r="D11" s="15" t="s">
        <v>1640</v>
      </c>
      <c r="E11" s="28" t="s">
        <v>19</v>
      </c>
      <c r="F11" s="16"/>
      <c r="G11" s="16"/>
      <c r="H11" s="19" t="n">
        <f aca="false">LEN(IF(F11&lt;&gt;"",F11,D11))</f>
        <v>43</v>
      </c>
      <c r="I11" s="29" t="str">
        <f aca="false">IF(OR(H11&lt;2,H11&gt;120),"분량 확인","")</f>
        <v/>
      </c>
    </row>
    <row r="12" customFormat="false" ht="33.75" hidden="false" customHeight="true" outlineLevel="0" collapsed="false">
      <c r="A12" s="13" t="s">
        <v>1641</v>
      </c>
      <c r="B12" s="14" t="s">
        <v>556</v>
      </c>
      <c r="C12" s="15" t="s">
        <v>1642</v>
      </c>
      <c r="D12" s="14" t="s">
        <v>1643</v>
      </c>
      <c r="E12" s="28" t="s">
        <v>19</v>
      </c>
      <c r="F12" s="16"/>
      <c r="G12" s="16"/>
      <c r="H12" s="19" t="n">
        <f aca="false">LEN(IF(F12&lt;&gt;"",F12,D12))</f>
        <v>2</v>
      </c>
      <c r="I12" s="29" t="str">
        <f aca="false">IF(OR(H12&lt;2,H12&gt;120),"분량 확인","")</f>
        <v/>
      </c>
    </row>
    <row r="13" customFormat="false" ht="33.75" hidden="false" customHeight="true" outlineLevel="0" collapsed="false">
      <c r="A13" s="13" t="s">
        <v>1644</v>
      </c>
      <c r="B13" s="14" t="s">
        <v>556</v>
      </c>
      <c r="C13" s="15" t="s">
        <v>1645</v>
      </c>
      <c r="D13" s="14" t="s">
        <v>1646</v>
      </c>
      <c r="E13" s="28" t="s">
        <v>19</v>
      </c>
      <c r="F13" s="16"/>
      <c r="G13" s="16"/>
      <c r="H13" s="19" t="n">
        <f aca="false">LEN(IF(F13&lt;&gt;"",F13,D13))</f>
        <v>52</v>
      </c>
      <c r="I13" s="29" t="str">
        <f aca="false">IF(OR(H13&lt;2,H13&gt;120),"분량 확인","")</f>
        <v/>
      </c>
    </row>
    <row r="14" customFormat="false" ht="33.75" hidden="false" customHeight="true" outlineLevel="0" collapsed="false">
      <c r="A14" s="13" t="s">
        <v>1647</v>
      </c>
      <c r="B14" s="14" t="s">
        <v>573</v>
      </c>
      <c r="C14" s="15" t="s">
        <v>1613</v>
      </c>
      <c r="D14" s="15" t="s">
        <v>1648</v>
      </c>
      <c r="E14" s="28" t="s">
        <v>19</v>
      </c>
      <c r="F14" s="16"/>
      <c r="G14" s="16"/>
      <c r="H14" s="19" t="n">
        <f aca="false">LEN(IF(F14&lt;&gt;"",F14,D14))</f>
        <v>9</v>
      </c>
      <c r="I14" s="29" t="str">
        <f aca="false">IF(OR(H14&lt;2,H14&gt;120),"분량 확인","")</f>
        <v/>
      </c>
    </row>
    <row r="15" customFormat="false" ht="48" hidden="false" customHeight="true" outlineLevel="0" collapsed="false">
      <c r="A15" s="13" t="s">
        <v>1649</v>
      </c>
      <c r="B15" s="14" t="s">
        <v>573</v>
      </c>
      <c r="C15" s="15" t="s">
        <v>1616</v>
      </c>
      <c r="D15" s="15" t="s">
        <v>1650</v>
      </c>
      <c r="E15" s="28" t="s">
        <v>19</v>
      </c>
      <c r="F15" s="16"/>
      <c r="G15" s="16"/>
      <c r="H15" s="19" t="n">
        <f aca="false">LEN(IF(F15&lt;&gt;"",F15,D15))</f>
        <v>64</v>
      </c>
      <c r="I15" s="29" t="str">
        <f aca="false">IF(OR(H15&lt;2,H15&gt;120),"분량 확인","")</f>
        <v/>
      </c>
    </row>
    <row r="16" customFormat="false" ht="33.75" hidden="false" customHeight="true" outlineLevel="0" collapsed="false">
      <c r="A16" s="13" t="s">
        <v>1651</v>
      </c>
      <c r="B16" s="14" t="s">
        <v>573</v>
      </c>
      <c r="C16" s="15" t="s">
        <v>1619</v>
      </c>
      <c r="D16" s="14" t="s">
        <v>1631</v>
      </c>
      <c r="E16" s="28" t="s">
        <v>19</v>
      </c>
      <c r="F16" s="16"/>
      <c r="G16" s="16"/>
      <c r="H16" s="19" t="n">
        <f aca="false">LEN(IF(F16&lt;&gt;"",F16,D16))</f>
        <v>3</v>
      </c>
      <c r="I16" s="29" t="str">
        <f aca="false">IF(OR(H16&lt;2,H16&gt;120),"분량 확인","")</f>
        <v/>
      </c>
    </row>
    <row r="17" customFormat="false" ht="33.75" hidden="false" customHeight="true" outlineLevel="0" collapsed="false">
      <c r="A17" s="13" t="s">
        <v>1652</v>
      </c>
      <c r="B17" s="14" t="s">
        <v>573</v>
      </c>
      <c r="C17" s="15" t="s">
        <v>1622</v>
      </c>
      <c r="D17" s="15" t="s">
        <v>1653</v>
      </c>
      <c r="E17" s="28" t="s">
        <v>19</v>
      </c>
      <c r="F17" s="16"/>
      <c r="G17" s="16"/>
      <c r="H17" s="19" t="n">
        <f aca="false">LEN(IF(F17&lt;&gt;"",F17,D17))</f>
        <v>55</v>
      </c>
      <c r="I17" s="29" t="str">
        <f aca="false">IF(OR(H17&lt;2,H17&gt;120),"분량 확인","")</f>
        <v/>
      </c>
    </row>
    <row r="18" customFormat="false" ht="33.75" hidden="false" customHeight="true" outlineLevel="0" collapsed="false">
      <c r="A18" s="13" t="s">
        <v>1654</v>
      </c>
      <c r="B18" s="14" t="s">
        <v>573</v>
      </c>
      <c r="C18" s="15" t="s">
        <v>1625</v>
      </c>
      <c r="D18" s="15" t="s">
        <v>1655</v>
      </c>
      <c r="E18" s="28" t="s">
        <v>19</v>
      </c>
      <c r="F18" s="16"/>
      <c r="G18" s="16"/>
      <c r="H18" s="19" t="n">
        <f aca="false">LEN(IF(F18&lt;&gt;"",F18,D18))</f>
        <v>12</v>
      </c>
      <c r="I18" s="29" t="str">
        <f aca="false">IF(OR(H18&lt;2,H18&gt;120),"분량 확인","")</f>
        <v/>
      </c>
    </row>
    <row r="19" customFormat="false" ht="33.75" hidden="false" customHeight="true" outlineLevel="0" collapsed="false">
      <c r="A19" s="13" t="s">
        <v>1656</v>
      </c>
      <c r="B19" s="14" t="s">
        <v>573</v>
      </c>
      <c r="C19" s="15" t="s">
        <v>1627</v>
      </c>
      <c r="D19" s="15" t="s">
        <v>1657</v>
      </c>
      <c r="E19" s="28" t="s">
        <v>19</v>
      </c>
      <c r="F19" s="16"/>
      <c r="G19" s="16"/>
      <c r="H19" s="19" t="n">
        <f aca="false">LEN(IF(F19&lt;&gt;"",F19,D19))</f>
        <v>36</v>
      </c>
      <c r="I19" s="29" t="str">
        <f aca="false">IF(OR(H19&lt;2,H19&gt;120),"분량 확인","")</f>
        <v/>
      </c>
    </row>
    <row r="20" customFormat="false" ht="33.75" hidden="false" customHeight="true" outlineLevel="0" collapsed="false">
      <c r="A20" s="13" t="s">
        <v>1658</v>
      </c>
      <c r="B20" s="14" t="s">
        <v>573</v>
      </c>
      <c r="C20" s="15" t="s">
        <v>1630</v>
      </c>
      <c r="D20" s="15" t="s">
        <v>1659</v>
      </c>
      <c r="E20" s="28" t="s">
        <v>19</v>
      </c>
      <c r="F20" s="16"/>
      <c r="G20" s="16"/>
      <c r="H20" s="19" t="n">
        <f aca="false">LEN(IF(F20&lt;&gt;"",F20,D20))</f>
        <v>8</v>
      </c>
      <c r="I20" s="29" t="str">
        <f aca="false">IF(OR(H20&lt;2,H20&gt;120),"분량 확인","")</f>
        <v/>
      </c>
    </row>
    <row r="21" customFormat="false" ht="33.75" hidden="false" customHeight="true" outlineLevel="0" collapsed="false">
      <c r="A21" s="13" t="s">
        <v>1660</v>
      </c>
      <c r="B21" s="14" t="s">
        <v>573</v>
      </c>
      <c r="C21" s="15" t="s">
        <v>1633</v>
      </c>
      <c r="D21" s="15" t="s">
        <v>1661</v>
      </c>
      <c r="E21" s="28" t="s">
        <v>19</v>
      </c>
      <c r="F21" s="16"/>
      <c r="G21" s="16"/>
      <c r="H21" s="19" t="n">
        <f aca="false">LEN(IF(F21&lt;&gt;"",F21,D21))</f>
        <v>58</v>
      </c>
      <c r="I21" s="29" t="str">
        <f aca="false">IF(OR(H21&lt;2,H21&gt;120),"분량 확인","")</f>
        <v/>
      </c>
    </row>
    <row r="22" customFormat="false" ht="33.75" hidden="false" customHeight="true" outlineLevel="0" collapsed="false">
      <c r="A22" s="13" t="s">
        <v>1662</v>
      </c>
      <c r="B22" s="14" t="s">
        <v>573</v>
      </c>
      <c r="C22" s="15" t="s">
        <v>1636</v>
      </c>
      <c r="D22" s="15" t="s">
        <v>1663</v>
      </c>
      <c r="E22" s="28" t="s">
        <v>19</v>
      </c>
      <c r="F22" s="16"/>
      <c r="G22" s="16"/>
      <c r="H22" s="19" t="n">
        <f aca="false">LEN(IF(F22&lt;&gt;"",F22,D22))</f>
        <v>8</v>
      </c>
      <c r="I22" s="29" t="str">
        <f aca="false">IF(OR(H22&lt;2,H22&gt;120),"분량 확인","")</f>
        <v/>
      </c>
    </row>
    <row r="23" customFormat="false" ht="33.75" hidden="false" customHeight="true" outlineLevel="0" collapsed="false">
      <c r="A23" s="13" t="s">
        <v>1664</v>
      </c>
      <c r="B23" s="14" t="s">
        <v>573</v>
      </c>
      <c r="C23" s="15" t="s">
        <v>1639</v>
      </c>
      <c r="D23" s="15" t="s">
        <v>1665</v>
      </c>
      <c r="E23" s="28" t="s">
        <v>19</v>
      </c>
      <c r="F23" s="16"/>
      <c r="G23" s="16"/>
      <c r="H23" s="19" t="n">
        <f aca="false">LEN(IF(F23&lt;&gt;"",F23,D23))</f>
        <v>41</v>
      </c>
      <c r="I23" s="29" t="str">
        <f aca="false">IF(OR(H23&lt;2,H23&gt;120),"분량 확인","")</f>
        <v/>
      </c>
    </row>
    <row r="24" customFormat="false" ht="33.75" hidden="false" customHeight="true" outlineLevel="0" collapsed="false">
      <c r="A24" s="13" t="s">
        <v>1666</v>
      </c>
      <c r="B24" s="14" t="s">
        <v>573</v>
      </c>
      <c r="C24" s="15" t="s">
        <v>1642</v>
      </c>
      <c r="D24" s="14" t="s">
        <v>1643</v>
      </c>
      <c r="E24" s="28" t="s">
        <v>19</v>
      </c>
      <c r="F24" s="16"/>
      <c r="G24" s="16"/>
      <c r="H24" s="19" t="n">
        <f aca="false">LEN(IF(F24&lt;&gt;"",F24,D24))</f>
        <v>2</v>
      </c>
      <c r="I24" s="29" t="str">
        <f aca="false">IF(OR(H24&lt;2,H24&gt;120),"분량 확인","")</f>
        <v/>
      </c>
    </row>
    <row r="25" customFormat="false" ht="33.75" hidden="false" customHeight="true" outlineLevel="0" collapsed="false">
      <c r="A25" s="13" t="s">
        <v>1667</v>
      </c>
      <c r="B25" s="14" t="s">
        <v>573</v>
      </c>
      <c r="C25" s="15" t="s">
        <v>1645</v>
      </c>
      <c r="D25" s="15" t="s">
        <v>1668</v>
      </c>
      <c r="E25" s="28" t="s">
        <v>19</v>
      </c>
      <c r="F25" s="16"/>
      <c r="G25" s="16"/>
      <c r="H25" s="19" t="n">
        <f aca="false">LEN(IF(F25&lt;&gt;"",F25,D25))</f>
        <v>50</v>
      </c>
      <c r="I25" s="29" t="str">
        <f aca="false">IF(OR(H25&lt;2,H25&gt;120),"분량 확인","")</f>
        <v/>
      </c>
    </row>
    <row r="26" customFormat="false" ht="33.75" hidden="false" customHeight="true" outlineLevel="0" collapsed="false">
      <c r="A26" s="13" t="s">
        <v>404</v>
      </c>
      <c r="B26" s="14" t="s">
        <v>585</v>
      </c>
      <c r="C26" s="15" t="s">
        <v>1613</v>
      </c>
      <c r="D26" s="14" t="s">
        <v>407</v>
      </c>
      <c r="E26" s="28" t="s">
        <v>19</v>
      </c>
      <c r="F26" s="16"/>
      <c r="G26" s="17" t="s">
        <v>1669</v>
      </c>
      <c r="H26" s="19" t="n">
        <f aca="false">LEN(IF(F26&lt;&gt;"",F26,D26))</f>
        <v>8</v>
      </c>
      <c r="I26" s="29" t="str">
        <f aca="false">IF(OR(H26&lt;2,H26&gt;120),"분량 확인","")</f>
        <v/>
      </c>
    </row>
    <row r="27" customFormat="false" ht="33.75" hidden="false" customHeight="true" outlineLevel="0" collapsed="false">
      <c r="A27" s="13" t="s">
        <v>1670</v>
      </c>
      <c r="B27" s="14" t="s">
        <v>585</v>
      </c>
      <c r="C27" s="15" t="s">
        <v>1616</v>
      </c>
      <c r="D27" s="14" t="s">
        <v>1671</v>
      </c>
      <c r="E27" s="28" t="s">
        <v>19</v>
      </c>
      <c r="F27" s="16"/>
      <c r="G27" s="16"/>
      <c r="H27" s="19" t="n">
        <f aca="false">LEN(IF(F27&lt;&gt;"",F27,D27))</f>
        <v>49</v>
      </c>
      <c r="I27" s="29" t="str">
        <f aca="false">IF(OR(H27&lt;2,H27&gt;120),"분량 확인","")</f>
        <v/>
      </c>
    </row>
    <row r="28" customFormat="false" ht="33.75" hidden="false" customHeight="true" outlineLevel="0" collapsed="false">
      <c r="A28" s="13" t="s">
        <v>1672</v>
      </c>
      <c r="B28" s="14" t="s">
        <v>585</v>
      </c>
      <c r="C28" s="15" t="s">
        <v>1619</v>
      </c>
      <c r="D28" s="14" t="s">
        <v>1643</v>
      </c>
      <c r="E28" s="28" t="s">
        <v>19</v>
      </c>
      <c r="F28" s="16"/>
      <c r="G28" s="16"/>
      <c r="H28" s="19" t="n">
        <f aca="false">LEN(IF(F28&lt;&gt;"",F28,D28))</f>
        <v>2</v>
      </c>
      <c r="I28" s="29" t="str">
        <f aca="false">IF(OR(H28&lt;2,H28&gt;120),"분량 확인","")</f>
        <v/>
      </c>
    </row>
    <row r="29" customFormat="false" ht="33.75" hidden="false" customHeight="true" outlineLevel="0" collapsed="false">
      <c r="A29" s="13" t="s">
        <v>1673</v>
      </c>
      <c r="B29" s="14" t="s">
        <v>585</v>
      </c>
      <c r="C29" s="15" t="s">
        <v>1622</v>
      </c>
      <c r="D29" s="15" t="s">
        <v>1674</v>
      </c>
      <c r="E29" s="28" t="s">
        <v>19</v>
      </c>
      <c r="F29" s="16"/>
      <c r="G29" s="16"/>
      <c r="H29" s="19" t="n">
        <f aca="false">LEN(IF(F29&lt;&gt;"",F29,D29))</f>
        <v>54</v>
      </c>
      <c r="I29" s="29" t="str">
        <f aca="false">IF(OR(H29&lt;2,H29&gt;120),"분량 확인","")</f>
        <v/>
      </c>
    </row>
    <row r="30" customFormat="false" ht="33.75" hidden="false" customHeight="true" outlineLevel="0" collapsed="false">
      <c r="A30" s="13" t="s">
        <v>1675</v>
      </c>
      <c r="B30" s="14" t="s">
        <v>585</v>
      </c>
      <c r="C30" s="15" t="s">
        <v>1625</v>
      </c>
      <c r="D30" s="15" t="s">
        <v>1676</v>
      </c>
      <c r="E30" s="28" t="s">
        <v>19</v>
      </c>
      <c r="F30" s="16"/>
      <c r="G30" s="16"/>
      <c r="H30" s="19" t="n">
        <f aca="false">LEN(IF(F30&lt;&gt;"",F30,D30))</f>
        <v>8</v>
      </c>
      <c r="I30" s="29" t="str">
        <f aca="false">IF(OR(H30&lt;2,H30&gt;120),"분량 확인","")</f>
        <v/>
      </c>
    </row>
    <row r="31" customFormat="false" ht="33.75" hidden="false" customHeight="true" outlineLevel="0" collapsed="false">
      <c r="A31" s="13" t="s">
        <v>408</v>
      </c>
      <c r="B31" s="14" t="s">
        <v>585</v>
      </c>
      <c r="C31" s="15" t="s">
        <v>1627</v>
      </c>
      <c r="D31" s="15" t="s">
        <v>411</v>
      </c>
      <c r="E31" s="28" t="s">
        <v>19</v>
      </c>
      <c r="F31" s="16"/>
      <c r="G31" s="17" t="s">
        <v>1677</v>
      </c>
      <c r="H31" s="19" t="n">
        <f aca="false">LEN(IF(F31&lt;&gt;"",F31,D31))</f>
        <v>46</v>
      </c>
      <c r="I31" s="29" t="str">
        <f aca="false">IF(OR(H31&lt;2,H31&gt;120),"분량 확인","")</f>
        <v/>
      </c>
    </row>
    <row r="32" customFormat="false" ht="33.75" hidden="false" customHeight="true" outlineLevel="0" collapsed="false">
      <c r="A32" s="13" t="s">
        <v>1678</v>
      </c>
      <c r="B32" s="14" t="s">
        <v>585</v>
      </c>
      <c r="C32" s="15" t="s">
        <v>1630</v>
      </c>
      <c r="D32" s="14" t="s">
        <v>1620</v>
      </c>
      <c r="E32" s="28" t="s">
        <v>19</v>
      </c>
      <c r="F32" s="16"/>
      <c r="G32" s="16"/>
      <c r="H32" s="19" t="n">
        <f aca="false">LEN(IF(F32&lt;&gt;"",F32,D32))</f>
        <v>2</v>
      </c>
      <c r="I32" s="29" t="str">
        <f aca="false">IF(OR(H32&lt;2,H32&gt;120),"분량 확인","")</f>
        <v/>
      </c>
    </row>
    <row r="33" customFormat="false" ht="33.75" hidden="false" customHeight="true" outlineLevel="0" collapsed="false">
      <c r="A33" s="13" t="s">
        <v>1679</v>
      </c>
      <c r="B33" s="14" t="s">
        <v>585</v>
      </c>
      <c r="C33" s="15" t="s">
        <v>1633</v>
      </c>
      <c r="D33" s="15" t="s">
        <v>1680</v>
      </c>
      <c r="E33" s="28" t="s">
        <v>19</v>
      </c>
      <c r="F33" s="16"/>
      <c r="G33" s="16"/>
      <c r="H33" s="19" t="n">
        <f aca="false">LEN(IF(F33&lt;&gt;"",F33,D33))</f>
        <v>58</v>
      </c>
      <c r="I33" s="29" t="str">
        <f aca="false">IF(OR(H33&lt;2,H33&gt;120),"분량 확인","")</f>
        <v/>
      </c>
    </row>
    <row r="34" customFormat="false" ht="33.75" hidden="false" customHeight="true" outlineLevel="0" collapsed="false">
      <c r="A34" s="13" t="s">
        <v>1681</v>
      </c>
      <c r="B34" s="14" t="s">
        <v>585</v>
      </c>
      <c r="C34" s="15" t="s">
        <v>1636</v>
      </c>
      <c r="D34" s="15" t="s">
        <v>1682</v>
      </c>
      <c r="E34" s="28" t="s">
        <v>19</v>
      </c>
      <c r="F34" s="16"/>
      <c r="G34" s="16"/>
      <c r="H34" s="19" t="n">
        <f aca="false">LEN(IF(F34&lt;&gt;"",F34,D34))</f>
        <v>9</v>
      </c>
      <c r="I34" s="29" t="str">
        <f aca="false">IF(OR(H34&lt;2,H34&gt;120),"분량 확인","")</f>
        <v/>
      </c>
    </row>
    <row r="35" customFormat="false" ht="33.75" hidden="false" customHeight="true" outlineLevel="0" collapsed="false">
      <c r="A35" s="13" t="s">
        <v>1683</v>
      </c>
      <c r="B35" s="14" t="s">
        <v>585</v>
      </c>
      <c r="C35" s="15" t="s">
        <v>1639</v>
      </c>
      <c r="D35" s="15" t="s">
        <v>1684</v>
      </c>
      <c r="E35" s="28" t="s">
        <v>19</v>
      </c>
      <c r="F35" s="16"/>
      <c r="G35" s="16"/>
      <c r="H35" s="19" t="n">
        <f aca="false">LEN(IF(F35&lt;&gt;"",F35,D35))</f>
        <v>39</v>
      </c>
      <c r="I35" s="29" t="str">
        <f aca="false">IF(OR(H35&lt;2,H35&gt;120),"분량 확인","")</f>
        <v/>
      </c>
    </row>
    <row r="36" customFormat="false" ht="33.75" hidden="false" customHeight="true" outlineLevel="0" collapsed="false">
      <c r="A36" s="13" t="s">
        <v>1685</v>
      </c>
      <c r="B36" s="14" t="s">
        <v>585</v>
      </c>
      <c r="C36" s="15" t="s">
        <v>1642</v>
      </c>
      <c r="D36" s="14" t="s">
        <v>1643</v>
      </c>
      <c r="E36" s="28" t="s">
        <v>19</v>
      </c>
      <c r="F36" s="16"/>
      <c r="G36" s="16"/>
      <c r="H36" s="19" t="n">
        <f aca="false">LEN(IF(F36&lt;&gt;"",F36,D36))</f>
        <v>2</v>
      </c>
      <c r="I36" s="29" t="str">
        <f aca="false">IF(OR(H36&lt;2,H36&gt;120),"분량 확인","")</f>
        <v/>
      </c>
    </row>
    <row r="37" customFormat="false" ht="33.75" hidden="false" customHeight="true" outlineLevel="0" collapsed="false">
      <c r="A37" s="13" t="s">
        <v>1686</v>
      </c>
      <c r="B37" s="14" t="s">
        <v>585</v>
      </c>
      <c r="C37" s="15" t="s">
        <v>1645</v>
      </c>
      <c r="D37" s="15" t="s">
        <v>1687</v>
      </c>
      <c r="E37" s="28" t="s">
        <v>19</v>
      </c>
      <c r="F37" s="16"/>
      <c r="G37" s="16"/>
      <c r="H37" s="19" t="n">
        <f aca="false">LEN(IF(F37&lt;&gt;"",F37,D37))</f>
        <v>43</v>
      </c>
      <c r="I37" s="29" t="str">
        <f aca="false">IF(OR(H37&lt;2,H37&gt;120),"분량 확인","")</f>
        <v/>
      </c>
    </row>
    <row r="38" customFormat="false" ht="33.75" hidden="false" customHeight="true" outlineLevel="0" collapsed="false">
      <c r="A38" s="13" t="s">
        <v>129</v>
      </c>
      <c r="B38" s="14" t="s">
        <v>596</v>
      </c>
      <c r="C38" s="15" t="s">
        <v>1613</v>
      </c>
      <c r="D38" s="15" t="s">
        <v>132</v>
      </c>
      <c r="E38" s="28" t="s">
        <v>19</v>
      </c>
      <c r="F38" s="16"/>
      <c r="G38" s="17" t="s">
        <v>1688</v>
      </c>
      <c r="H38" s="19" t="n">
        <f aca="false">LEN(IF(F38&lt;&gt;"",F38,D38))</f>
        <v>10</v>
      </c>
      <c r="I38" s="29" t="str">
        <f aca="false">IF(OR(H38&lt;2,H38&gt;120),"분량 확인","")</f>
        <v/>
      </c>
    </row>
    <row r="39" customFormat="false" ht="33.75" hidden="false" customHeight="true" outlineLevel="0" collapsed="false">
      <c r="A39" s="13" t="s">
        <v>1689</v>
      </c>
      <c r="B39" s="14" t="s">
        <v>596</v>
      </c>
      <c r="C39" s="15" t="s">
        <v>1616</v>
      </c>
      <c r="D39" s="15" t="s">
        <v>1690</v>
      </c>
      <c r="E39" s="28" t="s">
        <v>19</v>
      </c>
      <c r="F39" s="16"/>
      <c r="G39" s="16"/>
      <c r="H39" s="19" t="n">
        <f aca="false">LEN(IF(F39&lt;&gt;"",F39,D39))</f>
        <v>54</v>
      </c>
      <c r="I39" s="29" t="str">
        <f aca="false">IF(OR(H39&lt;2,H39&gt;120),"분량 확인","")</f>
        <v/>
      </c>
    </row>
    <row r="40" customFormat="false" ht="33.75" hidden="false" customHeight="true" outlineLevel="0" collapsed="false">
      <c r="A40" s="13" t="s">
        <v>1691</v>
      </c>
      <c r="B40" s="14" t="s">
        <v>596</v>
      </c>
      <c r="C40" s="15" t="s">
        <v>1619</v>
      </c>
      <c r="D40" s="14" t="s">
        <v>1692</v>
      </c>
      <c r="E40" s="28" t="s">
        <v>19</v>
      </c>
      <c r="F40" s="16"/>
      <c r="G40" s="16"/>
      <c r="H40" s="19" t="n">
        <f aca="false">LEN(IF(F40&lt;&gt;"",F40,D40))</f>
        <v>2</v>
      </c>
      <c r="I40" s="29" t="str">
        <f aca="false">IF(OR(H40&lt;2,H40&gt;120),"분량 확인","")</f>
        <v/>
      </c>
    </row>
    <row r="41" customFormat="false" ht="33.75" hidden="false" customHeight="true" outlineLevel="0" collapsed="false">
      <c r="A41" s="13" t="s">
        <v>1693</v>
      </c>
      <c r="B41" s="14" t="s">
        <v>596</v>
      </c>
      <c r="C41" s="15" t="s">
        <v>1622</v>
      </c>
      <c r="D41" s="15" t="s">
        <v>1694</v>
      </c>
      <c r="E41" s="28" t="s">
        <v>19</v>
      </c>
      <c r="F41" s="16"/>
      <c r="G41" s="16"/>
      <c r="H41" s="19" t="n">
        <f aca="false">LEN(IF(F41&lt;&gt;"",F41,D41))</f>
        <v>46</v>
      </c>
      <c r="I41" s="29" t="str">
        <f aca="false">IF(OR(H41&lt;2,H41&gt;120),"분량 확인","")</f>
        <v/>
      </c>
    </row>
    <row r="42" customFormat="false" ht="33.75" hidden="false" customHeight="true" outlineLevel="0" collapsed="false">
      <c r="A42" s="13" t="s">
        <v>1695</v>
      </c>
      <c r="B42" s="14" t="s">
        <v>596</v>
      </c>
      <c r="C42" s="15" t="s">
        <v>1625</v>
      </c>
      <c r="D42" s="15" t="s">
        <v>1696</v>
      </c>
      <c r="E42" s="28" t="s">
        <v>19</v>
      </c>
      <c r="F42" s="16"/>
      <c r="G42" s="16"/>
      <c r="H42" s="19" t="n">
        <f aca="false">LEN(IF(F42&lt;&gt;"",F42,D42))</f>
        <v>12</v>
      </c>
      <c r="I42" s="29" t="str">
        <f aca="false">IF(OR(H42&lt;2,H42&gt;120),"분량 확인","")</f>
        <v/>
      </c>
    </row>
    <row r="43" customFormat="false" ht="33.75" hidden="false" customHeight="true" outlineLevel="0" collapsed="false">
      <c r="A43" s="13" t="s">
        <v>1697</v>
      </c>
      <c r="B43" s="14" t="s">
        <v>596</v>
      </c>
      <c r="C43" s="15" t="s">
        <v>1627</v>
      </c>
      <c r="D43" s="15" t="s">
        <v>1698</v>
      </c>
      <c r="E43" s="28" t="s">
        <v>19</v>
      </c>
      <c r="F43" s="16"/>
      <c r="G43" s="16"/>
      <c r="H43" s="19" t="n">
        <f aca="false">LEN(IF(F43&lt;&gt;"",F43,D43))</f>
        <v>41</v>
      </c>
      <c r="I43" s="29" t="str">
        <f aca="false">IF(OR(H43&lt;2,H43&gt;120),"분량 확인","")</f>
        <v/>
      </c>
    </row>
    <row r="44" customFormat="false" ht="33.75" hidden="false" customHeight="true" outlineLevel="0" collapsed="false">
      <c r="A44" s="13" t="s">
        <v>1699</v>
      </c>
      <c r="B44" s="14" t="s">
        <v>596</v>
      </c>
      <c r="C44" s="15" t="s">
        <v>1630</v>
      </c>
      <c r="D44" s="14" t="s">
        <v>1631</v>
      </c>
      <c r="E44" s="28" t="s">
        <v>19</v>
      </c>
      <c r="F44" s="16"/>
      <c r="G44" s="16"/>
      <c r="H44" s="19" t="n">
        <f aca="false">LEN(IF(F44&lt;&gt;"",F44,D44))</f>
        <v>3</v>
      </c>
      <c r="I44" s="29" t="str">
        <f aca="false">IF(OR(H44&lt;2,H44&gt;120),"분량 확인","")</f>
        <v/>
      </c>
    </row>
    <row r="45" customFormat="false" ht="33.75" hidden="false" customHeight="true" outlineLevel="0" collapsed="false">
      <c r="A45" s="13" t="s">
        <v>1700</v>
      </c>
      <c r="B45" s="14" t="s">
        <v>596</v>
      </c>
      <c r="C45" s="15" t="s">
        <v>1633</v>
      </c>
      <c r="D45" s="15" t="s">
        <v>1701</v>
      </c>
      <c r="E45" s="28" t="s">
        <v>19</v>
      </c>
      <c r="F45" s="16"/>
      <c r="G45" s="16"/>
      <c r="H45" s="19" t="n">
        <f aca="false">LEN(IF(F45&lt;&gt;"",F45,D45))</f>
        <v>46</v>
      </c>
      <c r="I45" s="29" t="str">
        <f aca="false">IF(OR(H45&lt;2,H45&gt;120),"분량 확인","")</f>
        <v/>
      </c>
    </row>
    <row r="46" customFormat="false" ht="33.75" hidden="false" customHeight="true" outlineLevel="0" collapsed="false">
      <c r="A46" s="13" t="s">
        <v>1702</v>
      </c>
      <c r="B46" s="14" t="s">
        <v>596</v>
      </c>
      <c r="C46" s="15" t="s">
        <v>1636</v>
      </c>
      <c r="D46" s="15" t="s">
        <v>1703</v>
      </c>
      <c r="E46" s="28" t="s">
        <v>19</v>
      </c>
      <c r="F46" s="16"/>
      <c r="G46" s="16"/>
      <c r="H46" s="19" t="n">
        <f aca="false">LEN(IF(F46&lt;&gt;"",F46,D46))</f>
        <v>8</v>
      </c>
      <c r="I46" s="29" t="str">
        <f aca="false">IF(OR(H46&lt;2,H46&gt;120),"분량 확인","")</f>
        <v/>
      </c>
    </row>
    <row r="47" customFormat="false" ht="33.75" hidden="false" customHeight="true" outlineLevel="0" collapsed="false">
      <c r="A47" s="13" t="s">
        <v>1704</v>
      </c>
      <c r="B47" s="14" t="s">
        <v>596</v>
      </c>
      <c r="C47" s="15" t="s">
        <v>1639</v>
      </c>
      <c r="D47" s="15" t="s">
        <v>1705</v>
      </c>
      <c r="E47" s="28" t="s">
        <v>19</v>
      </c>
      <c r="F47" s="16"/>
      <c r="G47" s="16"/>
      <c r="H47" s="19" t="n">
        <f aca="false">LEN(IF(F47&lt;&gt;"",F47,D47))</f>
        <v>39</v>
      </c>
      <c r="I47" s="29" t="str">
        <f aca="false">IF(OR(H47&lt;2,H47&gt;120),"분량 확인","")</f>
        <v/>
      </c>
    </row>
    <row r="48" customFormat="false" ht="33.75" hidden="false" customHeight="true" outlineLevel="0" collapsed="false">
      <c r="A48" s="13" t="s">
        <v>1706</v>
      </c>
      <c r="B48" s="14" t="s">
        <v>596</v>
      </c>
      <c r="C48" s="15" t="s">
        <v>1642</v>
      </c>
      <c r="D48" s="14" t="s">
        <v>1692</v>
      </c>
      <c r="E48" s="28" t="s">
        <v>19</v>
      </c>
      <c r="F48" s="16"/>
      <c r="G48" s="16"/>
      <c r="H48" s="19" t="n">
        <f aca="false">LEN(IF(F48&lt;&gt;"",F48,D48))</f>
        <v>2</v>
      </c>
      <c r="I48" s="29" t="str">
        <f aca="false">IF(OR(H48&lt;2,H48&gt;120),"분량 확인","")</f>
        <v/>
      </c>
    </row>
    <row r="49" customFormat="false" ht="33.75" hidden="false" customHeight="true" outlineLevel="0" collapsed="false">
      <c r="A49" s="13" t="s">
        <v>1707</v>
      </c>
      <c r="B49" s="14" t="s">
        <v>596</v>
      </c>
      <c r="C49" s="15" t="s">
        <v>1645</v>
      </c>
      <c r="D49" s="15" t="s">
        <v>1708</v>
      </c>
      <c r="E49" s="28" t="s">
        <v>19</v>
      </c>
      <c r="F49" s="16"/>
      <c r="G49" s="16"/>
      <c r="H49" s="19" t="n">
        <f aca="false">LEN(IF(F49&lt;&gt;"",F49,D49))</f>
        <v>53</v>
      </c>
      <c r="I49" s="29" t="str">
        <f aca="false">IF(OR(H49&lt;2,H49&gt;120),"분량 확인","")</f>
        <v/>
      </c>
    </row>
    <row r="50" customFormat="false" ht="33.75" hidden="false" customHeight="true" outlineLevel="0" collapsed="false">
      <c r="A50" s="13" t="s">
        <v>1709</v>
      </c>
      <c r="B50" s="14" t="s">
        <v>608</v>
      </c>
      <c r="C50" s="15" t="s">
        <v>1613</v>
      </c>
      <c r="D50" s="15" t="s">
        <v>1710</v>
      </c>
      <c r="E50" s="28" t="s">
        <v>19</v>
      </c>
      <c r="F50" s="16"/>
      <c r="G50" s="16"/>
      <c r="H50" s="19" t="n">
        <f aca="false">LEN(IF(F50&lt;&gt;"",F50,D50))</f>
        <v>10</v>
      </c>
      <c r="I50" s="29" t="str">
        <f aca="false">IF(OR(H50&lt;2,H50&gt;120),"분량 확인","")</f>
        <v/>
      </c>
    </row>
    <row r="51" customFormat="false" ht="48" hidden="false" customHeight="true" outlineLevel="0" collapsed="false">
      <c r="A51" s="13" t="s">
        <v>459</v>
      </c>
      <c r="B51" s="14" t="s">
        <v>608</v>
      </c>
      <c r="C51" s="15" t="s">
        <v>1616</v>
      </c>
      <c r="D51" s="15" t="s">
        <v>462</v>
      </c>
      <c r="E51" s="28" t="s">
        <v>19</v>
      </c>
      <c r="F51" s="16"/>
      <c r="G51" s="17" t="s">
        <v>1711</v>
      </c>
      <c r="H51" s="19" t="n">
        <f aca="false">LEN(IF(F51&lt;&gt;"",F51,D51))</f>
        <v>60</v>
      </c>
      <c r="I51" s="29" t="str">
        <f aca="false">IF(OR(H51&lt;2,H51&gt;120),"분량 확인","")</f>
        <v/>
      </c>
    </row>
    <row r="52" customFormat="false" ht="33.75" hidden="false" customHeight="true" outlineLevel="0" collapsed="false">
      <c r="A52" s="13" t="s">
        <v>1712</v>
      </c>
      <c r="B52" s="14" t="s">
        <v>608</v>
      </c>
      <c r="C52" s="15" t="s">
        <v>1619</v>
      </c>
      <c r="D52" s="14" t="s">
        <v>1631</v>
      </c>
      <c r="E52" s="28" t="s">
        <v>19</v>
      </c>
      <c r="F52" s="16"/>
      <c r="G52" s="16"/>
      <c r="H52" s="19" t="n">
        <f aca="false">LEN(IF(F52&lt;&gt;"",F52,D52))</f>
        <v>3</v>
      </c>
      <c r="I52" s="29" t="str">
        <f aca="false">IF(OR(H52&lt;2,H52&gt;120),"분량 확인","")</f>
        <v/>
      </c>
    </row>
    <row r="53" customFormat="false" ht="33.75" hidden="false" customHeight="true" outlineLevel="0" collapsed="false">
      <c r="A53" s="13" t="s">
        <v>1713</v>
      </c>
      <c r="B53" s="14" t="s">
        <v>608</v>
      </c>
      <c r="C53" s="15" t="s">
        <v>1622</v>
      </c>
      <c r="D53" s="15" t="s">
        <v>1714</v>
      </c>
      <c r="E53" s="28" t="s">
        <v>19</v>
      </c>
      <c r="F53" s="16"/>
      <c r="G53" s="16"/>
      <c r="H53" s="19" t="n">
        <f aca="false">LEN(IF(F53&lt;&gt;"",F53,D53))</f>
        <v>52</v>
      </c>
      <c r="I53" s="29" t="str">
        <f aca="false">IF(OR(H53&lt;2,H53&gt;120),"분량 확인","")</f>
        <v/>
      </c>
    </row>
    <row r="54" customFormat="false" ht="33.75" hidden="false" customHeight="true" outlineLevel="0" collapsed="false">
      <c r="A54" s="13" t="s">
        <v>1715</v>
      </c>
      <c r="B54" s="14" t="s">
        <v>608</v>
      </c>
      <c r="C54" s="15" t="s">
        <v>1625</v>
      </c>
      <c r="D54" s="15" t="s">
        <v>1716</v>
      </c>
      <c r="E54" s="28" t="s">
        <v>19</v>
      </c>
      <c r="F54" s="16"/>
      <c r="G54" s="16"/>
      <c r="H54" s="19" t="n">
        <f aca="false">LEN(IF(F54&lt;&gt;"",F54,D54))</f>
        <v>12</v>
      </c>
      <c r="I54" s="29" t="str">
        <f aca="false">IF(OR(H54&lt;2,H54&gt;120),"분량 확인","")</f>
        <v/>
      </c>
    </row>
    <row r="55" customFormat="false" ht="33.75" hidden="false" customHeight="true" outlineLevel="0" collapsed="false">
      <c r="A55" s="13" t="s">
        <v>206</v>
      </c>
      <c r="B55" s="14" t="s">
        <v>608</v>
      </c>
      <c r="C55" s="15" t="s">
        <v>1627</v>
      </c>
      <c r="D55" s="15" t="s">
        <v>209</v>
      </c>
      <c r="E55" s="28" t="s">
        <v>19</v>
      </c>
      <c r="F55" s="16"/>
      <c r="G55" s="17" t="s">
        <v>1717</v>
      </c>
      <c r="H55" s="19" t="n">
        <f aca="false">LEN(IF(F55&lt;&gt;"",F55,D55))</f>
        <v>48</v>
      </c>
      <c r="I55" s="29" t="str">
        <f aca="false">IF(OR(H55&lt;2,H55&gt;120),"분량 확인","")</f>
        <v/>
      </c>
    </row>
    <row r="56" customFormat="false" ht="33.75" hidden="false" customHeight="true" outlineLevel="0" collapsed="false">
      <c r="A56" s="13" t="s">
        <v>1718</v>
      </c>
      <c r="B56" s="14" t="s">
        <v>608</v>
      </c>
      <c r="C56" s="15" t="s">
        <v>1630</v>
      </c>
      <c r="D56" s="15" t="s">
        <v>1719</v>
      </c>
      <c r="E56" s="28" t="s">
        <v>19</v>
      </c>
      <c r="F56" s="16"/>
      <c r="G56" s="16"/>
      <c r="H56" s="19" t="n">
        <f aca="false">LEN(IF(F56&lt;&gt;"",F56,D56))</f>
        <v>4</v>
      </c>
      <c r="I56" s="29" t="str">
        <f aca="false">IF(OR(H56&lt;2,H56&gt;120),"분량 확인","")</f>
        <v/>
      </c>
    </row>
    <row r="57" customFormat="false" ht="33.75" hidden="false" customHeight="true" outlineLevel="0" collapsed="false">
      <c r="A57" s="13" t="s">
        <v>1720</v>
      </c>
      <c r="B57" s="14" t="s">
        <v>608</v>
      </c>
      <c r="C57" s="15" t="s">
        <v>1633</v>
      </c>
      <c r="D57" s="15" t="s">
        <v>1721</v>
      </c>
      <c r="E57" s="28" t="s">
        <v>19</v>
      </c>
      <c r="F57" s="16"/>
      <c r="G57" s="16"/>
      <c r="H57" s="19" t="n">
        <f aca="false">LEN(IF(F57&lt;&gt;"",F57,D57))</f>
        <v>46</v>
      </c>
      <c r="I57" s="29" t="str">
        <f aca="false">IF(OR(H57&lt;2,H57&gt;120),"분량 확인","")</f>
        <v/>
      </c>
    </row>
    <row r="58" customFormat="false" ht="33.75" hidden="false" customHeight="true" outlineLevel="0" collapsed="false">
      <c r="A58" s="13" t="s">
        <v>1722</v>
      </c>
      <c r="B58" s="14" t="s">
        <v>608</v>
      </c>
      <c r="C58" s="15" t="s">
        <v>1723</v>
      </c>
      <c r="D58" s="15" t="s">
        <v>1724</v>
      </c>
      <c r="E58" s="28" t="s">
        <v>19</v>
      </c>
      <c r="F58" s="16"/>
      <c r="G58" s="16"/>
      <c r="H58" s="19" t="n">
        <f aca="false">LEN(IF(F58&lt;&gt;"",F58,D58))</f>
        <v>9</v>
      </c>
      <c r="I58" s="29" t="str">
        <f aca="false">IF(OR(H58&lt;2,H58&gt;120),"분량 확인","")</f>
        <v/>
      </c>
    </row>
    <row r="59" customFormat="false" ht="33.75" hidden="false" customHeight="true" outlineLevel="0" collapsed="false">
      <c r="A59" s="13" t="s">
        <v>1725</v>
      </c>
      <c r="B59" s="14" t="s">
        <v>608</v>
      </c>
      <c r="C59" s="15" t="s">
        <v>1726</v>
      </c>
      <c r="D59" s="15" t="s">
        <v>1727</v>
      </c>
      <c r="E59" s="28" t="s">
        <v>19</v>
      </c>
      <c r="F59" s="16"/>
      <c r="G59" s="16"/>
      <c r="H59" s="19" t="n">
        <f aca="false">LEN(IF(F59&lt;&gt;"",F59,D59))</f>
        <v>34</v>
      </c>
      <c r="I59" s="29" t="str">
        <f aca="false">IF(OR(H59&lt;2,H59&gt;120),"분량 확인","")</f>
        <v/>
      </c>
    </row>
    <row r="60" customFormat="false" ht="33.75" hidden="false" customHeight="true" outlineLevel="0" collapsed="false">
      <c r="A60" s="13" t="s">
        <v>1728</v>
      </c>
      <c r="B60" s="14" t="s">
        <v>608</v>
      </c>
      <c r="C60" s="15" t="s">
        <v>1729</v>
      </c>
      <c r="D60" s="14" t="s">
        <v>1620</v>
      </c>
      <c r="E60" s="28" t="s">
        <v>19</v>
      </c>
      <c r="F60" s="16"/>
      <c r="G60" s="16"/>
      <c r="H60" s="19" t="n">
        <f aca="false">LEN(IF(F60&lt;&gt;"",F60,D60))</f>
        <v>2</v>
      </c>
      <c r="I60" s="29" t="str">
        <f aca="false">IF(OR(H60&lt;2,H60&gt;120),"분량 확인","")</f>
        <v/>
      </c>
    </row>
    <row r="61" customFormat="false" ht="33.75" hidden="false" customHeight="true" outlineLevel="0" collapsed="false">
      <c r="A61" s="13" t="s">
        <v>1730</v>
      </c>
      <c r="B61" s="14" t="s">
        <v>608</v>
      </c>
      <c r="C61" s="15" t="s">
        <v>1731</v>
      </c>
      <c r="D61" s="15" t="s">
        <v>1732</v>
      </c>
      <c r="E61" s="28" t="s">
        <v>19</v>
      </c>
      <c r="F61" s="16"/>
      <c r="G61" s="16"/>
      <c r="H61" s="19" t="n">
        <f aca="false">LEN(IF(F61&lt;&gt;"",F61,D61))</f>
        <v>45</v>
      </c>
      <c r="I61" s="29" t="str">
        <f aca="false">IF(OR(H61&lt;2,H61&gt;120),"분량 확인","")</f>
        <v/>
      </c>
    </row>
    <row r="62" customFormat="false" ht="33.75" hidden="false" customHeight="true" outlineLevel="0" collapsed="false">
      <c r="A62" s="13" t="s">
        <v>1733</v>
      </c>
      <c r="B62" s="14" t="s">
        <v>620</v>
      </c>
      <c r="C62" s="15" t="s">
        <v>1734</v>
      </c>
      <c r="D62" s="15" t="s">
        <v>1735</v>
      </c>
      <c r="E62" s="28" t="s">
        <v>19</v>
      </c>
      <c r="F62" s="16"/>
      <c r="G62" s="16"/>
      <c r="H62" s="19" t="n">
        <f aca="false">LEN(IF(F62&lt;&gt;"",F62,D62))</f>
        <v>9</v>
      </c>
      <c r="I62" s="29" t="str">
        <f aca="false">IF(OR(H62&lt;2,H62&gt;120),"분량 확인","")</f>
        <v/>
      </c>
    </row>
    <row r="63" customFormat="false" ht="33.75" hidden="false" customHeight="true" outlineLevel="0" collapsed="false">
      <c r="A63" s="13" t="s">
        <v>133</v>
      </c>
      <c r="B63" s="14" t="s">
        <v>620</v>
      </c>
      <c r="C63" s="15" t="s">
        <v>1736</v>
      </c>
      <c r="D63" s="15" t="s">
        <v>1737</v>
      </c>
      <c r="E63" s="28" t="s">
        <v>19</v>
      </c>
      <c r="F63" s="16"/>
      <c r="G63" s="17" t="s">
        <v>1738</v>
      </c>
      <c r="H63" s="19" t="n">
        <f aca="false">LEN(IF(F63&lt;&gt;"",F63,D63))</f>
        <v>44</v>
      </c>
      <c r="I63" s="29" t="str">
        <f aca="false">IF(OR(H63&lt;2,H63&gt;120),"분량 확인","")</f>
        <v/>
      </c>
    </row>
    <row r="64" customFormat="false" ht="33.75" hidden="false" customHeight="true" outlineLevel="0" collapsed="false">
      <c r="A64" s="13" t="s">
        <v>1739</v>
      </c>
      <c r="B64" s="14" t="s">
        <v>620</v>
      </c>
      <c r="C64" s="15" t="s">
        <v>1740</v>
      </c>
      <c r="D64" s="14" t="s">
        <v>1620</v>
      </c>
      <c r="E64" s="28" t="s">
        <v>19</v>
      </c>
      <c r="F64" s="16"/>
      <c r="G64" s="16"/>
      <c r="H64" s="19" t="n">
        <f aca="false">LEN(IF(F64&lt;&gt;"",F64,D64))</f>
        <v>2</v>
      </c>
      <c r="I64" s="29" t="str">
        <f aca="false">IF(OR(H64&lt;2,H64&gt;120),"분량 확인","")</f>
        <v/>
      </c>
    </row>
    <row r="65" customFormat="false" ht="33.75" hidden="false" customHeight="true" outlineLevel="0" collapsed="false">
      <c r="A65" s="13" t="s">
        <v>136</v>
      </c>
      <c r="B65" s="14" t="s">
        <v>620</v>
      </c>
      <c r="C65" s="15" t="s">
        <v>1741</v>
      </c>
      <c r="D65" s="15" t="s">
        <v>1742</v>
      </c>
      <c r="E65" s="28" t="s">
        <v>19</v>
      </c>
      <c r="F65" s="16"/>
      <c r="G65" s="17" t="s">
        <v>1743</v>
      </c>
      <c r="H65" s="19" t="n">
        <f aca="false">LEN(IF(F65&lt;&gt;"",F65,D65))</f>
        <v>58</v>
      </c>
      <c r="I65" s="29" t="str">
        <f aca="false">IF(OR(H65&lt;2,H65&gt;120),"분량 확인","")</f>
        <v/>
      </c>
    </row>
    <row r="66" customFormat="false" ht="33.75" hidden="false" customHeight="true" outlineLevel="0" collapsed="false">
      <c r="A66" s="13" t="s">
        <v>1744</v>
      </c>
      <c r="B66" s="14" t="s">
        <v>620</v>
      </c>
      <c r="C66" s="15" t="s">
        <v>1625</v>
      </c>
      <c r="D66" s="15" t="s">
        <v>1745</v>
      </c>
      <c r="E66" s="28" t="s">
        <v>19</v>
      </c>
      <c r="F66" s="16"/>
      <c r="G66" s="16"/>
      <c r="H66" s="19" t="n">
        <f aca="false">LEN(IF(F66&lt;&gt;"",F66,D66))</f>
        <v>10</v>
      </c>
      <c r="I66" s="29" t="str">
        <f aca="false">IF(OR(H66&lt;2,H66&gt;120),"분량 확인","")</f>
        <v/>
      </c>
    </row>
    <row r="67" customFormat="false" ht="33.75" hidden="false" customHeight="true" outlineLevel="0" collapsed="false">
      <c r="A67" s="13" t="s">
        <v>1746</v>
      </c>
      <c r="B67" s="14" t="s">
        <v>620</v>
      </c>
      <c r="C67" s="15" t="s">
        <v>1627</v>
      </c>
      <c r="D67" s="15" t="s">
        <v>1747</v>
      </c>
      <c r="E67" s="28" t="s">
        <v>19</v>
      </c>
      <c r="F67" s="16"/>
      <c r="G67" s="16"/>
      <c r="H67" s="19" t="n">
        <f aca="false">LEN(IF(F67&lt;&gt;"",F67,D67))</f>
        <v>44</v>
      </c>
      <c r="I67" s="29" t="str">
        <f aca="false">IF(OR(H67&lt;2,H67&gt;120),"분량 확인","")</f>
        <v/>
      </c>
    </row>
    <row r="68" customFormat="false" ht="33.75" hidden="false" customHeight="true" outlineLevel="0" collapsed="false">
      <c r="A68" s="13" t="s">
        <v>1748</v>
      </c>
      <c r="B68" s="14" t="s">
        <v>620</v>
      </c>
      <c r="C68" s="15" t="s">
        <v>1630</v>
      </c>
      <c r="D68" s="15" t="s">
        <v>1719</v>
      </c>
      <c r="E68" s="28" t="s">
        <v>19</v>
      </c>
      <c r="F68" s="16"/>
      <c r="G68" s="16"/>
      <c r="H68" s="19" t="n">
        <f aca="false">LEN(IF(F68&lt;&gt;"",F68,D68))</f>
        <v>4</v>
      </c>
      <c r="I68" s="29" t="str">
        <f aca="false">IF(OR(H68&lt;2,H68&gt;120),"분량 확인","")</f>
        <v/>
      </c>
    </row>
    <row r="69" customFormat="false" ht="33.75" hidden="false" customHeight="true" outlineLevel="0" collapsed="false">
      <c r="A69" s="13" t="s">
        <v>1749</v>
      </c>
      <c r="B69" s="14" t="s">
        <v>620</v>
      </c>
      <c r="C69" s="15" t="s">
        <v>1633</v>
      </c>
      <c r="D69" s="15" t="s">
        <v>1750</v>
      </c>
      <c r="E69" s="28" t="s">
        <v>19</v>
      </c>
      <c r="F69" s="16"/>
      <c r="G69" s="16"/>
      <c r="H69" s="19" t="n">
        <f aca="false">LEN(IF(F69&lt;&gt;"",F69,D69))</f>
        <v>47</v>
      </c>
      <c r="I69" s="29" t="str">
        <f aca="false">IF(OR(H69&lt;2,H69&gt;120),"분량 확인","")</f>
        <v/>
      </c>
    </row>
    <row r="70" customFormat="false" ht="33.75" hidden="false" customHeight="true" outlineLevel="0" collapsed="false">
      <c r="A70" s="13" t="s">
        <v>1751</v>
      </c>
      <c r="B70" s="14" t="s">
        <v>620</v>
      </c>
      <c r="C70" s="15" t="s">
        <v>1636</v>
      </c>
      <c r="D70" s="15" t="s">
        <v>1752</v>
      </c>
      <c r="E70" s="28" t="s">
        <v>19</v>
      </c>
      <c r="F70" s="16"/>
      <c r="G70" s="16"/>
      <c r="H70" s="19" t="n">
        <f aca="false">LEN(IF(F70&lt;&gt;"",F70,D70))</f>
        <v>10</v>
      </c>
      <c r="I70" s="29" t="str">
        <f aca="false">IF(OR(H70&lt;2,H70&gt;120),"분량 확인","")</f>
        <v/>
      </c>
    </row>
    <row r="71" customFormat="false" ht="33.75" hidden="false" customHeight="true" outlineLevel="0" collapsed="false">
      <c r="A71" s="13" t="s">
        <v>1753</v>
      </c>
      <c r="B71" s="14" t="s">
        <v>620</v>
      </c>
      <c r="C71" s="15" t="s">
        <v>1639</v>
      </c>
      <c r="D71" s="15" t="s">
        <v>1754</v>
      </c>
      <c r="E71" s="28" t="s">
        <v>19</v>
      </c>
      <c r="F71" s="16"/>
      <c r="G71" s="16"/>
      <c r="H71" s="19" t="n">
        <f aca="false">LEN(IF(F71&lt;&gt;"",F71,D71))</f>
        <v>39</v>
      </c>
      <c r="I71" s="29" t="str">
        <f aca="false">IF(OR(H71&lt;2,H71&gt;120),"분량 확인","")</f>
        <v/>
      </c>
    </row>
    <row r="72" customFormat="false" ht="33.75" hidden="false" customHeight="true" outlineLevel="0" collapsed="false">
      <c r="A72" s="13" t="s">
        <v>1755</v>
      </c>
      <c r="B72" s="14" t="s">
        <v>620</v>
      </c>
      <c r="C72" s="15" t="s">
        <v>1642</v>
      </c>
      <c r="D72" s="14" t="s">
        <v>1631</v>
      </c>
      <c r="E72" s="28" t="s">
        <v>19</v>
      </c>
      <c r="F72" s="16"/>
      <c r="G72" s="16"/>
      <c r="H72" s="19" t="n">
        <f aca="false">LEN(IF(F72&lt;&gt;"",F72,D72))</f>
        <v>3</v>
      </c>
      <c r="I72" s="29" t="str">
        <f aca="false">IF(OR(H72&lt;2,H72&gt;120),"분량 확인","")</f>
        <v/>
      </c>
    </row>
    <row r="73" customFormat="false" ht="33.75" hidden="false" customHeight="true" outlineLevel="0" collapsed="false">
      <c r="A73" s="13" t="s">
        <v>1756</v>
      </c>
      <c r="B73" s="14" t="s">
        <v>620</v>
      </c>
      <c r="C73" s="15" t="s">
        <v>1645</v>
      </c>
      <c r="D73" s="15" t="s">
        <v>1757</v>
      </c>
      <c r="E73" s="28" t="s">
        <v>19</v>
      </c>
      <c r="F73" s="16"/>
      <c r="G73" s="16"/>
      <c r="H73" s="19" t="n">
        <f aca="false">LEN(IF(F73&lt;&gt;"",F73,D73))</f>
        <v>51</v>
      </c>
      <c r="I73" s="29" t="str">
        <f aca="false">IF(OR(H73&lt;2,H73&gt;120),"분량 확인","")</f>
        <v/>
      </c>
    </row>
    <row r="74" customFormat="false" ht="33.75" hidden="false" customHeight="true" outlineLevel="0" collapsed="false">
      <c r="A74" s="13" t="s">
        <v>1758</v>
      </c>
      <c r="B74" s="14" t="s">
        <v>632</v>
      </c>
      <c r="C74" s="15" t="s">
        <v>1613</v>
      </c>
      <c r="D74" s="15" t="s">
        <v>1759</v>
      </c>
      <c r="E74" s="28" t="s">
        <v>19</v>
      </c>
      <c r="F74" s="16"/>
      <c r="G74" s="16"/>
      <c r="H74" s="19" t="n">
        <f aca="false">LEN(IF(F74&lt;&gt;"",F74,D74))</f>
        <v>9</v>
      </c>
      <c r="I74" s="29" t="str">
        <f aca="false">IF(OR(H74&lt;2,H74&gt;120),"분량 확인","")</f>
        <v/>
      </c>
    </row>
    <row r="75" customFormat="false" ht="33.75" hidden="false" customHeight="true" outlineLevel="0" collapsed="false">
      <c r="A75" s="13" t="s">
        <v>1760</v>
      </c>
      <c r="B75" s="14" t="s">
        <v>632</v>
      </c>
      <c r="C75" s="15" t="s">
        <v>1616</v>
      </c>
      <c r="D75" s="15" t="s">
        <v>1761</v>
      </c>
      <c r="E75" s="28" t="s">
        <v>19</v>
      </c>
      <c r="F75" s="16"/>
      <c r="G75" s="16"/>
      <c r="H75" s="19" t="n">
        <f aca="false">LEN(IF(F75&lt;&gt;"",F75,D75))</f>
        <v>55</v>
      </c>
      <c r="I75" s="29" t="str">
        <f aca="false">IF(OR(H75&lt;2,H75&gt;120),"분량 확인","")</f>
        <v/>
      </c>
    </row>
    <row r="76" customFormat="false" ht="33.75" hidden="false" customHeight="true" outlineLevel="0" collapsed="false">
      <c r="A76" s="13" t="s">
        <v>1762</v>
      </c>
      <c r="B76" s="14" t="s">
        <v>632</v>
      </c>
      <c r="C76" s="15" t="s">
        <v>1619</v>
      </c>
      <c r="D76" s="14" t="s">
        <v>1631</v>
      </c>
      <c r="E76" s="28" t="s">
        <v>19</v>
      </c>
      <c r="F76" s="16"/>
      <c r="G76" s="16"/>
      <c r="H76" s="19" t="n">
        <f aca="false">LEN(IF(F76&lt;&gt;"",F76,D76))</f>
        <v>3</v>
      </c>
      <c r="I76" s="29" t="str">
        <f aca="false">IF(OR(H76&lt;2,H76&gt;120),"분량 확인","")</f>
        <v/>
      </c>
    </row>
    <row r="77" customFormat="false" ht="33.75" hidden="false" customHeight="true" outlineLevel="0" collapsed="false">
      <c r="A77" s="13" t="s">
        <v>1763</v>
      </c>
      <c r="B77" s="14" t="s">
        <v>632</v>
      </c>
      <c r="C77" s="15" t="s">
        <v>1622</v>
      </c>
      <c r="D77" s="15" t="s">
        <v>1764</v>
      </c>
      <c r="E77" s="28" t="s">
        <v>19</v>
      </c>
      <c r="F77" s="16"/>
      <c r="G77" s="16"/>
      <c r="H77" s="19" t="n">
        <f aca="false">LEN(IF(F77&lt;&gt;"",F77,D77))</f>
        <v>52</v>
      </c>
      <c r="I77" s="29" t="str">
        <f aca="false">IF(OR(H77&lt;2,H77&gt;120),"분량 확인","")</f>
        <v/>
      </c>
    </row>
    <row r="78" customFormat="false" ht="33.75" hidden="false" customHeight="true" outlineLevel="0" collapsed="false">
      <c r="A78" s="13" t="s">
        <v>151</v>
      </c>
      <c r="B78" s="14" t="s">
        <v>632</v>
      </c>
      <c r="C78" s="15" t="s">
        <v>1765</v>
      </c>
      <c r="D78" s="14" t="s">
        <v>154</v>
      </c>
      <c r="E78" s="28" t="s">
        <v>19</v>
      </c>
      <c r="F78" s="16"/>
      <c r="G78" s="17" t="s">
        <v>1766</v>
      </c>
      <c r="H78" s="19" t="n">
        <f aca="false">LEN(IF(F78&lt;&gt;"",F78,D78))</f>
        <v>16</v>
      </c>
      <c r="I78" s="29" t="str">
        <f aca="false">IF(OR(H78&lt;2,H78&gt;120),"분량 확인","")</f>
        <v/>
      </c>
    </row>
    <row r="79" customFormat="false" ht="33.75" hidden="false" customHeight="true" outlineLevel="0" collapsed="false">
      <c r="A79" s="13" t="s">
        <v>146</v>
      </c>
      <c r="B79" s="14" t="s">
        <v>632</v>
      </c>
      <c r="C79" s="15" t="s">
        <v>1767</v>
      </c>
      <c r="D79" s="15" t="s">
        <v>150</v>
      </c>
      <c r="E79" s="28" t="s">
        <v>19</v>
      </c>
      <c r="F79" s="16"/>
      <c r="G79" s="17" t="s">
        <v>1768</v>
      </c>
      <c r="H79" s="19" t="n">
        <f aca="false">LEN(IF(F79&lt;&gt;"",F79,D79))</f>
        <v>55</v>
      </c>
      <c r="I79" s="29" t="str">
        <f aca="false">IF(OR(H79&lt;2,H79&gt;120),"분량 확인","")</f>
        <v/>
      </c>
    </row>
    <row r="80" customFormat="false" ht="33.75" hidden="false" customHeight="true" outlineLevel="0" collapsed="false">
      <c r="A80" s="13" t="s">
        <v>1769</v>
      </c>
      <c r="B80" s="14" t="s">
        <v>632</v>
      </c>
      <c r="C80" s="15" t="s">
        <v>1770</v>
      </c>
      <c r="D80" s="14" t="s">
        <v>1620</v>
      </c>
      <c r="E80" s="28" t="s">
        <v>19</v>
      </c>
      <c r="F80" s="16"/>
      <c r="G80" s="16"/>
      <c r="H80" s="19" t="n">
        <f aca="false">LEN(IF(F80&lt;&gt;"",F80,D80))</f>
        <v>2</v>
      </c>
      <c r="I80" s="29" t="str">
        <f aca="false">IF(OR(H80&lt;2,H80&gt;120),"분량 확인","")</f>
        <v/>
      </c>
    </row>
    <row r="81" customFormat="false" ht="33.75" hidden="false" customHeight="true" outlineLevel="0" collapsed="false">
      <c r="A81" s="13" t="s">
        <v>1771</v>
      </c>
      <c r="B81" s="14" t="s">
        <v>632</v>
      </c>
      <c r="C81" s="15" t="s">
        <v>1772</v>
      </c>
      <c r="D81" s="15" t="s">
        <v>1773</v>
      </c>
      <c r="E81" s="28" t="s">
        <v>19</v>
      </c>
      <c r="F81" s="16"/>
      <c r="G81" s="16"/>
      <c r="H81" s="19" t="n">
        <f aca="false">LEN(IF(F81&lt;&gt;"",F81,D81))</f>
        <v>44</v>
      </c>
      <c r="I81" s="29" t="str">
        <f aca="false">IF(OR(H81&lt;2,H81&gt;120),"분량 확인","")</f>
        <v/>
      </c>
    </row>
    <row r="82" customFormat="false" ht="33.75" hidden="false" customHeight="true" outlineLevel="0" collapsed="false">
      <c r="A82" s="13" t="s">
        <v>1774</v>
      </c>
      <c r="B82" s="14" t="s">
        <v>632</v>
      </c>
      <c r="C82" s="15" t="s">
        <v>1723</v>
      </c>
      <c r="D82" s="15" t="s">
        <v>1775</v>
      </c>
      <c r="E82" s="28" t="s">
        <v>19</v>
      </c>
      <c r="F82" s="16"/>
      <c r="G82" s="16"/>
      <c r="H82" s="19" t="n">
        <f aca="false">LEN(IF(F82&lt;&gt;"",F82,D82))</f>
        <v>6</v>
      </c>
      <c r="I82" s="29" t="str">
        <f aca="false">IF(OR(H82&lt;2,H82&gt;120),"분량 확인","")</f>
        <v/>
      </c>
    </row>
    <row r="83" customFormat="false" ht="33.75" hidden="false" customHeight="true" outlineLevel="0" collapsed="false">
      <c r="A83" s="13" t="s">
        <v>1776</v>
      </c>
      <c r="B83" s="14" t="s">
        <v>632</v>
      </c>
      <c r="C83" s="15" t="s">
        <v>1726</v>
      </c>
      <c r="D83" s="15" t="s">
        <v>1777</v>
      </c>
      <c r="E83" s="28" t="s">
        <v>19</v>
      </c>
      <c r="F83" s="16"/>
      <c r="G83" s="16"/>
      <c r="H83" s="19" t="n">
        <f aca="false">LEN(IF(F83&lt;&gt;"",F83,D83))</f>
        <v>33</v>
      </c>
      <c r="I83" s="29" t="str">
        <f aca="false">IF(OR(H83&lt;2,H83&gt;120),"분량 확인","")</f>
        <v/>
      </c>
    </row>
    <row r="84" customFormat="false" ht="33.75" hidden="false" customHeight="true" outlineLevel="0" collapsed="false">
      <c r="A84" s="13" t="s">
        <v>1778</v>
      </c>
      <c r="B84" s="14" t="s">
        <v>632</v>
      </c>
      <c r="C84" s="15" t="s">
        <v>1729</v>
      </c>
      <c r="D84" s="14" t="s">
        <v>1643</v>
      </c>
      <c r="E84" s="28" t="s">
        <v>19</v>
      </c>
      <c r="F84" s="16"/>
      <c r="G84" s="16"/>
      <c r="H84" s="19" t="n">
        <f aca="false">LEN(IF(F84&lt;&gt;"",F84,D84))</f>
        <v>2</v>
      </c>
      <c r="I84" s="29" t="str">
        <f aca="false">IF(OR(H84&lt;2,H84&gt;120),"분량 확인","")</f>
        <v/>
      </c>
    </row>
    <row r="85" customFormat="false" ht="33.75" hidden="false" customHeight="true" outlineLevel="0" collapsed="false">
      <c r="A85" s="13" t="s">
        <v>1779</v>
      </c>
      <c r="B85" s="14" t="s">
        <v>632</v>
      </c>
      <c r="C85" s="15" t="s">
        <v>1731</v>
      </c>
      <c r="D85" s="15" t="s">
        <v>1780</v>
      </c>
      <c r="E85" s="28" t="s">
        <v>19</v>
      </c>
      <c r="F85" s="16"/>
      <c r="G85" s="16"/>
      <c r="H85" s="19" t="n">
        <f aca="false">LEN(IF(F85&lt;&gt;"",F85,D85))</f>
        <v>47</v>
      </c>
      <c r="I85" s="29" t="str">
        <f aca="false">IF(OR(H85&lt;2,H85&gt;120),"분량 확인","")</f>
        <v/>
      </c>
    </row>
    <row r="86" customFormat="false" ht="33.75" hidden="false" customHeight="true" outlineLevel="0" collapsed="false">
      <c r="A86" s="13" t="s">
        <v>1781</v>
      </c>
      <c r="B86" s="14" t="s">
        <v>645</v>
      </c>
      <c r="C86" s="15" t="s">
        <v>1613</v>
      </c>
      <c r="D86" s="15" t="s">
        <v>1782</v>
      </c>
      <c r="E86" s="28" t="s">
        <v>19</v>
      </c>
      <c r="F86" s="16"/>
      <c r="G86" s="16"/>
      <c r="H86" s="19" t="n">
        <f aca="false">LEN(IF(F86&lt;&gt;"",F86,D86))</f>
        <v>11</v>
      </c>
      <c r="I86" s="29" t="str">
        <f aca="false">IF(OR(H86&lt;2,H86&gt;120),"분량 확인","")</f>
        <v/>
      </c>
    </row>
    <row r="87" customFormat="false" ht="33.75" hidden="false" customHeight="true" outlineLevel="0" collapsed="false">
      <c r="A87" s="13" t="s">
        <v>1783</v>
      </c>
      <c r="B87" s="14" t="s">
        <v>645</v>
      </c>
      <c r="C87" s="15" t="s">
        <v>1616</v>
      </c>
      <c r="D87" s="15" t="s">
        <v>1784</v>
      </c>
      <c r="E87" s="28" t="s">
        <v>19</v>
      </c>
      <c r="F87" s="16"/>
      <c r="G87" s="16"/>
      <c r="H87" s="19" t="n">
        <f aca="false">LEN(IF(F87&lt;&gt;"",F87,D87))</f>
        <v>44</v>
      </c>
      <c r="I87" s="29" t="str">
        <f aca="false">IF(OR(H87&lt;2,H87&gt;120),"분량 확인","")</f>
        <v/>
      </c>
    </row>
    <row r="88" customFormat="false" ht="33.75" hidden="false" customHeight="true" outlineLevel="0" collapsed="false">
      <c r="A88" s="13" t="s">
        <v>1785</v>
      </c>
      <c r="B88" s="14" t="s">
        <v>645</v>
      </c>
      <c r="C88" s="15" t="s">
        <v>1619</v>
      </c>
      <c r="D88" s="14" t="s">
        <v>1643</v>
      </c>
      <c r="E88" s="28" t="s">
        <v>19</v>
      </c>
      <c r="F88" s="16"/>
      <c r="G88" s="16"/>
      <c r="H88" s="19" t="n">
        <f aca="false">LEN(IF(F88&lt;&gt;"",F88,D88))</f>
        <v>2</v>
      </c>
      <c r="I88" s="29" t="str">
        <f aca="false">IF(OR(H88&lt;2,H88&gt;120),"분량 확인","")</f>
        <v/>
      </c>
    </row>
    <row r="89" customFormat="false" ht="33.75" hidden="false" customHeight="true" outlineLevel="0" collapsed="false">
      <c r="A89" s="13" t="s">
        <v>1786</v>
      </c>
      <c r="B89" s="14" t="s">
        <v>645</v>
      </c>
      <c r="C89" s="15" t="s">
        <v>1622</v>
      </c>
      <c r="D89" s="15" t="s">
        <v>1787</v>
      </c>
      <c r="E89" s="28" t="s">
        <v>19</v>
      </c>
      <c r="F89" s="16"/>
      <c r="G89" s="16"/>
      <c r="H89" s="19" t="n">
        <f aca="false">LEN(IF(F89&lt;&gt;"",F89,D89))</f>
        <v>45</v>
      </c>
      <c r="I89" s="29" t="str">
        <f aca="false">IF(OR(H89&lt;2,H89&gt;120),"분량 확인","")</f>
        <v/>
      </c>
    </row>
    <row r="90" customFormat="false" ht="33.75" hidden="false" customHeight="true" outlineLevel="0" collapsed="false">
      <c r="A90" s="13" t="s">
        <v>1788</v>
      </c>
      <c r="B90" s="14" t="s">
        <v>645</v>
      </c>
      <c r="C90" s="15" t="s">
        <v>1625</v>
      </c>
      <c r="D90" s="15" t="s">
        <v>1789</v>
      </c>
      <c r="E90" s="28" t="s">
        <v>19</v>
      </c>
      <c r="F90" s="16"/>
      <c r="G90" s="16"/>
      <c r="H90" s="19" t="n">
        <f aca="false">LEN(IF(F90&lt;&gt;"",F90,D90))</f>
        <v>9</v>
      </c>
      <c r="I90" s="29" t="str">
        <f aca="false">IF(OR(H90&lt;2,H90&gt;120),"분량 확인","")</f>
        <v/>
      </c>
    </row>
    <row r="91" customFormat="false" ht="33.75" hidden="false" customHeight="true" outlineLevel="0" collapsed="false">
      <c r="A91" s="13" t="s">
        <v>1790</v>
      </c>
      <c r="B91" s="14" t="s">
        <v>645</v>
      </c>
      <c r="C91" s="15" t="s">
        <v>1627</v>
      </c>
      <c r="D91" s="14" t="s">
        <v>1791</v>
      </c>
      <c r="E91" s="28" t="s">
        <v>19</v>
      </c>
      <c r="F91" s="16"/>
      <c r="G91" s="16"/>
      <c r="H91" s="19" t="n">
        <f aca="false">LEN(IF(F91&lt;&gt;"",F91,D91))</f>
        <v>40</v>
      </c>
      <c r="I91" s="29" t="str">
        <f aca="false">IF(OR(H91&lt;2,H91&gt;120),"분량 확인","")</f>
        <v/>
      </c>
    </row>
    <row r="92" customFormat="false" ht="33.75" hidden="false" customHeight="true" outlineLevel="0" collapsed="false">
      <c r="A92" s="13" t="s">
        <v>1792</v>
      </c>
      <c r="B92" s="14" t="s">
        <v>645</v>
      </c>
      <c r="C92" s="15" t="s">
        <v>1630</v>
      </c>
      <c r="D92" s="14" t="s">
        <v>1620</v>
      </c>
      <c r="E92" s="28" t="s">
        <v>19</v>
      </c>
      <c r="F92" s="16"/>
      <c r="G92" s="16"/>
      <c r="H92" s="19" t="n">
        <f aca="false">LEN(IF(F92&lt;&gt;"",F92,D92))</f>
        <v>2</v>
      </c>
      <c r="I92" s="29" t="str">
        <f aca="false">IF(OR(H92&lt;2,H92&gt;120),"분량 확인","")</f>
        <v/>
      </c>
    </row>
    <row r="93" customFormat="false" ht="33.75" hidden="false" customHeight="true" outlineLevel="0" collapsed="false">
      <c r="A93" s="13" t="s">
        <v>1793</v>
      </c>
      <c r="B93" s="14" t="s">
        <v>645</v>
      </c>
      <c r="C93" s="15" t="s">
        <v>1633</v>
      </c>
      <c r="D93" s="15" t="s">
        <v>1794</v>
      </c>
      <c r="E93" s="28" t="s">
        <v>19</v>
      </c>
      <c r="F93" s="16"/>
      <c r="G93" s="16"/>
      <c r="H93" s="19" t="n">
        <f aca="false">LEN(IF(F93&lt;&gt;"",F93,D93))</f>
        <v>49</v>
      </c>
      <c r="I93" s="29" t="str">
        <f aca="false">IF(OR(H93&lt;2,H93&gt;120),"분량 확인","")</f>
        <v/>
      </c>
    </row>
    <row r="94" customFormat="false" ht="33.75" hidden="false" customHeight="true" outlineLevel="0" collapsed="false">
      <c r="A94" s="13" t="s">
        <v>214</v>
      </c>
      <c r="B94" s="14" t="s">
        <v>645</v>
      </c>
      <c r="C94" s="15" t="s">
        <v>1636</v>
      </c>
      <c r="D94" s="15" t="s">
        <v>217</v>
      </c>
      <c r="E94" s="28" t="s">
        <v>19</v>
      </c>
      <c r="F94" s="16"/>
      <c r="G94" s="17" t="s">
        <v>1795</v>
      </c>
      <c r="H94" s="19" t="n">
        <f aca="false">LEN(IF(F94&lt;&gt;"",F94,D94))</f>
        <v>10</v>
      </c>
      <c r="I94" s="29" t="str">
        <f aca="false">IF(OR(H94&lt;2,H94&gt;120),"분량 확인","")</f>
        <v/>
      </c>
    </row>
    <row r="95" customFormat="false" ht="33.75" hidden="false" customHeight="true" outlineLevel="0" collapsed="false">
      <c r="A95" s="13" t="s">
        <v>1796</v>
      </c>
      <c r="B95" s="14" t="s">
        <v>645</v>
      </c>
      <c r="C95" s="15" t="s">
        <v>1639</v>
      </c>
      <c r="D95" s="15" t="s">
        <v>1797</v>
      </c>
      <c r="E95" s="28" t="s">
        <v>19</v>
      </c>
      <c r="F95" s="16"/>
      <c r="G95" s="16"/>
      <c r="H95" s="19" t="n">
        <f aca="false">LEN(IF(F95&lt;&gt;"",F95,D95))</f>
        <v>31</v>
      </c>
      <c r="I95" s="29" t="str">
        <f aca="false">IF(OR(H95&lt;2,H95&gt;120),"분량 확인","")</f>
        <v/>
      </c>
    </row>
    <row r="96" customFormat="false" ht="33.75" hidden="false" customHeight="true" outlineLevel="0" collapsed="false">
      <c r="A96" s="13" t="s">
        <v>1798</v>
      </c>
      <c r="B96" s="14" t="s">
        <v>645</v>
      </c>
      <c r="C96" s="15" t="s">
        <v>1642</v>
      </c>
      <c r="D96" s="14" t="s">
        <v>1620</v>
      </c>
      <c r="E96" s="28" t="s">
        <v>19</v>
      </c>
      <c r="F96" s="16"/>
      <c r="G96" s="16"/>
      <c r="H96" s="19" t="n">
        <f aca="false">LEN(IF(F96&lt;&gt;"",F96,D96))</f>
        <v>2</v>
      </c>
      <c r="I96" s="29" t="str">
        <f aca="false">IF(OR(H96&lt;2,H96&gt;120),"분량 확인","")</f>
        <v/>
      </c>
    </row>
    <row r="97" customFormat="false" ht="33.75" hidden="false" customHeight="true" outlineLevel="0" collapsed="false">
      <c r="A97" s="13" t="s">
        <v>218</v>
      </c>
      <c r="B97" s="14" t="s">
        <v>645</v>
      </c>
      <c r="C97" s="15" t="s">
        <v>1645</v>
      </c>
      <c r="D97" s="15" t="s">
        <v>220</v>
      </c>
      <c r="E97" s="28" t="s">
        <v>19</v>
      </c>
      <c r="F97" s="16"/>
      <c r="G97" s="17" t="s">
        <v>1799</v>
      </c>
      <c r="H97" s="19" t="n">
        <f aca="false">LEN(IF(F97&lt;&gt;"",F97,D97))</f>
        <v>49</v>
      </c>
      <c r="I97" s="29" t="str">
        <f aca="false">IF(OR(H97&lt;2,H97&gt;120),"분량 확인","")</f>
        <v/>
      </c>
    </row>
    <row r="98" customFormat="false" ht="33.75" hidden="false" customHeight="true" outlineLevel="0" collapsed="false">
      <c r="A98" s="13" t="s">
        <v>1800</v>
      </c>
      <c r="B98" s="14" t="s">
        <v>655</v>
      </c>
      <c r="C98" s="15" t="s">
        <v>1613</v>
      </c>
      <c r="D98" s="15" t="s">
        <v>1801</v>
      </c>
      <c r="E98" s="28" t="s">
        <v>19</v>
      </c>
      <c r="F98" s="16"/>
      <c r="G98" s="16"/>
      <c r="H98" s="19" t="n">
        <f aca="false">LEN(IF(F98&lt;&gt;"",F98,D98))</f>
        <v>10</v>
      </c>
      <c r="I98" s="29" t="str">
        <f aca="false">IF(OR(H98&lt;2,H98&gt;120),"분량 확인","")</f>
        <v/>
      </c>
    </row>
    <row r="99" customFormat="false" ht="33.75" hidden="false" customHeight="true" outlineLevel="0" collapsed="false">
      <c r="A99" s="13" t="s">
        <v>1802</v>
      </c>
      <c r="B99" s="14" t="s">
        <v>655</v>
      </c>
      <c r="C99" s="15" t="s">
        <v>1616</v>
      </c>
      <c r="D99" s="15" t="s">
        <v>1803</v>
      </c>
      <c r="E99" s="28" t="s">
        <v>19</v>
      </c>
      <c r="F99" s="16"/>
      <c r="G99" s="16"/>
      <c r="H99" s="19" t="n">
        <f aca="false">LEN(IF(F99&lt;&gt;"",F99,D99))</f>
        <v>49</v>
      </c>
      <c r="I99" s="29" t="str">
        <f aca="false">IF(OR(H99&lt;2,H99&gt;120),"분량 확인","")</f>
        <v/>
      </c>
    </row>
    <row r="100" customFormat="false" ht="33.75" hidden="false" customHeight="true" outlineLevel="0" collapsed="false">
      <c r="A100" s="13" t="s">
        <v>1804</v>
      </c>
      <c r="B100" s="14" t="s">
        <v>655</v>
      </c>
      <c r="C100" s="15" t="s">
        <v>1619</v>
      </c>
      <c r="D100" s="14" t="s">
        <v>1692</v>
      </c>
      <c r="E100" s="28" t="s">
        <v>19</v>
      </c>
      <c r="F100" s="16"/>
      <c r="G100" s="16"/>
      <c r="H100" s="19" t="n">
        <f aca="false">LEN(IF(F100&lt;&gt;"",F100,D100))</f>
        <v>2</v>
      </c>
      <c r="I100" s="29" t="str">
        <f aca="false">IF(OR(H100&lt;2,H100&gt;120),"분량 확인","")</f>
        <v/>
      </c>
    </row>
    <row r="101" customFormat="false" ht="33.75" hidden="false" customHeight="true" outlineLevel="0" collapsed="false">
      <c r="A101" s="13" t="s">
        <v>1805</v>
      </c>
      <c r="B101" s="14" t="s">
        <v>655</v>
      </c>
      <c r="C101" s="15" t="s">
        <v>1622</v>
      </c>
      <c r="D101" s="15" t="s">
        <v>1806</v>
      </c>
      <c r="E101" s="28" t="s">
        <v>19</v>
      </c>
      <c r="F101" s="16"/>
      <c r="G101" s="16"/>
      <c r="H101" s="19" t="n">
        <f aca="false">LEN(IF(F101&lt;&gt;"",F101,D101))</f>
        <v>43</v>
      </c>
      <c r="I101" s="29" t="str">
        <f aca="false">IF(OR(H101&lt;2,H101&gt;120),"분량 확인","")</f>
        <v/>
      </c>
    </row>
    <row r="102" customFormat="false" ht="33.75" hidden="false" customHeight="true" outlineLevel="0" collapsed="false">
      <c r="A102" s="13" t="s">
        <v>1807</v>
      </c>
      <c r="B102" s="14" t="s">
        <v>655</v>
      </c>
      <c r="C102" s="15" t="s">
        <v>1625</v>
      </c>
      <c r="D102" s="14" t="s">
        <v>1808</v>
      </c>
      <c r="E102" s="28" t="s">
        <v>19</v>
      </c>
      <c r="F102" s="16"/>
      <c r="G102" s="16"/>
      <c r="H102" s="19" t="n">
        <f aca="false">LEN(IF(F102&lt;&gt;"",F102,D102))</f>
        <v>10</v>
      </c>
      <c r="I102" s="29" t="str">
        <f aca="false">IF(OR(H102&lt;2,H102&gt;120),"분량 확인","")</f>
        <v/>
      </c>
    </row>
    <row r="103" customFormat="false" ht="33.75" hidden="false" customHeight="true" outlineLevel="0" collapsed="false">
      <c r="A103" s="13" t="s">
        <v>515</v>
      </c>
      <c r="B103" s="14" t="s">
        <v>655</v>
      </c>
      <c r="C103" s="15" t="s">
        <v>1627</v>
      </c>
      <c r="D103" s="15" t="s">
        <v>518</v>
      </c>
      <c r="E103" s="28" t="s">
        <v>19</v>
      </c>
      <c r="F103" s="16"/>
      <c r="G103" s="17" t="s">
        <v>1809</v>
      </c>
      <c r="H103" s="19" t="n">
        <f aca="false">LEN(IF(F103&lt;&gt;"",F103,D103))</f>
        <v>48</v>
      </c>
      <c r="I103" s="29" t="str">
        <f aca="false">IF(OR(H103&lt;2,H103&gt;120),"분량 확인","")</f>
        <v/>
      </c>
    </row>
    <row r="104" customFormat="false" ht="33.75" hidden="false" customHeight="true" outlineLevel="0" collapsed="false">
      <c r="A104" s="13" t="s">
        <v>1810</v>
      </c>
      <c r="B104" s="14" t="s">
        <v>655</v>
      </c>
      <c r="C104" s="15" t="s">
        <v>1630</v>
      </c>
      <c r="D104" s="14" t="s">
        <v>1811</v>
      </c>
      <c r="E104" s="28" t="s">
        <v>19</v>
      </c>
      <c r="F104" s="16"/>
      <c r="G104" s="16"/>
      <c r="H104" s="19" t="n">
        <f aca="false">LEN(IF(F104&lt;&gt;"",F104,D104))</f>
        <v>2</v>
      </c>
      <c r="I104" s="29" t="str">
        <f aca="false">IF(OR(H104&lt;2,H104&gt;120),"분량 확인","")</f>
        <v/>
      </c>
    </row>
    <row r="105" customFormat="false" ht="33.75" hidden="false" customHeight="true" outlineLevel="0" collapsed="false">
      <c r="A105" s="13" t="s">
        <v>1812</v>
      </c>
      <c r="B105" s="14" t="s">
        <v>655</v>
      </c>
      <c r="C105" s="15" t="s">
        <v>1633</v>
      </c>
      <c r="D105" s="15" t="s">
        <v>1813</v>
      </c>
      <c r="E105" s="28" t="s">
        <v>19</v>
      </c>
      <c r="F105" s="16"/>
      <c r="G105" s="16"/>
      <c r="H105" s="19" t="n">
        <f aca="false">LEN(IF(F105&lt;&gt;"",F105,D105))</f>
        <v>48</v>
      </c>
      <c r="I105" s="29" t="str">
        <f aca="false">IF(OR(H105&lt;2,H105&gt;120),"분량 확인","")</f>
        <v/>
      </c>
    </row>
    <row r="106" customFormat="false" ht="33.75" hidden="false" customHeight="true" outlineLevel="0" collapsed="false">
      <c r="A106" s="13" t="s">
        <v>1814</v>
      </c>
      <c r="B106" s="14" t="s">
        <v>655</v>
      </c>
      <c r="C106" s="15" t="s">
        <v>1636</v>
      </c>
      <c r="D106" s="15" t="s">
        <v>1815</v>
      </c>
      <c r="E106" s="28" t="s">
        <v>19</v>
      </c>
      <c r="F106" s="16"/>
      <c r="G106" s="16"/>
      <c r="H106" s="19" t="n">
        <f aca="false">LEN(IF(F106&lt;&gt;"",F106,D106))</f>
        <v>9</v>
      </c>
      <c r="I106" s="29" t="str">
        <f aca="false">IF(OR(H106&lt;2,H106&gt;120),"분량 확인","")</f>
        <v/>
      </c>
    </row>
    <row r="107" customFormat="false" ht="33.75" hidden="false" customHeight="true" outlineLevel="0" collapsed="false">
      <c r="A107" s="13" t="s">
        <v>1816</v>
      </c>
      <c r="B107" s="14" t="s">
        <v>655</v>
      </c>
      <c r="C107" s="15" t="s">
        <v>1639</v>
      </c>
      <c r="D107" s="15" t="s">
        <v>1817</v>
      </c>
      <c r="E107" s="28" t="s">
        <v>19</v>
      </c>
      <c r="F107" s="16"/>
      <c r="G107" s="16"/>
      <c r="H107" s="19" t="n">
        <f aca="false">LEN(IF(F107&lt;&gt;"",F107,D107))</f>
        <v>45</v>
      </c>
      <c r="I107" s="29" t="str">
        <f aca="false">IF(OR(H107&lt;2,H107&gt;120),"분량 확인","")</f>
        <v/>
      </c>
    </row>
    <row r="108" customFormat="false" ht="33.75" hidden="false" customHeight="true" outlineLevel="0" collapsed="false">
      <c r="A108" s="13" t="s">
        <v>1818</v>
      </c>
      <c r="B108" s="14" t="s">
        <v>655</v>
      </c>
      <c r="C108" s="15" t="s">
        <v>1642</v>
      </c>
      <c r="D108" s="14" t="s">
        <v>1631</v>
      </c>
      <c r="E108" s="28" t="s">
        <v>19</v>
      </c>
      <c r="F108" s="16"/>
      <c r="G108" s="16"/>
      <c r="H108" s="19" t="n">
        <f aca="false">LEN(IF(F108&lt;&gt;"",F108,D108))</f>
        <v>3</v>
      </c>
      <c r="I108" s="29" t="str">
        <f aca="false">IF(OR(H108&lt;2,H108&gt;120),"분량 확인","")</f>
        <v/>
      </c>
    </row>
    <row r="109" customFormat="false" ht="33.75" hidden="false" customHeight="true" outlineLevel="0" collapsed="false">
      <c r="A109" s="13" t="s">
        <v>1819</v>
      </c>
      <c r="B109" s="14" t="s">
        <v>655</v>
      </c>
      <c r="C109" s="15" t="s">
        <v>1645</v>
      </c>
      <c r="D109" s="15" t="s">
        <v>1820</v>
      </c>
      <c r="E109" s="28" t="s">
        <v>19</v>
      </c>
      <c r="F109" s="16"/>
      <c r="G109" s="16"/>
      <c r="H109" s="19" t="n">
        <f aca="false">LEN(IF(F109&lt;&gt;"",F109,D109))</f>
        <v>46</v>
      </c>
      <c r="I109" s="29" t="str">
        <f aca="false">IF(OR(H109&lt;2,H109&gt;120),"분량 확인","")</f>
        <v/>
      </c>
    </row>
    <row r="110" customFormat="false" ht="33.75" hidden="false" customHeight="true" outlineLevel="0" collapsed="false">
      <c r="A110" s="13" t="s">
        <v>1821</v>
      </c>
      <c r="B110" s="14" t="s">
        <v>668</v>
      </c>
      <c r="C110" s="15" t="s">
        <v>1613</v>
      </c>
      <c r="D110" s="15" t="s">
        <v>1822</v>
      </c>
      <c r="E110" s="28" t="s">
        <v>19</v>
      </c>
      <c r="F110" s="16"/>
      <c r="G110" s="16"/>
      <c r="H110" s="19" t="n">
        <f aca="false">LEN(IF(F110&lt;&gt;"",F110,D110))</f>
        <v>9</v>
      </c>
      <c r="I110" s="29" t="str">
        <f aca="false">IF(OR(H110&lt;2,H110&gt;120),"분량 확인","")</f>
        <v/>
      </c>
    </row>
    <row r="111" customFormat="false" ht="33.75" hidden="false" customHeight="true" outlineLevel="0" collapsed="false">
      <c r="A111" s="13" t="s">
        <v>1823</v>
      </c>
      <c r="B111" s="14" t="s">
        <v>668</v>
      </c>
      <c r="C111" s="15" t="s">
        <v>1616</v>
      </c>
      <c r="D111" s="14" t="s">
        <v>1824</v>
      </c>
      <c r="E111" s="28" t="s">
        <v>19</v>
      </c>
      <c r="F111" s="16"/>
      <c r="G111" s="16"/>
      <c r="H111" s="19" t="n">
        <f aca="false">LEN(IF(F111&lt;&gt;"",F111,D111))</f>
        <v>37</v>
      </c>
      <c r="I111" s="29" t="str">
        <f aca="false">IF(OR(H111&lt;2,H111&gt;120),"분량 확인","")</f>
        <v/>
      </c>
    </row>
    <row r="112" customFormat="false" ht="33.75" hidden="false" customHeight="true" outlineLevel="0" collapsed="false">
      <c r="A112" s="13" t="s">
        <v>1825</v>
      </c>
      <c r="B112" s="14" t="s">
        <v>668</v>
      </c>
      <c r="C112" s="15" t="s">
        <v>1619</v>
      </c>
      <c r="D112" s="14" t="s">
        <v>1826</v>
      </c>
      <c r="E112" s="28" t="s">
        <v>19</v>
      </c>
      <c r="F112" s="16"/>
      <c r="G112" s="16"/>
      <c r="H112" s="19" t="n">
        <f aca="false">LEN(IF(F112&lt;&gt;"",F112,D112))</f>
        <v>3</v>
      </c>
      <c r="I112" s="29" t="str">
        <f aca="false">IF(OR(H112&lt;2,H112&gt;120),"분량 확인","")</f>
        <v/>
      </c>
    </row>
    <row r="113" customFormat="false" ht="33.75" hidden="false" customHeight="true" outlineLevel="0" collapsed="false">
      <c r="A113" s="13" t="s">
        <v>1827</v>
      </c>
      <c r="B113" s="14" t="s">
        <v>668</v>
      </c>
      <c r="C113" s="15" t="s">
        <v>1622</v>
      </c>
      <c r="D113" s="15" t="s">
        <v>1828</v>
      </c>
      <c r="E113" s="28" t="s">
        <v>19</v>
      </c>
      <c r="F113" s="16"/>
      <c r="G113" s="16"/>
      <c r="H113" s="19" t="n">
        <f aca="false">LEN(IF(F113&lt;&gt;"",F113,D113))</f>
        <v>36</v>
      </c>
      <c r="I113" s="29" t="str">
        <f aca="false">IF(OR(H113&lt;2,H113&gt;120),"분량 확인","")</f>
        <v/>
      </c>
    </row>
    <row r="114" customFormat="false" ht="33.75" hidden="false" customHeight="true" outlineLevel="0" collapsed="false">
      <c r="A114" s="13" t="s">
        <v>1829</v>
      </c>
      <c r="B114" s="14" t="s">
        <v>668</v>
      </c>
      <c r="C114" s="15" t="s">
        <v>1625</v>
      </c>
      <c r="D114" s="15" t="s">
        <v>1830</v>
      </c>
      <c r="E114" s="28" t="s">
        <v>19</v>
      </c>
      <c r="F114" s="16"/>
      <c r="G114" s="16"/>
      <c r="H114" s="19" t="n">
        <f aca="false">LEN(IF(F114&lt;&gt;"",F114,D114))</f>
        <v>7</v>
      </c>
      <c r="I114" s="29" t="str">
        <f aca="false">IF(OR(H114&lt;2,H114&gt;120),"분량 확인","")</f>
        <v/>
      </c>
    </row>
    <row r="115" customFormat="false" ht="33.75" hidden="false" customHeight="true" outlineLevel="0" collapsed="false">
      <c r="A115" s="13" t="s">
        <v>1831</v>
      </c>
      <c r="B115" s="14" t="s">
        <v>668</v>
      </c>
      <c r="C115" s="15" t="s">
        <v>1627</v>
      </c>
      <c r="D115" s="14" t="s">
        <v>1832</v>
      </c>
      <c r="E115" s="28" t="s">
        <v>19</v>
      </c>
      <c r="F115" s="16"/>
      <c r="G115" s="16"/>
      <c r="H115" s="19" t="n">
        <f aca="false">LEN(IF(F115&lt;&gt;"",F115,D115))</f>
        <v>34</v>
      </c>
      <c r="I115" s="29" t="str">
        <f aca="false">IF(OR(H115&lt;2,H115&gt;120),"분량 확인","")</f>
        <v/>
      </c>
    </row>
    <row r="116" customFormat="false" ht="33.75" hidden="false" customHeight="true" outlineLevel="0" collapsed="false">
      <c r="A116" s="13" t="s">
        <v>1833</v>
      </c>
      <c r="B116" s="14" t="s">
        <v>668</v>
      </c>
      <c r="C116" s="15" t="s">
        <v>1630</v>
      </c>
      <c r="D116" s="14" t="s">
        <v>1631</v>
      </c>
      <c r="E116" s="28" t="s">
        <v>19</v>
      </c>
      <c r="F116" s="16"/>
      <c r="G116" s="16"/>
      <c r="H116" s="19" t="n">
        <f aca="false">LEN(IF(F116&lt;&gt;"",F116,D116))</f>
        <v>3</v>
      </c>
      <c r="I116" s="29" t="str">
        <f aca="false">IF(OR(H116&lt;2,H116&gt;120),"분량 확인","")</f>
        <v/>
      </c>
    </row>
    <row r="117" customFormat="false" ht="33.75" hidden="false" customHeight="true" outlineLevel="0" collapsed="false">
      <c r="A117" s="13" t="s">
        <v>1834</v>
      </c>
      <c r="B117" s="14" t="s">
        <v>668</v>
      </c>
      <c r="C117" s="15" t="s">
        <v>1633</v>
      </c>
      <c r="D117" s="15" t="s">
        <v>1835</v>
      </c>
      <c r="E117" s="28" t="s">
        <v>19</v>
      </c>
      <c r="F117" s="16"/>
      <c r="G117" s="16"/>
      <c r="H117" s="19" t="n">
        <f aca="false">LEN(IF(F117&lt;&gt;"",F117,D117))</f>
        <v>44</v>
      </c>
      <c r="I117" s="29" t="str">
        <f aca="false">IF(OR(H117&lt;2,H117&gt;120),"분량 확인","")</f>
        <v/>
      </c>
    </row>
    <row r="118" customFormat="false" ht="33.75" hidden="false" customHeight="true" outlineLevel="0" collapsed="false">
      <c r="A118" s="13" t="s">
        <v>1836</v>
      </c>
      <c r="B118" s="14" t="s">
        <v>668</v>
      </c>
      <c r="C118" s="15" t="s">
        <v>1723</v>
      </c>
      <c r="D118" s="15" t="s">
        <v>1837</v>
      </c>
      <c r="E118" s="28" t="s">
        <v>19</v>
      </c>
      <c r="F118" s="16"/>
      <c r="G118" s="16"/>
      <c r="H118" s="19" t="n">
        <f aca="false">LEN(IF(F118&lt;&gt;"",F118,D118))</f>
        <v>7</v>
      </c>
      <c r="I118" s="29" t="str">
        <f aca="false">IF(OR(H118&lt;2,H118&gt;120),"분량 확인","")</f>
        <v/>
      </c>
    </row>
    <row r="119" customFormat="false" ht="33.75" hidden="false" customHeight="true" outlineLevel="0" collapsed="false">
      <c r="A119" s="13" t="s">
        <v>1838</v>
      </c>
      <c r="B119" s="14" t="s">
        <v>668</v>
      </c>
      <c r="C119" s="15" t="s">
        <v>1726</v>
      </c>
      <c r="D119" s="15" t="s">
        <v>1839</v>
      </c>
      <c r="E119" s="28" t="s">
        <v>19</v>
      </c>
      <c r="F119" s="16"/>
      <c r="G119" s="16"/>
      <c r="H119" s="19" t="n">
        <f aca="false">LEN(IF(F119&lt;&gt;"",F119,D119))</f>
        <v>30</v>
      </c>
      <c r="I119" s="29" t="str">
        <f aca="false">IF(OR(H119&lt;2,H119&gt;120),"분량 확인","")</f>
        <v/>
      </c>
    </row>
    <row r="120" customFormat="false" ht="33.75" hidden="false" customHeight="true" outlineLevel="0" collapsed="false">
      <c r="A120" s="13" t="s">
        <v>1840</v>
      </c>
      <c r="B120" s="14" t="s">
        <v>668</v>
      </c>
      <c r="C120" s="15" t="s">
        <v>1729</v>
      </c>
      <c r="D120" s="14" t="s">
        <v>1643</v>
      </c>
      <c r="E120" s="28" t="s">
        <v>19</v>
      </c>
      <c r="F120" s="16"/>
      <c r="G120" s="16"/>
      <c r="H120" s="19" t="n">
        <f aca="false">LEN(IF(F120&lt;&gt;"",F120,D120))</f>
        <v>2</v>
      </c>
      <c r="I120" s="29" t="str">
        <f aca="false">IF(OR(H120&lt;2,H120&gt;120),"분량 확인","")</f>
        <v/>
      </c>
    </row>
    <row r="121" customFormat="false" ht="33.75" hidden="false" customHeight="true" outlineLevel="0" collapsed="false">
      <c r="A121" s="13" t="s">
        <v>522</v>
      </c>
      <c r="B121" s="14" t="s">
        <v>668</v>
      </c>
      <c r="C121" s="15" t="s">
        <v>1731</v>
      </c>
      <c r="D121" s="15" t="s">
        <v>525</v>
      </c>
      <c r="E121" s="28" t="s">
        <v>19</v>
      </c>
      <c r="F121" s="16"/>
      <c r="G121" s="17" t="s">
        <v>1841</v>
      </c>
      <c r="H121" s="19" t="n">
        <f aca="false">LEN(IF(F121&lt;&gt;"",F121,D121))</f>
        <v>49</v>
      </c>
      <c r="I121" s="29" t="str">
        <f aca="false">IF(OR(H121&lt;2,H121&gt;120),"분량 확인","")</f>
        <v/>
      </c>
    </row>
    <row r="122" customFormat="false" ht="33.75" hidden="false" customHeight="true" outlineLevel="0" collapsed="false">
      <c r="A122" s="13" t="s">
        <v>1842</v>
      </c>
      <c r="B122" s="14" t="s">
        <v>680</v>
      </c>
      <c r="C122" s="15" t="s">
        <v>1613</v>
      </c>
      <c r="D122" s="15" t="s">
        <v>1843</v>
      </c>
      <c r="E122" s="28" t="s">
        <v>19</v>
      </c>
      <c r="F122" s="16"/>
      <c r="G122" s="16"/>
      <c r="H122" s="19" t="n">
        <f aca="false">LEN(IF(F122&lt;&gt;"",F122,D122))</f>
        <v>11</v>
      </c>
      <c r="I122" s="29" t="str">
        <f aca="false">IF(OR(H122&lt;2,H122&gt;120),"분량 확인","")</f>
        <v/>
      </c>
    </row>
    <row r="123" customFormat="false" ht="33.75" hidden="false" customHeight="true" outlineLevel="0" collapsed="false">
      <c r="A123" s="13" t="s">
        <v>1844</v>
      </c>
      <c r="B123" s="14" t="s">
        <v>680</v>
      </c>
      <c r="C123" s="15" t="s">
        <v>1616</v>
      </c>
      <c r="D123" s="15" t="s">
        <v>1845</v>
      </c>
      <c r="E123" s="28" t="s">
        <v>19</v>
      </c>
      <c r="F123" s="16"/>
      <c r="G123" s="16"/>
      <c r="H123" s="19" t="n">
        <f aca="false">LEN(IF(F123&lt;&gt;"",F123,D123))</f>
        <v>36</v>
      </c>
      <c r="I123" s="29" t="str">
        <f aca="false">IF(OR(H123&lt;2,H123&gt;120),"분량 확인","")</f>
        <v/>
      </c>
    </row>
    <row r="124" customFormat="false" ht="33.75" hidden="false" customHeight="true" outlineLevel="0" collapsed="false">
      <c r="A124" s="13" t="s">
        <v>1846</v>
      </c>
      <c r="B124" s="14" t="s">
        <v>680</v>
      </c>
      <c r="C124" s="15" t="s">
        <v>1619</v>
      </c>
      <c r="D124" s="14" t="s">
        <v>1631</v>
      </c>
      <c r="E124" s="28" t="s">
        <v>19</v>
      </c>
      <c r="F124" s="16"/>
      <c r="G124" s="16"/>
      <c r="H124" s="19" t="n">
        <f aca="false">LEN(IF(F124&lt;&gt;"",F124,D124))</f>
        <v>3</v>
      </c>
      <c r="I124" s="29" t="str">
        <f aca="false">IF(OR(H124&lt;2,H124&gt;120),"분량 확인","")</f>
        <v/>
      </c>
    </row>
    <row r="125" customFormat="false" ht="33.75" hidden="false" customHeight="true" outlineLevel="0" collapsed="false">
      <c r="A125" s="13" t="s">
        <v>1847</v>
      </c>
      <c r="B125" s="14" t="s">
        <v>680</v>
      </c>
      <c r="C125" s="15" t="s">
        <v>1622</v>
      </c>
      <c r="D125" s="15" t="s">
        <v>1848</v>
      </c>
      <c r="E125" s="28" t="s">
        <v>19</v>
      </c>
      <c r="F125" s="16"/>
      <c r="G125" s="16"/>
      <c r="H125" s="19" t="n">
        <f aca="false">LEN(IF(F125&lt;&gt;"",F125,D125))</f>
        <v>47</v>
      </c>
      <c r="I125" s="29" t="str">
        <f aca="false">IF(OR(H125&lt;2,H125&gt;120),"분량 확인","")</f>
        <v/>
      </c>
    </row>
    <row r="126" customFormat="false" ht="33.75" hidden="false" customHeight="true" outlineLevel="0" collapsed="false">
      <c r="A126" s="13" t="s">
        <v>1849</v>
      </c>
      <c r="B126" s="14" t="s">
        <v>680</v>
      </c>
      <c r="C126" s="15" t="s">
        <v>1625</v>
      </c>
      <c r="D126" s="15" t="s">
        <v>1850</v>
      </c>
      <c r="E126" s="28" t="s">
        <v>19</v>
      </c>
      <c r="F126" s="16"/>
      <c r="G126" s="16"/>
      <c r="H126" s="19" t="n">
        <f aca="false">LEN(IF(F126&lt;&gt;"",F126,D126))</f>
        <v>17</v>
      </c>
      <c r="I126" s="29" t="str">
        <f aca="false">IF(OR(H126&lt;2,H126&gt;120),"분량 확인","")</f>
        <v/>
      </c>
    </row>
    <row r="127" customFormat="false" ht="33.75" hidden="false" customHeight="true" outlineLevel="0" collapsed="false">
      <c r="A127" s="13" t="s">
        <v>1851</v>
      </c>
      <c r="B127" s="14" t="s">
        <v>680</v>
      </c>
      <c r="C127" s="15" t="s">
        <v>1627</v>
      </c>
      <c r="D127" s="15" t="s">
        <v>1852</v>
      </c>
      <c r="E127" s="28" t="s">
        <v>19</v>
      </c>
      <c r="F127" s="16"/>
      <c r="G127" s="16"/>
      <c r="H127" s="19" t="n">
        <f aca="false">LEN(IF(F127&lt;&gt;"",F127,D127))</f>
        <v>40</v>
      </c>
      <c r="I127" s="29" t="str">
        <f aca="false">IF(OR(H127&lt;2,H127&gt;120),"분량 확인","")</f>
        <v/>
      </c>
    </row>
    <row r="128" customFormat="false" ht="33.75" hidden="false" customHeight="true" outlineLevel="0" collapsed="false">
      <c r="A128" s="13" t="s">
        <v>1853</v>
      </c>
      <c r="B128" s="14" t="s">
        <v>680</v>
      </c>
      <c r="C128" s="15" t="s">
        <v>1630</v>
      </c>
      <c r="D128" s="14" t="s">
        <v>1620</v>
      </c>
      <c r="E128" s="28" t="s">
        <v>19</v>
      </c>
      <c r="F128" s="16"/>
      <c r="G128" s="16"/>
      <c r="H128" s="19" t="n">
        <f aca="false">LEN(IF(F128&lt;&gt;"",F128,D128))</f>
        <v>2</v>
      </c>
      <c r="I128" s="29" t="str">
        <f aca="false">IF(OR(H128&lt;2,H128&gt;120),"분량 확인","")</f>
        <v/>
      </c>
    </row>
    <row r="129" customFormat="false" ht="33.75" hidden="false" customHeight="true" outlineLevel="0" collapsed="false">
      <c r="A129" s="13" t="s">
        <v>1854</v>
      </c>
      <c r="B129" s="14" t="s">
        <v>680</v>
      </c>
      <c r="C129" s="15" t="s">
        <v>1633</v>
      </c>
      <c r="D129" s="15" t="s">
        <v>1855</v>
      </c>
      <c r="E129" s="28" t="s">
        <v>19</v>
      </c>
      <c r="F129" s="16"/>
      <c r="G129" s="16"/>
      <c r="H129" s="19" t="n">
        <f aca="false">LEN(IF(F129&lt;&gt;"",F129,D129))</f>
        <v>55</v>
      </c>
      <c r="I129" s="29" t="str">
        <f aca="false">IF(OR(H129&lt;2,H129&gt;120),"분량 확인","")</f>
        <v/>
      </c>
    </row>
    <row r="130" customFormat="false" ht="33.75" hidden="false" customHeight="true" outlineLevel="0" collapsed="false">
      <c r="A130" s="13" t="s">
        <v>1856</v>
      </c>
      <c r="B130" s="14" t="s">
        <v>680</v>
      </c>
      <c r="C130" s="15" t="s">
        <v>1636</v>
      </c>
      <c r="D130" s="15" t="s">
        <v>1857</v>
      </c>
      <c r="E130" s="28" t="s">
        <v>19</v>
      </c>
      <c r="F130" s="16"/>
      <c r="G130" s="16"/>
      <c r="H130" s="19" t="n">
        <f aca="false">LEN(IF(F130&lt;&gt;"",F130,D130))</f>
        <v>9</v>
      </c>
      <c r="I130" s="29" t="str">
        <f aca="false">IF(OR(H130&lt;2,H130&gt;120),"분량 확인","")</f>
        <v/>
      </c>
    </row>
    <row r="131" customFormat="false" ht="33.75" hidden="false" customHeight="true" outlineLevel="0" collapsed="false">
      <c r="A131" s="13" t="s">
        <v>1858</v>
      </c>
      <c r="B131" s="14" t="s">
        <v>680</v>
      </c>
      <c r="C131" s="15" t="s">
        <v>1639</v>
      </c>
      <c r="D131" s="15" t="s">
        <v>1859</v>
      </c>
      <c r="E131" s="28" t="s">
        <v>19</v>
      </c>
      <c r="F131" s="16"/>
      <c r="G131" s="16"/>
      <c r="H131" s="19" t="n">
        <f aca="false">LEN(IF(F131&lt;&gt;"",F131,D131))</f>
        <v>35</v>
      </c>
      <c r="I131" s="29" t="str">
        <f aca="false">IF(OR(H131&lt;2,H131&gt;120),"분량 확인","")</f>
        <v/>
      </c>
    </row>
    <row r="132" customFormat="false" ht="33.75" hidden="false" customHeight="true" outlineLevel="0" collapsed="false">
      <c r="A132" s="13" t="s">
        <v>1860</v>
      </c>
      <c r="B132" s="14" t="s">
        <v>680</v>
      </c>
      <c r="C132" s="15" t="s">
        <v>1642</v>
      </c>
      <c r="D132" s="15" t="s">
        <v>1719</v>
      </c>
      <c r="E132" s="28" t="s">
        <v>19</v>
      </c>
      <c r="F132" s="16"/>
      <c r="G132" s="16"/>
      <c r="H132" s="19" t="n">
        <f aca="false">LEN(IF(F132&lt;&gt;"",F132,D132))</f>
        <v>4</v>
      </c>
      <c r="I132" s="29" t="str">
        <f aca="false">IF(OR(H132&lt;2,H132&gt;120),"분량 확인","")</f>
        <v/>
      </c>
    </row>
    <row r="133" customFormat="false" ht="33.75" hidden="false" customHeight="true" outlineLevel="0" collapsed="false">
      <c r="A133" s="13" t="s">
        <v>1861</v>
      </c>
      <c r="B133" s="14" t="s">
        <v>680</v>
      </c>
      <c r="C133" s="15" t="s">
        <v>1645</v>
      </c>
      <c r="D133" s="15" t="s">
        <v>1862</v>
      </c>
      <c r="E133" s="28" t="s">
        <v>19</v>
      </c>
      <c r="F133" s="16"/>
      <c r="G133" s="16"/>
      <c r="H133" s="19" t="n">
        <f aca="false">LEN(IF(F133&lt;&gt;"",F133,D133))</f>
        <v>47</v>
      </c>
      <c r="I133" s="29" t="str">
        <f aca="false">IF(OR(H133&lt;2,H133&gt;120),"분량 확인","")</f>
        <v/>
      </c>
    </row>
    <row r="134" customFormat="false" ht="33.75" hidden="false" customHeight="true" outlineLevel="0" collapsed="false">
      <c r="A134" s="13" t="s">
        <v>1863</v>
      </c>
      <c r="B134" s="14" t="s">
        <v>693</v>
      </c>
      <c r="C134" s="15" t="s">
        <v>1613</v>
      </c>
      <c r="D134" s="15" t="s">
        <v>1864</v>
      </c>
      <c r="E134" s="28" t="s">
        <v>19</v>
      </c>
      <c r="F134" s="16"/>
      <c r="G134" s="16"/>
      <c r="H134" s="19" t="n">
        <f aca="false">LEN(IF(F134&lt;&gt;"",F134,D134))</f>
        <v>10</v>
      </c>
      <c r="I134" s="29" t="str">
        <f aca="false">IF(OR(H134&lt;2,H134&gt;120),"분량 확인","")</f>
        <v/>
      </c>
    </row>
    <row r="135" customFormat="false" ht="33.75" hidden="false" customHeight="true" outlineLevel="0" collapsed="false">
      <c r="A135" s="13" t="s">
        <v>1865</v>
      </c>
      <c r="B135" s="14" t="s">
        <v>693</v>
      </c>
      <c r="C135" s="15" t="s">
        <v>1616</v>
      </c>
      <c r="D135" s="15" t="s">
        <v>1866</v>
      </c>
      <c r="E135" s="28" t="s">
        <v>19</v>
      </c>
      <c r="F135" s="16"/>
      <c r="G135" s="16"/>
      <c r="H135" s="19" t="n">
        <f aca="false">LEN(IF(F135&lt;&gt;"",F135,D135))</f>
        <v>41</v>
      </c>
      <c r="I135" s="29" t="str">
        <f aca="false">IF(OR(H135&lt;2,H135&gt;120),"분량 확인","")</f>
        <v/>
      </c>
    </row>
    <row r="136" customFormat="false" ht="33.75" hidden="false" customHeight="true" outlineLevel="0" collapsed="false">
      <c r="A136" s="13" t="s">
        <v>1867</v>
      </c>
      <c r="B136" s="14" t="s">
        <v>693</v>
      </c>
      <c r="C136" s="15" t="s">
        <v>1619</v>
      </c>
      <c r="D136" s="14" t="s">
        <v>1631</v>
      </c>
      <c r="E136" s="28" t="s">
        <v>19</v>
      </c>
      <c r="F136" s="16"/>
      <c r="G136" s="16"/>
      <c r="H136" s="19" t="n">
        <f aca="false">LEN(IF(F136&lt;&gt;"",F136,D136))</f>
        <v>3</v>
      </c>
      <c r="I136" s="29" t="str">
        <f aca="false">IF(OR(H136&lt;2,H136&gt;120),"분량 확인","")</f>
        <v/>
      </c>
    </row>
    <row r="137" customFormat="false" ht="48" hidden="false" customHeight="true" outlineLevel="0" collapsed="false">
      <c r="A137" s="13" t="s">
        <v>97</v>
      </c>
      <c r="B137" s="14" t="s">
        <v>693</v>
      </c>
      <c r="C137" s="15" t="s">
        <v>1622</v>
      </c>
      <c r="D137" s="15" t="s">
        <v>100</v>
      </c>
      <c r="E137" s="28" t="s">
        <v>19</v>
      </c>
      <c r="F137" s="16"/>
      <c r="G137" s="17" t="s">
        <v>1868</v>
      </c>
      <c r="H137" s="19" t="n">
        <f aca="false">LEN(IF(F137&lt;&gt;"",F137,D137))</f>
        <v>69</v>
      </c>
      <c r="I137" s="29" t="str">
        <f aca="false">IF(OR(H137&lt;2,H137&gt;120),"분량 확인","")</f>
        <v/>
      </c>
    </row>
    <row r="138" customFormat="false" ht="33.75" hidden="false" customHeight="true" outlineLevel="0" collapsed="false">
      <c r="A138" s="13" t="s">
        <v>1869</v>
      </c>
      <c r="B138" s="14" t="s">
        <v>693</v>
      </c>
      <c r="C138" s="15" t="s">
        <v>1625</v>
      </c>
      <c r="D138" s="15" t="s">
        <v>1870</v>
      </c>
      <c r="E138" s="28" t="s">
        <v>19</v>
      </c>
      <c r="F138" s="16"/>
      <c r="G138" s="16"/>
      <c r="H138" s="19" t="n">
        <f aca="false">LEN(IF(F138&lt;&gt;"",F138,D138))</f>
        <v>6</v>
      </c>
      <c r="I138" s="29" t="str">
        <f aca="false">IF(OR(H138&lt;2,H138&gt;120),"분량 확인","")</f>
        <v/>
      </c>
    </row>
    <row r="139" customFormat="false" ht="33.75" hidden="false" customHeight="true" outlineLevel="0" collapsed="false">
      <c r="A139" s="13" t="s">
        <v>1871</v>
      </c>
      <c r="B139" s="14" t="s">
        <v>693</v>
      </c>
      <c r="C139" s="15" t="s">
        <v>1627</v>
      </c>
      <c r="D139" s="15" t="s">
        <v>1872</v>
      </c>
      <c r="E139" s="28" t="s">
        <v>19</v>
      </c>
      <c r="F139" s="16"/>
      <c r="G139" s="16"/>
      <c r="H139" s="19" t="n">
        <f aca="false">LEN(IF(F139&lt;&gt;"",F139,D139))</f>
        <v>35</v>
      </c>
      <c r="I139" s="29" t="str">
        <f aca="false">IF(OR(H139&lt;2,H139&gt;120),"분량 확인","")</f>
        <v/>
      </c>
    </row>
    <row r="140" customFormat="false" ht="33.75" hidden="false" customHeight="true" outlineLevel="0" collapsed="false">
      <c r="A140" s="13" t="s">
        <v>1873</v>
      </c>
      <c r="B140" s="14" t="s">
        <v>693</v>
      </c>
      <c r="C140" s="15" t="s">
        <v>1630</v>
      </c>
      <c r="D140" s="14" t="s">
        <v>1620</v>
      </c>
      <c r="E140" s="28" t="s">
        <v>19</v>
      </c>
      <c r="F140" s="16"/>
      <c r="G140" s="16"/>
      <c r="H140" s="19" t="n">
        <f aca="false">LEN(IF(F140&lt;&gt;"",F140,D140))</f>
        <v>2</v>
      </c>
      <c r="I140" s="29" t="str">
        <f aca="false">IF(OR(H140&lt;2,H140&gt;120),"분량 확인","")</f>
        <v/>
      </c>
    </row>
    <row r="141" customFormat="false" ht="33.75" hidden="false" customHeight="true" outlineLevel="0" collapsed="false">
      <c r="A141" s="13" t="s">
        <v>1874</v>
      </c>
      <c r="B141" s="14" t="s">
        <v>693</v>
      </c>
      <c r="C141" s="15" t="s">
        <v>1633</v>
      </c>
      <c r="D141" s="15" t="s">
        <v>1875</v>
      </c>
      <c r="E141" s="28" t="s">
        <v>19</v>
      </c>
      <c r="F141" s="16"/>
      <c r="G141" s="16"/>
      <c r="H141" s="19" t="n">
        <f aca="false">LEN(IF(F141&lt;&gt;"",F141,D141))</f>
        <v>38</v>
      </c>
      <c r="I141" s="29" t="str">
        <f aca="false">IF(OR(H141&lt;2,H141&gt;120),"분량 확인","")</f>
        <v/>
      </c>
    </row>
    <row r="142" customFormat="false" ht="33.75" hidden="false" customHeight="true" outlineLevel="0" collapsed="false">
      <c r="A142" s="13" t="s">
        <v>1876</v>
      </c>
      <c r="B142" s="14" t="s">
        <v>693</v>
      </c>
      <c r="C142" s="15" t="s">
        <v>1636</v>
      </c>
      <c r="D142" s="14" t="s">
        <v>1877</v>
      </c>
      <c r="E142" s="28" t="s">
        <v>19</v>
      </c>
      <c r="F142" s="16"/>
      <c r="G142" s="16"/>
      <c r="H142" s="19" t="n">
        <f aca="false">LEN(IF(F142&lt;&gt;"",F142,D142))</f>
        <v>11</v>
      </c>
      <c r="I142" s="29" t="str">
        <f aca="false">IF(OR(H142&lt;2,H142&gt;120),"분량 확인","")</f>
        <v/>
      </c>
    </row>
    <row r="143" customFormat="false" ht="33.75" hidden="false" customHeight="true" outlineLevel="0" collapsed="false">
      <c r="A143" s="13" t="s">
        <v>289</v>
      </c>
      <c r="B143" s="14" t="s">
        <v>693</v>
      </c>
      <c r="C143" s="15" t="s">
        <v>1639</v>
      </c>
      <c r="D143" s="14" t="s">
        <v>292</v>
      </c>
      <c r="E143" s="28" t="s">
        <v>19</v>
      </c>
      <c r="F143" s="16"/>
      <c r="G143" s="17" t="s">
        <v>1878</v>
      </c>
      <c r="H143" s="19" t="n">
        <f aca="false">LEN(IF(F143&lt;&gt;"",F143,D143))</f>
        <v>43</v>
      </c>
      <c r="I143" s="29" t="str">
        <f aca="false">IF(OR(H143&lt;2,H143&gt;120),"분량 확인","")</f>
        <v/>
      </c>
    </row>
    <row r="144" customFormat="false" ht="33.75" hidden="false" customHeight="true" outlineLevel="0" collapsed="false">
      <c r="A144" s="13" t="s">
        <v>1879</v>
      </c>
      <c r="B144" s="14" t="s">
        <v>693</v>
      </c>
      <c r="C144" s="15" t="s">
        <v>1642</v>
      </c>
      <c r="D144" s="14" t="s">
        <v>1643</v>
      </c>
      <c r="E144" s="28" t="s">
        <v>19</v>
      </c>
      <c r="F144" s="16"/>
      <c r="G144" s="16"/>
      <c r="H144" s="19" t="n">
        <f aca="false">LEN(IF(F144&lt;&gt;"",F144,D144))</f>
        <v>2</v>
      </c>
      <c r="I144" s="29" t="str">
        <f aca="false">IF(OR(H144&lt;2,H144&gt;120),"분량 확인","")</f>
        <v/>
      </c>
    </row>
    <row r="145" customFormat="false" ht="48" hidden="false" customHeight="true" outlineLevel="0" collapsed="false">
      <c r="A145" s="13" t="s">
        <v>1880</v>
      </c>
      <c r="B145" s="14" t="s">
        <v>693</v>
      </c>
      <c r="C145" s="15" t="s">
        <v>1645</v>
      </c>
      <c r="D145" s="14" t="s">
        <v>1881</v>
      </c>
      <c r="E145" s="28" t="s">
        <v>19</v>
      </c>
      <c r="F145" s="16"/>
      <c r="G145" s="16"/>
      <c r="H145" s="19" t="n">
        <f aca="false">LEN(IF(F145&lt;&gt;"",F145,D145))</f>
        <v>59</v>
      </c>
      <c r="I145" s="29" t="str">
        <f aca="false">IF(OR(H145&lt;2,H145&gt;120),"분량 확인","")</f>
        <v/>
      </c>
    </row>
    <row r="146" customFormat="false" ht="33.75" hidden="false" customHeight="true" outlineLevel="0" collapsed="false">
      <c r="A146" s="13" t="s">
        <v>1882</v>
      </c>
      <c r="B146" s="14" t="s">
        <v>32</v>
      </c>
      <c r="C146" s="15" t="s">
        <v>1613</v>
      </c>
      <c r="D146" s="15" t="s">
        <v>1883</v>
      </c>
      <c r="E146" s="28" t="s">
        <v>19</v>
      </c>
      <c r="F146" s="16"/>
      <c r="G146" s="16"/>
      <c r="H146" s="19" t="n">
        <f aca="false">LEN(IF(F146&lt;&gt;"",F146,D146))</f>
        <v>13</v>
      </c>
      <c r="I146" s="29" t="str">
        <f aca="false">IF(OR(H146&lt;2,H146&gt;120),"분량 확인","")</f>
        <v/>
      </c>
    </row>
    <row r="147" customFormat="false" ht="33.75" hidden="false" customHeight="true" outlineLevel="0" collapsed="false">
      <c r="A147" s="13" t="s">
        <v>1884</v>
      </c>
      <c r="B147" s="14" t="s">
        <v>32</v>
      </c>
      <c r="C147" s="15" t="s">
        <v>1616</v>
      </c>
      <c r="D147" s="15" t="s">
        <v>1885</v>
      </c>
      <c r="E147" s="28" t="s">
        <v>19</v>
      </c>
      <c r="F147" s="16"/>
      <c r="G147" s="16"/>
      <c r="H147" s="19" t="n">
        <f aca="false">LEN(IF(F147&lt;&gt;"",F147,D147))</f>
        <v>42</v>
      </c>
      <c r="I147" s="29" t="str">
        <f aca="false">IF(OR(H147&lt;2,H147&gt;120),"분량 확인","")</f>
        <v/>
      </c>
    </row>
    <row r="148" customFormat="false" ht="33.75" hidden="false" customHeight="true" outlineLevel="0" collapsed="false">
      <c r="A148" s="13" t="s">
        <v>1886</v>
      </c>
      <c r="B148" s="14" t="s">
        <v>32</v>
      </c>
      <c r="C148" s="15" t="s">
        <v>1619</v>
      </c>
      <c r="D148" s="14" t="s">
        <v>1887</v>
      </c>
      <c r="E148" s="28" t="s">
        <v>19</v>
      </c>
      <c r="F148" s="16"/>
      <c r="G148" s="16"/>
      <c r="H148" s="19" t="n">
        <f aca="false">LEN(IF(F148&lt;&gt;"",F148,D148))</f>
        <v>3</v>
      </c>
      <c r="I148" s="29" t="str">
        <f aca="false">IF(OR(H148&lt;2,H148&gt;120),"분량 확인","")</f>
        <v/>
      </c>
    </row>
    <row r="149" customFormat="false" ht="33.75" hidden="false" customHeight="true" outlineLevel="0" collapsed="false">
      <c r="A149" s="13" t="s">
        <v>1888</v>
      </c>
      <c r="B149" s="14" t="s">
        <v>32</v>
      </c>
      <c r="C149" s="15" t="s">
        <v>1622</v>
      </c>
      <c r="D149" s="15" t="s">
        <v>1889</v>
      </c>
      <c r="E149" s="28" t="s">
        <v>19</v>
      </c>
      <c r="F149" s="16"/>
      <c r="G149" s="16"/>
      <c r="H149" s="19" t="n">
        <f aca="false">LEN(IF(F149&lt;&gt;"",F149,D149))</f>
        <v>44</v>
      </c>
      <c r="I149" s="29" t="str">
        <f aca="false">IF(OR(H149&lt;2,H149&gt;120),"분량 확인","")</f>
        <v/>
      </c>
    </row>
    <row r="150" customFormat="false" ht="33.75" hidden="false" customHeight="true" outlineLevel="0" collapsed="false">
      <c r="A150" s="13" t="s">
        <v>1890</v>
      </c>
      <c r="B150" s="14" t="s">
        <v>32</v>
      </c>
      <c r="C150" s="15" t="s">
        <v>1625</v>
      </c>
      <c r="D150" s="14" t="s">
        <v>1891</v>
      </c>
      <c r="E150" s="28" t="s">
        <v>19</v>
      </c>
      <c r="F150" s="16"/>
      <c r="G150" s="16"/>
      <c r="H150" s="19" t="n">
        <f aca="false">LEN(IF(F150&lt;&gt;"",F150,D150))</f>
        <v>9</v>
      </c>
      <c r="I150" s="29" t="str">
        <f aca="false">IF(OR(H150&lt;2,H150&gt;120),"분량 확인","")</f>
        <v/>
      </c>
    </row>
    <row r="151" customFormat="false" ht="33.75" hidden="false" customHeight="true" outlineLevel="0" collapsed="false">
      <c r="A151" s="13" t="s">
        <v>1892</v>
      </c>
      <c r="B151" s="14" t="s">
        <v>32</v>
      </c>
      <c r="C151" s="15" t="s">
        <v>1627</v>
      </c>
      <c r="D151" s="14" t="s">
        <v>1893</v>
      </c>
      <c r="E151" s="28" t="s">
        <v>19</v>
      </c>
      <c r="F151" s="16"/>
      <c r="G151" s="16"/>
      <c r="H151" s="19" t="n">
        <f aca="false">LEN(IF(F151&lt;&gt;"",F151,D151))</f>
        <v>37</v>
      </c>
      <c r="I151" s="29" t="str">
        <f aca="false">IF(OR(H151&lt;2,H151&gt;120),"분량 확인","")</f>
        <v/>
      </c>
    </row>
    <row r="152" customFormat="false" ht="33.75" hidden="false" customHeight="true" outlineLevel="0" collapsed="false">
      <c r="A152" s="13" t="s">
        <v>1894</v>
      </c>
      <c r="B152" s="14" t="s">
        <v>32</v>
      </c>
      <c r="C152" s="15" t="s">
        <v>1630</v>
      </c>
      <c r="D152" s="14" t="s">
        <v>1620</v>
      </c>
      <c r="E152" s="28" t="s">
        <v>19</v>
      </c>
      <c r="F152" s="16"/>
      <c r="G152" s="16"/>
      <c r="H152" s="19" t="n">
        <f aca="false">LEN(IF(F152&lt;&gt;"",F152,D152))</f>
        <v>2</v>
      </c>
      <c r="I152" s="29" t="str">
        <f aca="false">IF(OR(H152&lt;2,H152&gt;120),"분량 확인","")</f>
        <v/>
      </c>
    </row>
    <row r="153" customFormat="false" ht="33.75" hidden="false" customHeight="true" outlineLevel="0" collapsed="false">
      <c r="A153" s="13" t="s">
        <v>1895</v>
      </c>
      <c r="B153" s="14" t="s">
        <v>32</v>
      </c>
      <c r="C153" s="15" t="s">
        <v>1633</v>
      </c>
      <c r="D153" s="15" t="s">
        <v>1896</v>
      </c>
      <c r="E153" s="28" t="s">
        <v>19</v>
      </c>
      <c r="F153" s="16"/>
      <c r="G153" s="16"/>
      <c r="H153" s="19" t="n">
        <f aca="false">LEN(IF(F153&lt;&gt;"",F153,D153))</f>
        <v>45</v>
      </c>
      <c r="I153" s="29" t="str">
        <f aca="false">IF(OR(H153&lt;2,H153&gt;120),"분량 확인","")</f>
        <v/>
      </c>
    </row>
    <row r="154" customFormat="false" ht="33.75" hidden="false" customHeight="true" outlineLevel="0" collapsed="false">
      <c r="A154" s="13" t="s">
        <v>1897</v>
      </c>
      <c r="B154" s="14" t="s">
        <v>32</v>
      </c>
      <c r="C154" s="15" t="s">
        <v>1636</v>
      </c>
      <c r="D154" s="14" t="s">
        <v>1898</v>
      </c>
      <c r="E154" s="28" t="s">
        <v>19</v>
      </c>
      <c r="F154" s="16"/>
      <c r="G154" s="16"/>
      <c r="H154" s="19" t="n">
        <f aca="false">LEN(IF(F154&lt;&gt;"",F154,D154))</f>
        <v>9</v>
      </c>
      <c r="I154" s="29" t="str">
        <f aca="false">IF(OR(H154&lt;2,H154&gt;120),"분량 확인","")</f>
        <v/>
      </c>
    </row>
    <row r="155" customFormat="false" ht="33.75" hidden="false" customHeight="true" outlineLevel="0" collapsed="false">
      <c r="A155" s="13" t="s">
        <v>1899</v>
      </c>
      <c r="B155" s="14" t="s">
        <v>32</v>
      </c>
      <c r="C155" s="15" t="s">
        <v>1639</v>
      </c>
      <c r="D155" s="15" t="s">
        <v>1900</v>
      </c>
      <c r="E155" s="28" t="s">
        <v>19</v>
      </c>
      <c r="F155" s="16"/>
      <c r="G155" s="16"/>
      <c r="H155" s="19" t="n">
        <f aca="false">LEN(IF(F155&lt;&gt;"",F155,D155))</f>
        <v>26</v>
      </c>
      <c r="I155" s="29" t="str">
        <f aca="false">IF(OR(H155&lt;2,H155&gt;120),"분량 확인","")</f>
        <v/>
      </c>
    </row>
    <row r="156" customFormat="false" ht="33.75" hidden="false" customHeight="true" outlineLevel="0" collapsed="false">
      <c r="A156" s="13" t="s">
        <v>1901</v>
      </c>
      <c r="B156" s="14" t="s">
        <v>32</v>
      </c>
      <c r="C156" s="15" t="s">
        <v>1642</v>
      </c>
      <c r="D156" s="15" t="s">
        <v>1902</v>
      </c>
      <c r="E156" s="28" t="s">
        <v>19</v>
      </c>
      <c r="F156" s="16"/>
      <c r="G156" s="16"/>
      <c r="H156" s="19" t="n">
        <f aca="false">LEN(IF(F156&lt;&gt;"",F156,D156))</f>
        <v>4</v>
      </c>
      <c r="I156" s="29" t="str">
        <f aca="false">IF(OR(H156&lt;2,H156&gt;120),"분량 확인","")</f>
        <v/>
      </c>
    </row>
    <row r="157" customFormat="false" ht="33.75" hidden="false" customHeight="true" outlineLevel="0" collapsed="false">
      <c r="A157" s="13" t="s">
        <v>1903</v>
      </c>
      <c r="B157" s="14" t="s">
        <v>32</v>
      </c>
      <c r="C157" s="15" t="s">
        <v>1645</v>
      </c>
      <c r="D157" s="15" t="s">
        <v>1904</v>
      </c>
      <c r="E157" s="28" t="s">
        <v>19</v>
      </c>
      <c r="F157" s="16"/>
      <c r="G157" s="16"/>
      <c r="H157" s="19" t="n">
        <f aca="false">LEN(IF(F157&lt;&gt;"",F157,D157))</f>
        <v>54</v>
      </c>
      <c r="I157" s="29" t="str">
        <f aca="false">IF(OR(H157&lt;2,H157&gt;120),"분량 확인","")</f>
        <v/>
      </c>
    </row>
    <row r="158" customFormat="false" ht="33.75" hidden="false" customHeight="true" outlineLevel="0" collapsed="false">
      <c r="A158" s="13" t="s">
        <v>1905</v>
      </c>
      <c r="B158" s="14" t="s">
        <v>716</v>
      </c>
      <c r="C158" s="15" t="s">
        <v>1613</v>
      </c>
      <c r="D158" s="15" t="s">
        <v>1906</v>
      </c>
      <c r="E158" s="28" t="s">
        <v>19</v>
      </c>
      <c r="F158" s="16"/>
      <c r="G158" s="16"/>
      <c r="H158" s="19" t="n">
        <f aca="false">LEN(IF(F158&lt;&gt;"",F158,D158))</f>
        <v>10</v>
      </c>
      <c r="I158" s="29" t="str">
        <f aca="false">IF(OR(H158&lt;2,H158&gt;120),"분량 확인","")</f>
        <v/>
      </c>
    </row>
    <row r="159" customFormat="false" ht="33.75" hidden="false" customHeight="true" outlineLevel="0" collapsed="false">
      <c r="A159" s="13" t="s">
        <v>1907</v>
      </c>
      <c r="B159" s="14" t="s">
        <v>716</v>
      </c>
      <c r="C159" s="15" t="s">
        <v>1616</v>
      </c>
      <c r="D159" s="15" t="s">
        <v>1908</v>
      </c>
      <c r="E159" s="28" t="s">
        <v>19</v>
      </c>
      <c r="F159" s="16"/>
      <c r="G159" s="16"/>
      <c r="H159" s="19" t="n">
        <f aca="false">LEN(IF(F159&lt;&gt;"",F159,D159))</f>
        <v>58</v>
      </c>
      <c r="I159" s="29" t="str">
        <f aca="false">IF(OR(H159&lt;2,H159&gt;120),"분량 확인","")</f>
        <v/>
      </c>
    </row>
    <row r="160" customFormat="false" ht="33.75" hidden="false" customHeight="true" outlineLevel="0" collapsed="false">
      <c r="A160" s="13" t="s">
        <v>1909</v>
      </c>
      <c r="B160" s="14" t="s">
        <v>716</v>
      </c>
      <c r="C160" s="15" t="s">
        <v>1619</v>
      </c>
      <c r="D160" s="14" t="s">
        <v>1887</v>
      </c>
      <c r="E160" s="28" t="s">
        <v>19</v>
      </c>
      <c r="F160" s="16"/>
      <c r="G160" s="16"/>
      <c r="H160" s="19" t="n">
        <f aca="false">LEN(IF(F160&lt;&gt;"",F160,D160))</f>
        <v>3</v>
      </c>
      <c r="I160" s="29" t="str">
        <f aca="false">IF(OR(H160&lt;2,H160&gt;120),"분량 확인","")</f>
        <v/>
      </c>
    </row>
    <row r="161" customFormat="false" ht="33.75" hidden="false" customHeight="true" outlineLevel="0" collapsed="false">
      <c r="A161" s="13" t="s">
        <v>1910</v>
      </c>
      <c r="B161" s="14" t="s">
        <v>716</v>
      </c>
      <c r="C161" s="15" t="s">
        <v>1622</v>
      </c>
      <c r="D161" s="15" t="s">
        <v>1911</v>
      </c>
      <c r="E161" s="28" t="s">
        <v>19</v>
      </c>
      <c r="F161" s="16"/>
      <c r="G161" s="16"/>
      <c r="H161" s="19" t="n">
        <f aca="false">LEN(IF(F161&lt;&gt;"",F161,D161))</f>
        <v>47</v>
      </c>
      <c r="I161" s="29" t="str">
        <f aca="false">IF(OR(H161&lt;2,H161&gt;120),"분량 확인","")</f>
        <v/>
      </c>
    </row>
    <row r="162" customFormat="false" ht="33.75" hidden="false" customHeight="true" outlineLevel="0" collapsed="false">
      <c r="A162" s="13" t="s">
        <v>1912</v>
      </c>
      <c r="B162" s="14" t="s">
        <v>716</v>
      </c>
      <c r="C162" s="15" t="s">
        <v>1625</v>
      </c>
      <c r="D162" s="15" t="s">
        <v>1913</v>
      </c>
      <c r="E162" s="28" t="s">
        <v>19</v>
      </c>
      <c r="F162" s="16"/>
      <c r="G162" s="16"/>
      <c r="H162" s="19" t="n">
        <f aca="false">LEN(IF(F162&lt;&gt;"",F162,D162))</f>
        <v>7</v>
      </c>
      <c r="I162" s="29" t="str">
        <f aca="false">IF(OR(H162&lt;2,H162&gt;120),"분량 확인","")</f>
        <v/>
      </c>
    </row>
    <row r="163" customFormat="false" ht="33.75" hidden="false" customHeight="true" outlineLevel="0" collapsed="false">
      <c r="A163" s="13" t="s">
        <v>1914</v>
      </c>
      <c r="B163" s="14" t="s">
        <v>716</v>
      </c>
      <c r="C163" s="15" t="s">
        <v>1627</v>
      </c>
      <c r="D163" s="14" t="s">
        <v>1915</v>
      </c>
      <c r="E163" s="28" t="s">
        <v>19</v>
      </c>
      <c r="F163" s="16"/>
      <c r="G163" s="16"/>
      <c r="H163" s="19" t="n">
        <f aca="false">LEN(IF(F163&lt;&gt;"",F163,D163))</f>
        <v>32</v>
      </c>
      <c r="I163" s="29" t="str">
        <f aca="false">IF(OR(H163&lt;2,H163&gt;120),"분량 확인","")</f>
        <v/>
      </c>
    </row>
    <row r="164" customFormat="false" ht="33.75" hidden="false" customHeight="true" outlineLevel="0" collapsed="false">
      <c r="A164" s="13" t="s">
        <v>1916</v>
      </c>
      <c r="B164" s="14" t="s">
        <v>716</v>
      </c>
      <c r="C164" s="15" t="s">
        <v>1630</v>
      </c>
      <c r="D164" s="14" t="s">
        <v>1631</v>
      </c>
      <c r="E164" s="28" t="s">
        <v>19</v>
      </c>
      <c r="F164" s="16"/>
      <c r="G164" s="16"/>
      <c r="H164" s="19" t="n">
        <f aca="false">LEN(IF(F164&lt;&gt;"",F164,D164))</f>
        <v>3</v>
      </c>
      <c r="I164" s="29" t="str">
        <f aca="false">IF(OR(H164&lt;2,H164&gt;120),"분량 확인","")</f>
        <v/>
      </c>
    </row>
    <row r="165" customFormat="false" ht="33.75" hidden="false" customHeight="true" outlineLevel="0" collapsed="false">
      <c r="A165" s="13" t="s">
        <v>1917</v>
      </c>
      <c r="B165" s="14" t="s">
        <v>716</v>
      </c>
      <c r="C165" s="15" t="s">
        <v>1633</v>
      </c>
      <c r="D165" s="15" t="s">
        <v>1918</v>
      </c>
      <c r="E165" s="28" t="s">
        <v>19</v>
      </c>
      <c r="F165" s="16"/>
      <c r="G165" s="16"/>
      <c r="H165" s="19" t="n">
        <f aca="false">LEN(IF(F165&lt;&gt;"",F165,D165))</f>
        <v>50</v>
      </c>
      <c r="I165" s="29" t="str">
        <f aca="false">IF(OR(H165&lt;2,H165&gt;120),"분량 확인","")</f>
        <v/>
      </c>
    </row>
    <row r="166" customFormat="false" ht="33.75" hidden="false" customHeight="true" outlineLevel="0" collapsed="false">
      <c r="A166" s="13" t="s">
        <v>303</v>
      </c>
      <c r="B166" s="14" t="s">
        <v>716</v>
      </c>
      <c r="C166" s="15" t="s">
        <v>1636</v>
      </c>
      <c r="D166" s="14" t="s">
        <v>306</v>
      </c>
      <c r="E166" s="28" t="s">
        <v>19</v>
      </c>
      <c r="F166" s="16"/>
      <c r="G166" s="17" t="s">
        <v>1919</v>
      </c>
      <c r="H166" s="19" t="n">
        <f aca="false">LEN(IF(F166&lt;&gt;"",F166,D166))</f>
        <v>9</v>
      </c>
      <c r="I166" s="29" t="str">
        <f aca="false">IF(OR(H166&lt;2,H166&gt;120),"분량 확인","")</f>
        <v/>
      </c>
    </row>
    <row r="167" customFormat="false" ht="33.75" hidden="false" customHeight="true" outlineLevel="0" collapsed="false">
      <c r="A167" s="13" t="s">
        <v>1920</v>
      </c>
      <c r="B167" s="14" t="s">
        <v>716</v>
      </c>
      <c r="C167" s="15" t="s">
        <v>1639</v>
      </c>
      <c r="D167" s="14" t="s">
        <v>1921</v>
      </c>
      <c r="E167" s="28" t="s">
        <v>19</v>
      </c>
      <c r="F167" s="16"/>
      <c r="G167" s="16"/>
      <c r="H167" s="19" t="n">
        <f aca="false">LEN(IF(F167&lt;&gt;"",F167,D167))</f>
        <v>31</v>
      </c>
      <c r="I167" s="29" t="str">
        <f aca="false">IF(OR(H167&lt;2,H167&gt;120),"분량 확인","")</f>
        <v/>
      </c>
    </row>
    <row r="168" customFormat="false" ht="33.75" hidden="false" customHeight="true" outlineLevel="0" collapsed="false">
      <c r="A168" s="13" t="s">
        <v>1922</v>
      </c>
      <c r="B168" s="14" t="s">
        <v>716</v>
      </c>
      <c r="C168" s="15" t="s">
        <v>1642</v>
      </c>
      <c r="D168" s="14" t="s">
        <v>1631</v>
      </c>
      <c r="E168" s="28" t="s">
        <v>19</v>
      </c>
      <c r="F168" s="16"/>
      <c r="G168" s="16"/>
      <c r="H168" s="19" t="n">
        <f aca="false">LEN(IF(F168&lt;&gt;"",F168,D168))</f>
        <v>3</v>
      </c>
      <c r="I168" s="29" t="str">
        <f aca="false">IF(OR(H168&lt;2,H168&gt;120),"분량 확인","")</f>
        <v/>
      </c>
    </row>
    <row r="169" customFormat="false" ht="33.75" hidden="false" customHeight="true" outlineLevel="0" collapsed="false">
      <c r="A169" s="13" t="s">
        <v>1923</v>
      </c>
      <c r="B169" s="14" t="s">
        <v>716</v>
      </c>
      <c r="C169" s="15" t="s">
        <v>1645</v>
      </c>
      <c r="D169" s="15" t="s">
        <v>1924</v>
      </c>
      <c r="E169" s="28" t="s">
        <v>19</v>
      </c>
      <c r="F169" s="16"/>
      <c r="G169" s="16"/>
      <c r="H169" s="19" t="n">
        <f aca="false">LEN(IF(F169&lt;&gt;"",F169,D169))</f>
        <v>48</v>
      </c>
      <c r="I169" s="29" t="str">
        <f aca="false">IF(OR(H169&lt;2,H169&gt;120),"분량 확인","")</f>
        <v/>
      </c>
    </row>
    <row r="170" customFormat="false" ht="33.75" hidden="false" customHeight="true" outlineLevel="0" collapsed="false">
      <c r="A170" s="13" t="s">
        <v>1925</v>
      </c>
      <c r="B170" s="14" t="s">
        <v>727</v>
      </c>
      <c r="C170" s="15" t="s">
        <v>1613</v>
      </c>
      <c r="D170" s="15" t="s">
        <v>1926</v>
      </c>
      <c r="E170" s="28" t="s">
        <v>19</v>
      </c>
      <c r="F170" s="16"/>
      <c r="G170" s="16"/>
      <c r="H170" s="19" t="n">
        <f aca="false">LEN(IF(F170&lt;&gt;"",F170,D170))</f>
        <v>11</v>
      </c>
      <c r="I170" s="29" t="str">
        <f aca="false">IF(OR(H170&lt;2,H170&gt;120),"분량 확인","")</f>
        <v/>
      </c>
    </row>
    <row r="171" customFormat="false" ht="33.75" hidden="false" customHeight="true" outlineLevel="0" collapsed="false">
      <c r="A171" s="13" t="s">
        <v>1927</v>
      </c>
      <c r="B171" s="14" t="s">
        <v>727</v>
      </c>
      <c r="C171" s="15" t="s">
        <v>1616</v>
      </c>
      <c r="D171" s="15" t="s">
        <v>1928</v>
      </c>
      <c r="E171" s="28" t="s">
        <v>19</v>
      </c>
      <c r="F171" s="16"/>
      <c r="G171" s="16"/>
      <c r="H171" s="19" t="n">
        <f aca="false">LEN(IF(F171&lt;&gt;"",F171,D171))</f>
        <v>48</v>
      </c>
      <c r="I171" s="29" t="str">
        <f aca="false">IF(OR(H171&lt;2,H171&gt;120),"분량 확인","")</f>
        <v/>
      </c>
    </row>
    <row r="172" customFormat="false" ht="33.75" hidden="false" customHeight="true" outlineLevel="0" collapsed="false">
      <c r="A172" s="13" t="s">
        <v>1929</v>
      </c>
      <c r="B172" s="14" t="s">
        <v>727</v>
      </c>
      <c r="C172" s="15" t="s">
        <v>1619</v>
      </c>
      <c r="D172" s="15" t="s">
        <v>1719</v>
      </c>
      <c r="E172" s="28" t="s">
        <v>19</v>
      </c>
      <c r="F172" s="16"/>
      <c r="G172" s="16"/>
      <c r="H172" s="19" t="n">
        <f aca="false">LEN(IF(F172&lt;&gt;"",F172,D172))</f>
        <v>4</v>
      </c>
      <c r="I172" s="29" t="str">
        <f aca="false">IF(OR(H172&lt;2,H172&gt;120),"분량 확인","")</f>
        <v/>
      </c>
    </row>
    <row r="173" customFormat="false" ht="33.75" hidden="false" customHeight="true" outlineLevel="0" collapsed="false">
      <c r="A173" s="13" t="s">
        <v>1930</v>
      </c>
      <c r="B173" s="14" t="s">
        <v>727</v>
      </c>
      <c r="C173" s="15" t="s">
        <v>1622</v>
      </c>
      <c r="D173" s="15" t="s">
        <v>1931</v>
      </c>
      <c r="E173" s="28" t="s">
        <v>19</v>
      </c>
      <c r="F173" s="16"/>
      <c r="G173" s="16"/>
      <c r="H173" s="19" t="n">
        <f aca="false">LEN(IF(F173&lt;&gt;"",F173,D173))</f>
        <v>50</v>
      </c>
      <c r="I173" s="29" t="str">
        <f aca="false">IF(OR(H173&lt;2,H173&gt;120),"분량 확인","")</f>
        <v/>
      </c>
    </row>
    <row r="174" customFormat="false" ht="33.75" hidden="false" customHeight="true" outlineLevel="0" collapsed="false">
      <c r="A174" s="13" t="s">
        <v>1932</v>
      </c>
      <c r="B174" s="14" t="s">
        <v>727</v>
      </c>
      <c r="C174" s="15" t="s">
        <v>1625</v>
      </c>
      <c r="D174" s="14" t="s">
        <v>1933</v>
      </c>
      <c r="E174" s="28" t="s">
        <v>19</v>
      </c>
      <c r="F174" s="16"/>
      <c r="G174" s="16"/>
      <c r="H174" s="19" t="n">
        <f aca="false">LEN(IF(F174&lt;&gt;"",F174,D174))</f>
        <v>9</v>
      </c>
      <c r="I174" s="29" t="str">
        <f aca="false">IF(OR(H174&lt;2,H174&gt;120),"분량 확인","")</f>
        <v/>
      </c>
    </row>
    <row r="175" customFormat="false" ht="33.75" hidden="false" customHeight="true" outlineLevel="0" collapsed="false">
      <c r="A175" s="13" t="s">
        <v>1934</v>
      </c>
      <c r="B175" s="14" t="s">
        <v>727</v>
      </c>
      <c r="C175" s="15" t="s">
        <v>1627</v>
      </c>
      <c r="D175" s="15" t="s">
        <v>1935</v>
      </c>
      <c r="E175" s="28" t="s">
        <v>19</v>
      </c>
      <c r="F175" s="16"/>
      <c r="G175" s="16"/>
      <c r="H175" s="19" t="n">
        <f aca="false">LEN(IF(F175&lt;&gt;"",F175,D175))</f>
        <v>34</v>
      </c>
      <c r="I175" s="29" t="str">
        <f aca="false">IF(OR(H175&lt;2,H175&gt;120),"분량 확인","")</f>
        <v/>
      </c>
    </row>
    <row r="176" customFormat="false" ht="33.75" hidden="false" customHeight="true" outlineLevel="0" collapsed="false">
      <c r="A176" s="13" t="s">
        <v>1936</v>
      </c>
      <c r="B176" s="14" t="s">
        <v>727</v>
      </c>
      <c r="C176" s="15" t="s">
        <v>1630</v>
      </c>
      <c r="D176" s="14" t="s">
        <v>1643</v>
      </c>
      <c r="E176" s="28" t="s">
        <v>19</v>
      </c>
      <c r="F176" s="16"/>
      <c r="G176" s="16"/>
      <c r="H176" s="19" t="n">
        <f aca="false">LEN(IF(F176&lt;&gt;"",F176,D176))</f>
        <v>2</v>
      </c>
      <c r="I176" s="29" t="str">
        <f aca="false">IF(OR(H176&lt;2,H176&gt;120),"분량 확인","")</f>
        <v/>
      </c>
    </row>
    <row r="177" customFormat="false" ht="33.75" hidden="false" customHeight="true" outlineLevel="0" collapsed="false">
      <c r="A177" s="13" t="s">
        <v>1937</v>
      </c>
      <c r="B177" s="14" t="s">
        <v>727</v>
      </c>
      <c r="C177" s="15" t="s">
        <v>1633</v>
      </c>
      <c r="D177" s="15" t="s">
        <v>1938</v>
      </c>
      <c r="E177" s="28" t="s">
        <v>19</v>
      </c>
      <c r="F177" s="16"/>
      <c r="G177" s="16"/>
      <c r="H177" s="19" t="n">
        <f aca="false">LEN(IF(F177&lt;&gt;"",F177,D177))</f>
        <v>43</v>
      </c>
      <c r="I177" s="29" t="str">
        <f aca="false">IF(OR(H177&lt;2,H177&gt;120),"분량 확인","")</f>
        <v/>
      </c>
    </row>
    <row r="178" customFormat="false" ht="33.75" hidden="false" customHeight="true" outlineLevel="0" collapsed="false">
      <c r="A178" s="13" t="s">
        <v>1939</v>
      </c>
      <c r="B178" s="14" t="s">
        <v>727</v>
      </c>
      <c r="C178" s="15" t="s">
        <v>1636</v>
      </c>
      <c r="D178" s="15" t="s">
        <v>1940</v>
      </c>
      <c r="E178" s="28" t="s">
        <v>19</v>
      </c>
      <c r="F178" s="16"/>
      <c r="G178" s="16"/>
      <c r="H178" s="19" t="n">
        <f aca="false">LEN(IF(F178&lt;&gt;"",F178,D178))</f>
        <v>8</v>
      </c>
      <c r="I178" s="29" t="str">
        <f aca="false">IF(OR(H178&lt;2,H178&gt;120),"분량 확인","")</f>
        <v/>
      </c>
    </row>
    <row r="179" customFormat="false" ht="33.75" hidden="false" customHeight="true" outlineLevel="0" collapsed="false">
      <c r="A179" s="13" t="s">
        <v>1941</v>
      </c>
      <c r="B179" s="14" t="s">
        <v>727</v>
      </c>
      <c r="C179" s="15" t="s">
        <v>1639</v>
      </c>
      <c r="D179" s="15" t="s">
        <v>1942</v>
      </c>
      <c r="E179" s="28" t="s">
        <v>19</v>
      </c>
      <c r="F179" s="16"/>
      <c r="G179" s="16"/>
      <c r="H179" s="19" t="n">
        <f aca="false">LEN(IF(F179&lt;&gt;"",F179,D179))</f>
        <v>32</v>
      </c>
      <c r="I179" s="29" t="str">
        <f aca="false">IF(OR(H179&lt;2,H179&gt;120),"분량 확인","")</f>
        <v/>
      </c>
    </row>
    <row r="180" customFormat="false" ht="33.75" hidden="false" customHeight="true" outlineLevel="0" collapsed="false">
      <c r="A180" s="13" t="s">
        <v>1943</v>
      </c>
      <c r="B180" s="14" t="s">
        <v>727</v>
      </c>
      <c r="C180" s="15" t="s">
        <v>1642</v>
      </c>
      <c r="D180" s="14" t="s">
        <v>1631</v>
      </c>
      <c r="E180" s="28" t="s">
        <v>19</v>
      </c>
      <c r="F180" s="16"/>
      <c r="G180" s="16"/>
      <c r="H180" s="19" t="n">
        <f aca="false">LEN(IF(F180&lt;&gt;"",F180,D180))</f>
        <v>3</v>
      </c>
      <c r="I180" s="29" t="str">
        <f aca="false">IF(OR(H180&lt;2,H180&gt;120),"분량 확인","")</f>
        <v/>
      </c>
    </row>
    <row r="181" customFormat="false" ht="33.75" hidden="false" customHeight="true" outlineLevel="0" collapsed="false">
      <c r="A181" s="13" t="s">
        <v>1944</v>
      </c>
      <c r="B181" s="14" t="s">
        <v>727</v>
      </c>
      <c r="C181" s="15" t="s">
        <v>1645</v>
      </c>
      <c r="D181" s="15" t="s">
        <v>1945</v>
      </c>
      <c r="E181" s="28" t="s">
        <v>19</v>
      </c>
      <c r="F181" s="16"/>
      <c r="G181" s="16"/>
      <c r="H181" s="19" t="n">
        <f aca="false">LEN(IF(F181&lt;&gt;"",F181,D181))</f>
        <v>46</v>
      </c>
      <c r="I181" s="29" t="str">
        <f aca="false">IF(OR(H181&lt;2,H181&gt;120),"분량 확인","")</f>
        <v/>
      </c>
    </row>
    <row r="182" customFormat="false" ht="33.75" hidden="false" customHeight="true" outlineLevel="0" collapsed="false">
      <c r="A182" s="13" t="s">
        <v>1946</v>
      </c>
      <c r="B182" s="14" t="s">
        <v>739</v>
      </c>
      <c r="C182" s="15" t="s">
        <v>1613</v>
      </c>
      <c r="D182" s="15" t="s">
        <v>1947</v>
      </c>
      <c r="E182" s="28" t="s">
        <v>19</v>
      </c>
      <c r="F182" s="16"/>
      <c r="G182" s="16"/>
      <c r="H182" s="19" t="n">
        <f aca="false">LEN(IF(F182&lt;&gt;"",F182,D182))</f>
        <v>11</v>
      </c>
      <c r="I182" s="29" t="str">
        <f aca="false">IF(OR(H182&lt;2,H182&gt;120),"분량 확인","")</f>
        <v/>
      </c>
    </row>
    <row r="183" customFormat="false" ht="33.75" hidden="false" customHeight="true" outlineLevel="0" collapsed="false">
      <c r="A183" s="13" t="s">
        <v>329</v>
      </c>
      <c r="B183" s="14" t="s">
        <v>739</v>
      </c>
      <c r="C183" s="15" t="s">
        <v>1616</v>
      </c>
      <c r="D183" s="15" t="s">
        <v>332</v>
      </c>
      <c r="E183" s="28" t="s">
        <v>19</v>
      </c>
      <c r="F183" s="16"/>
      <c r="G183" s="17" t="s">
        <v>1948</v>
      </c>
      <c r="H183" s="19" t="n">
        <f aca="false">LEN(IF(F183&lt;&gt;"",F183,D183))</f>
        <v>47</v>
      </c>
      <c r="I183" s="29" t="str">
        <f aca="false">IF(OR(H183&lt;2,H183&gt;120),"분량 확인","")</f>
        <v/>
      </c>
    </row>
    <row r="184" customFormat="false" ht="33.75" hidden="false" customHeight="true" outlineLevel="0" collapsed="false">
      <c r="A184" s="13" t="s">
        <v>1949</v>
      </c>
      <c r="B184" s="14" t="s">
        <v>739</v>
      </c>
      <c r="C184" s="15" t="s">
        <v>1619</v>
      </c>
      <c r="D184" s="15" t="s">
        <v>1950</v>
      </c>
      <c r="E184" s="28" t="s">
        <v>19</v>
      </c>
      <c r="F184" s="16"/>
      <c r="G184" s="16"/>
      <c r="H184" s="19" t="n">
        <f aca="false">LEN(IF(F184&lt;&gt;"",F184,D184))</f>
        <v>5</v>
      </c>
      <c r="I184" s="29" t="str">
        <f aca="false">IF(OR(H184&lt;2,H184&gt;120),"분량 확인","")</f>
        <v/>
      </c>
    </row>
    <row r="185" customFormat="false" ht="33.75" hidden="false" customHeight="true" outlineLevel="0" collapsed="false">
      <c r="A185" s="13" t="s">
        <v>1951</v>
      </c>
      <c r="B185" s="14" t="s">
        <v>739</v>
      </c>
      <c r="C185" s="15" t="s">
        <v>1622</v>
      </c>
      <c r="D185" s="15" t="s">
        <v>1952</v>
      </c>
      <c r="E185" s="28" t="s">
        <v>19</v>
      </c>
      <c r="F185" s="16"/>
      <c r="G185" s="16"/>
      <c r="H185" s="19" t="n">
        <f aca="false">LEN(IF(F185&lt;&gt;"",F185,D185))</f>
        <v>54</v>
      </c>
      <c r="I185" s="29" t="str">
        <f aca="false">IF(OR(H185&lt;2,H185&gt;120),"분량 확인","")</f>
        <v/>
      </c>
    </row>
    <row r="186" customFormat="false" ht="33.75" hidden="false" customHeight="true" outlineLevel="0" collapsed="false">
      <c r="A186" s="13" t="s">
        <v>1953</v>
      </c>
      <c r="B186" s="14" t="s">
        <v>739</v>
      </c>
      <c r="C186" s="15" t="s">
        <v>1625</v>
      </c>
      <c r="D186" s="14" t="s">
        <v>1954</v>
      </c>
      <c r="E186" s="28" t="s">
        <v>19</v>
      </c>
      <c r="F186" s="16"/>
      <c r="G186" s="16"/>
      <c r="H186" s="19" t="n">
        <f aca="false">LEN(IF(F186&lt;&gt;"",F186,D186))</f>
        <v>6</v>
      </c>
      <c r="I186" s="29" t="str">
        <f aca="false">IF(OR(H186&lt;2,H186&gt;120),"분량 확인","")</f>
        <v/>
      </c>
    </row>
    <row r="187" customFormat="false" ht="33.75" hidden="false" customHeight="true" outlineLevel="0" collapsed="false">
      <c r="A187" s="13" t="s">
        <v>1955</v>
      </c>
      <c r="B187" s="14" t="s">
        <v>739</v>
      </c>
      <c r="C187" s="15" t="s">
        <v>1627</v>
      </c>
      <c r="D187" s="15" t="s">
        <v>1956</v>
      </c>
      <c r="E187" s="28" t="s">
        <v>19</v>
      </c>
      <c r="F187" s="16"/>
      <c r="G187" s="16"/>
      <c r="H187" s="19" t="n">
        <f aca="false">LEN(IF(F187&lt;&gt;"",F187,D187))</f>
        <v>53</v>
      </c>
      <c r="I187" s="29" t="str">
        <f aca="false">IF(OR(H187&lt;2,H187&gt;120),"분량 확인","")</f>
        <v/>
      </c>
    </row>
    <row r="188" customFormat="false" ht="33.75" hidden="false" customHeight="true" outlineLevel="0" collapsed="false">
      <c r="A188" s="13" t="s">
        <v>1957</v>
      </c>
      <c r="B188" s="14" t="s">
        <v>739</v>
      </c>
      <c r="C188" s="15" t="s">
        <v>1630</v>
      </c>
      <c r="D188" s="14" t="s">
        <v>1958</v>
      </c>
      <c r="E188" s="28" t="s">
        <v>19</v>
      </c>
      <c r="F188" s="16"/>
      <c r="G188" s="16"/>
      <c r="H188" s="19" t="n">
        <f aca="false">LEN(IF(F188&lt;&gt;"",F188,D188))</f>
        <v>3</v>
      </c>
      <c r="I188" s="29" t="str">
        <f aca="false">IF(OR(H188&lt;2,H188&gt;120),"분량 확인","")</f>
        <v/>
      </c>
    </row>
    <row r="189" customFormat="false" ht="48" hidden="false" customHeight="true" outlineLevel="0" collapsed="false">
      <c r="A189" s="13" t="s">
        <v>333</v>
      </c>
      <c r="B189" s="14" t="s">
        <v>739</v>
      </c>
      <c r="C189" s="15" t="s">
        <v>1633</v>
      </c>
      <c r="D189" s="15" t="s">
        <v>336</v>
      </c>
      <c r="E189" s="28" t="s">
        <v>19</v>
      </c>
      <c r="F189" s="16"/>
      <c r="G189" s="17" t="s">
        <v>1959</v>
      </c>
      <c r="H189" s="19" t="n">
        <f aca="false">LEN(IF(F189&lt;&gt;"",F189,D189))</f>
        <v>60</v>
      </c>
      <c r="I189" s="29" t="str">
        <f aca="false">IF(OR(H189&lt;2,H189&gt;120),"분량 확인","")</f>
        <v/>
      </c>
    </row>
    <row r="190" customFormat="false" ht="33.75" hidden="false" customHeight="true" outlineLevel="0" collapsed="false">
      <c r="A190" s="13" t="s">
        <v>1960</v>
      </c>
      <c r="B190" s="14" t="s">
        <v>739</v>
      </c>
      <c r="C190" s="15" t="s">
        <v>1636</v>
      </c>
      <c r="D190" s="15" t="s">
        <v>1961</v>
      </c>
      <c r="E190" s="28" t="s">
        <v>19</v>
      </c>
      <c r="F190" s="16"/>
      <c r="G190" s="16"/>
      <c r="H190" s="19" t="n">
        <f aca="false">LEN(IF(F190&lt;&gt;"",F190,D190))</f>
        <v>9</v>
      </c>
      <c r="I190" s="29" t="str">
        <f aca="false">IF(OR(H190&lt;2,H190&gt;120),"분량 확인","")</f>
        <v/>
      </c>
    </row>
    <row r="191" customFormat="false" ht="33.75" hidden="false" customHeight="true" outlineLevel="0" collapsed="false">
      <c r="A191" s="13" t="s">
        <v>1962</v>
      </c>
      <c r="B191" s="14" t="s">
        <v>739</v>
      </c>
      <c r="C191" s="15" t="s">
        <v>1639</v>
      </c>
      <c r="D191" s="15" t="s">
        <v>1963</v>
      </c>
      <c r="E191" s="28" t="s">
        <v>19</v>
      </c>
      <c r="F191" s="16"/>
      <c r="G191" s="16"/>
      <c r="H191" s="19" t="n">
        <f aca="false">LEN(IF(F191&lt;&gt;"",F191,D191))</f>
        <v>32</v>
      </c>
      <c r="I191" s="29" t="str">
        <f aca="false">IF(OR(H191&lt;2,H191&gt;120),"분량 확인","")</f>
        <v/>
      </c>
    </row>
    <row r="192" customFormat="false" ht="33.75" hidden="false" customHeight="true" outlineLevel="0" collapsed="false">
      <c r="A192" s="13" t="s">
        <v>1964</v>
      </c>
      <c r="B192" s="14" t="s">
        <v>739</v>
      </c>
      <c r="C192" s="15" t="s">
        <v>1642</v>
      </c>
      <c r="D192" s="14" t="s">
        <v>1620</v>
      </c>
      <c r="E192" s="28" t="s">
        <v>19</v>
      </c>
      <c r="F192" s="16"/>
      <c r="G192" s="16"/>
      <c r="H192" s="19" t="n">
        <f aca="false">LEN(IF(F192&lt;&gt;"",F192,D192))</f>
        <v>2</v>
      </c>
      <c r="I192" s="29" t="str">
        <f aca="false">IF(OR(H192&lt;2,H192&gt;120),"분량 확인","")</f>
        <v/>
      </c>
    </row>
    <row r="193" customFormat="false" ht="33.75" hidden="false" customHeight="true" outlineLevel="0" collapsed="false">
      <c r="A193" s="13" t="s">
        <v>1965</v>
      </c>
      <c r="B193" s="14" t="s">
        <v>739</v>
      </c>
      <c r="C193" s="15" t="s">
        <v>1645</v>
      </c>
      <c r="D193" s="15" t="s">
        <v>1966</v>
      </c>
      <c r="E193" s="28" t="s">
        <v>19</v>
      </c>
      <c r="F193" s="16"/>
      <c r="G193" s="16"/>
      <c r="H193" s="19" t="n">
        <f aca="false">LEN(IF(F193&lt;&gt;"",F193,D193))</f>
        <v>49</v>
      </c>
      <c r="I193" s="29" t="str">
        <f aca="false">IF(OR(H193&lt;2,H193&gt;120),"분량 확인","")</f>
        <v/>
      </c>
    </row>
    <row r="194" customFormat="false" ht="33.75" hidden="false" customHeight="true" outlineLevel="0" collapsed="false">
      <c r="A194" s="13" t="s">
        <v>1967</v>
      </c>
      <c r="B194" s="14" t="s">
        <v>752</v>
      </c>
      <c r="C194" s="15" t="s">
        <v>1613</v>
      </c>
      <c r="D194" s="15" t="s">
        <v>1968</v>
      </c>
      <c r="E194" s="28" t="s">
        <v>19</v>
      </c>
      <c r="F194" s="16"/>
      <c r="G194" s="16"/>
      <c r="H194" s="19" t="n">
        <f aca="false">LEN(IF(F194&lt;&gt;"",F194,D194))</f>
        <v>10</v>
      </c>
      <c r="I194" s="29" t="str">
        <f aca="false">IF(OR(H194&lt;2,H194&gt;120),"분량 확인","")</f>
        <v/>
      </c>
    </row>
    <row r="195" customFormat="false" ht="33.75" hidden="false" customHeight="true" outlineLevel="0" collapsed="false">
      <c r="A195" s="13" t="s">
        <v>1969</v>
      </c>
      <c r="B195" s="14" t="s">
        <v>752</v>
      </c>
      <c r="C195" s="15" t="s">
        <v>1616</v>
      </c>
      <c r="D195" s="15" t="s">
        <v>1970</v>
      </c>
      <c r="E195" s="28" t="s">
        <v>19</v>
      </c>
      <c r="F195" s="16"/>
      <c r="G195" s="16"/>
      <c r="H195" s="19" t="n">
        <f aca="false">LEN(IF(F195&lt;&gt;"",F195,D195))</f>
        <v>28</v>
      </c>
      <c r="I195" s="29" t="str">
        <f aca="false">IF(OR(H195&lt;2,H195&gt;120),"분량 확인","")</f>
        <v/>
      </c>
    </row>
    <row r="196" customFormat="false" ht="33.75" hidden="false" customHeight="true" outlineLevel="0" collapsed="false">
      <c r="A196" s="13" t="s">
        <v>1971</v>
      </c>
      <c r="B196" s="14" t="s">
        <v>752</v>
      </c>
      <c r="C196" s="15" t="s">
        <v>1619</v>
      </c>
      <c r="D196" s="14" t="s">
        <v>1620</v>
      </c>
      <c r="E196" s="28" t="s">
        <v>19</v>
      </c>
      <c r="F196" s="16"/>
      <c r="G196" s="16"/>
      <c r="H196" s="19" t="n">
        <f aca="false">LEN(IF(F196&lt;&gt;"",F196,D196))</f>
        <v>2</v>
      </c>
      <c r="I196" s="29" t="str">
        <f aca="false">IF(OR(H196&lt;2,H196&gt;120),"분량 확인","")</f>
        <v/>
      </c>
    </row>
    <row r="197" customFormat="false" ht="33.75" hidden="false" customHeight="true" outlineLevel="0" collapsed="false">
      <c r="A197" s="13" t="s">
        <v>352</v>
      </c>
      <c r="B197" s="14" t="s">
        <v>752</v>
      </c>
      <c r="C197" s="15" t="s">
        <v>1622</v>
      </c>
      <c r="D197" s="15" t="s">
        <v>355</v>
      </c>
      <c r="E197" s="28" t="s">
        <v>19</v>
      </c>
      <c r="F197" s="16"/>
      <c r="G197" s="17" t="s">
        <v>1972</v>
      </c>
      <c r="H197" s="19" t="n">
        <f aca="false">LEN(IF(F197&lt;&gt;"",F197,D197))</f>
        <v>57</v>
      </c>
      <c r="I197" s="29" t="str">
        <f aca="false">IF(OR(H197&lt;2,H197&gt;120),"분량 확인","")</f>
        <v/>
      </c>
    </row>
    <row r="198" customFormat="false" ht="33.75" hidden="false" customHeight="true" outlineLevel="0" collapsed="false">
      <c r="A198" s="13" t="s">
        <v>1973</v>
      </c>
      <c r="B198" s="14" t="s">
        <v>752</v>
      </c>
      <c r="C198" s="15" t="s">
        <v>1625</v>
      </c>
      <c r="D198" s="15" t="s">
        <v>1974</v>
      </c>
      <c r="E198" s="28" t="s">
        <v>19</v>
      </c>
      <c r="F198" s="16"/>
      <c r="G198" s="16"/>
      <c r="H198" s="19" t="n">
        <f aca="false">LEN(IF(F198&lt;&gt;"",F198,D198))</f>
        <v>7</v>
      </c>
      <c r="I198" s="29" t="str">
        <f aca="false">IF(OR(H198&lt;2,H198&gt;120),"분량 확인","")</f>
        <v/>
      </c>
    </row>
    <row r="199" customFormat="false" ht="33.75" hidden="false" customHeight="true" outlineLevel="0" collapsed="false">
      <c r="A199" s="13" t="s">
        <v>1975</v>
      </c>
      <c r="B199" s="14" t="s">
        <v>752</v>
      </c>
      <c r="C199" s="15" t="s">
        <v>1627</v>
      </c>
      <c r="D199" s="15" t="s">
        <v>1976</v>
      </c>
      <c r="E199" s="28" t="s">
        <v>19</v>
      </c>
      <c r="F199" s="16"/>
      <c r="G199" s="16"/>
      <c r="H199" s="19" t="n">
        <f aca="false">LEN(IF(F199&lt;&gt;"",F199,D199))</f>
        <v>33</v>
      </c>
      <c r="I199" s="29" t="str">
        <f aca="false">IF(OR(H199&lt;2,H199&gt;120),"분량 확인","")</f>
        <v/>
      </c>
    </row>
    <row r="200" customFormat="false" ht="33.75" hidden="false" customHeight="true" outlineLevel="0" collapsed="false">
      <c r="A200" s="13" t="s">
        <v>1977</v>
      </c>
      <c r="B200" s="14" t="s">
        <v>752</v>
      </c>
      <c r="C200" s="15" t="s">
        <v>1630</v>
      </c>
      <c r="D200" s="14" t="s">
        <v>1631</v>
      </c>
      <c r="E200" s="28" t="s">
        <v>19</v>
      </c>
      <c r="F200" s="16"/>
      <c r="G200" s="16"/>
      <c r="H200" s="19" t="n">
        <f aca="false">LEN(IF(F200&lt;&gt;"",F200,D200))</f>
        <v>3</v>
      </c>
      <c r="I200" s="29" t="str">
        <f aca="false">IF(OR(H200&lt;2,H200&gt;120),"분량 확인","")</f>
        <v/>
      </c>
    </row>
    <row r="201" customFormat="false" ht="33.75" hidden="false" customHeight="true" outlineLevel="0" collapsed="false">
      <c r="A201" s="13" t="s">
        <v>1978</v>
      </c>
      <c r="B201" s="14" t="s">
        <v>752</v>
      </c>
      <c r="C201" s="15" t="s">
        <v>1633</v>
      </c>
      <c r="D201" s="15" t="s">
        <v>1979</v>
      </c>
      <c r="E201" s="28" t="s">
        <v>19</v>
      </c>
      <c r="F201" s="16"/>
      <c r="G201" s="16"/>
      <c r="H201" s="19" t="n">
        <f aca="false">LEN(IF(F201&lt;&gt;"",F201,D201))</f>
        <v>51</v>
      </c>
      <c r="I201" s="29" t="str">
        <f aca="false">IF(OR(H201&lt;2,H201&gt;120),"분량 확인","")</f>
        <v/>
      </c>
    </row>
    <row r="202" customFormat="false" ht="33.75" hidden="false" customHeight="true" outlineLevel="0" collapsed="false">
      <c r="A202" s="13" t="s">
        <v>1980</v>
      </c>
      <c r="B202" s="14" t="s">
        <v>752</v>
      </c>
      <c r="C202" s="15" t="s">
        <v>1636</v>
      </c>
      <c r="D202" s="15" t="s">
        <v>1981</v>
      </c>
      <c r="E202" s="28" t="s">
        <v>19</v>
      </c>
      <c r="F202" s="16"/>
      <c r="G202" s="16"/>
      <c r="H202" s="19" t="n">
        <f aca="false">LEN(IF(F202&lt;&gt;"",F202,D202))</f>
        <v>8</v>
      </c>
      <c r="I202" s="29" t="str">
        <f aca="false">IF(OR(H202&lt;2,H202&gt;120),"분량 확인","")</f>
        <v/>
      </c>
    </row>
    <row r="203" customFormat="false" ht="33.75" hidden="false" customHeight="true" outlineLevel="0" collapsed="false">
      <c r="A203" s="13" t="s">
        <v>1982</v>
      </c>
      <c r="B203" s="14" t="s">
        <v>752</v>
      </c>
      <c r="C203" s="15" t="s">
        <v>1639</v>
      </c>
      <c r="D203" s="15" t="s">
        <v>1983</v>
      </c>
      <c r="E203" s="28" t="s">
        <v>19</v>
      </c>
      <c r="F203" s="16"/>
      <c r="G203" s="16"/>
      <c r="H203" s="19" t="n">
        <f aca="false">LEN(IF(F203&lt;&gt;"",F203,D203))</f>
        <v>43</v>
      </c>
      <c r="I203" s="29" t="str">
        <f aca="false">IF(OR(H203&lt;2,H203&gt;120),"분량 확인","")</f>
        <v/>
      </c>
    </row>
    <row r="204" customFormat="false" ht="33.75" hidden="false" customHeight="true" outlineLevel="0" collapsed="false">
      <c r="A204" s="13" t="s">
        <v>1984</v>
      </c>
      <c r="B204" s="14" t="s">
        <v>752</v>
      </c>
      <c r="C204" s="15" t="s">
        <v>1642</v>
      </c>
      <c r="D204" s="14" t="s">
        <v>1643</v>
      </c>
      <c r="E204" s="28" t="s">
        <v>19</v>
      </c>
      <c r="F204" s="16"/>
      <c r="G204" s="16"/>
      <c r="H204" s="19" t="n">
        <f aca="false">LEN(IF(F204&lt;&gt;"",F204,D204))</f>
        <v>2</v>
      </c>
      <c r="I204" s="29" t="str">
        <f aca="false">IF(OR(H204&lt;2,H204&gt;120),"분량 확인","")</f>
        <v/>
      </c>
    </row>
    <row r="205" customFormat="false" ht="33.75" hidden="false" customHeight="true" outlineLevel="0" collapsed="false">
      <c r="A205" s="13" t="s">
        <v>1985</v>
      </c>
      <c r="B205" s="14" t="s">
        <v>752</v>
      </c>
      <c r="C205" s="15" t="s">
        <v>1645</v>
      </c>
      <c r="D205" s="15" t="s">
        <v>1986</v>
      </c>
      <c r="E205" s="28" t="s">
        <v>19</v>
      </c>
      <c r="F205" s="16"/>
      <c r="G205" s="16"/>
      <c r="H205" s="19" t="n">
        <f aca="false">LEN(IF(F205&lt;&gt;"",F205,D205))</f>
        <v>43</v>
      </c>
      <c r="I205" s="29" t="str">
        <f aca="false">IF(OR(H205&lt;2,H205&gt;120),"분량 확인","")</f>
        <v/>
      </c>
    </row>
    <row r="206" customFormat="false" ht="33.75" hidden="false" customHeight="true" outlineLevel="0" collapsed="false">
      <c r="A206" s="13" t="s">
        <v>1987</v>
      </c>
      <c r="B206" s="14" t="s">
        <v>764</v>
      </c>
      <c r="C206" s="15" t="s">
        <v>1613</v>
      </c>
      <c r="D206" s="15" t="s">
        <v>1988</v>
      </c>
      <c r="E206" s="28" t="s">
        <v>19</v>
      </c>
      <c r="F206" s="16"/>
      <c r="G206" s="16"/>
      <c r="H206" s="19" t="n">
        <f aca="false">LEN(IF(F206&lt;&gt;"",F206,D206))</f>
        <v>9</v>
      </c>
      <c r="I206" s="29" t="str">
        <f aca="false">IF(OR(H206&lt;2,H206&gt;120),"분량 확인","")</f>
        <v/>
      </c>
    </row>
    <row r="207" customFormat="false" ht="33.75" hidden="false" customHeight="true" outlineLevel="0" collapsed="false">
      <c r="A207" s="13" t="s">
        <v>1989</v>
      </c>
      <c r="B207" s="14" t="s">
        <v>764</v>
      </c>
      <c r="C207" s="15" t="s">
        <v>1616</v>
      </c>
      <c r="D207" s="15" t="s">
        <v>1990</v>
      </c>
      <c r="E207" s="28" t="s">
        <v>19</v>
      </c>
      <c r="F207" s="16"/>
      <c r="G207" s="16"/>
      <c r="H207" s="19" t="n">
        <f aca="false">LEN(IF(F207&lt;&gt;"",F207,D207))</f>
        <v>37</v>
      </c>
      <c r="I207" s="29" t="str">
        <f aca="false">IF(OR(H207&lt;2,H207&gt;120),"분량 확인","")</f>
        <v/>
      </c>
    </row>
    <row r="208" customFormat="false" ht="33.75" hidden="false" customHeight="true" outlineLevel="0" collapsed="false">
      <c r="A208" s="13" t="s">
        <v>1991</v>
      </c>
      <c r="B208" s="14" t="s">
        <v>764</v>
      </c>
      <c r="C208" s="15" t="s">
        <v>1619</v>
      </c>
      <c r="D208" s="14" t="s">
        <v>1620</v>
      </c>
      <c r="E208" s="28" t="s">
        <v>19</v>
      </c>
      <c r="F208" s="16"/>
      <c r="G208" s="16"/>
      <c r="H208" s="19" t="n">
        <f aca="false">LEN(IF(F208&lt;&gt;"",F208,D208))</f>
        <v>2</v>
      </c>
      <c r="I208" s="29" t="str">
        <f aca="false">IF(OR(H208&lt;2,H208&gt;120),"분량 확인","")</f>
        <v/>
      </c>
    </row>
    <row r="209" customFormat="false" ht="33.75" hidden="false" customHeight="true" outlineLevel="0" collapsed="false">
      <c r="A209" s="13" t="s">
        <v>1992</v>
      </c>
      <c r="B209" s="14" t="s">
        <v>764</v>
      </c>
      <c r="C209" s="15" t="s">
        <v>1622</v>
      </c>
      <c r="D209" s="15" t="s">
        <v>1993</v>
      </c>
      <c r="E209" s="28" t="s">
        <v>19</v>
      </c>
      <c r="F209" s="16"/>
      <c r="G209" s="16"/>
      <c r="H209" s="19" t="n">
        <f aca="false">LEN(IF(F209&lt;&gt;"",F209,D209))</f>
        <v>46</v>
      </c>
      <c r="I209" s="29" t="str">
        <f aca="false">IF(OR(H209&lt;2,H209&gt;120),"분량 확인","")</f>
        <v/>
      </c>
    </row>
    <row r="210" customFormat="false" ht="33.75" hidden="false" customHeight="true" outlineLevel="0" collapsed="false">
      <c r="A210" s="13" t="s">
        <v>1994</v>
      </c>
      <c r="B210" s="14" t="s">
        <v>764</v>
      </c>
      <c r="C210" s="15" t="s">
        <v>1625</v>
      </c>
      <c r="D210" s="15" t="s">
        <v>1995</v>
      </c>
      <c r="E210" s="28" t="s">
        <v>19</v>
      </c>
      <c r="F210" s="16"/>
      <c r="G210" s="16"/>
      <c r="H210" s="19" t="n">
        <f aca="false">LEN(IF(F210&lt;&gt;"",F210,D210))</f>
        <v>5</v>
      </c>
      <c r="I210" s="29" t="str">
        <f aca="false">IF(OR(H210&lt;2,H210&gt;120),"분량 확인","")</f>
        <v/>
      </c>
    </row>
    <row r="211" customFormat="false" ht="33.75" hidden="false" customHeight="true" outlineLevel="0" collapsed="false">
      <c r="A211" s="13" t="s">
        <v>1996</v>
      </c>
      <c r="B211" s="14" t="s">
        <v>764</v>
      </c>
      <c r="C211" s="15" t="s">
        <v>1627</v>
      </c>
      <c r="D211" s="15" t="s">
        <v>1997</v>
      </c>
      <c r="E211" s="28" t="s">
        <v>19</v>
      </c>
      <c r="F211" s="16"/>
      <c r="G211" s="16"/>
      <c r="H211" s="19" t="n">
        <f aca="false">LEN(IF(F211&lt;&gt;"",F211,D211))</f>
        <v>37</v>
      </c>
      <c r="I211" s="29" t="str">
        <f aca="false">IF(OR(H211&lt;2,H211&gt;120),"분량 확인","")</f>
        <v/>
      </c>
    </row>
    <row r="212" customFormat="false" ht="33.75" hidden="false" customHeight="true" outlineLevel="0" collapsed="false">
      <c r="A212" s="13" t="s">
        <v>1998</v>
      </c>
      <c r="B212" s="14" t="s">
        <v>764</v>
      </c>
      <c r="C212" s="15" t="s">
        <v>1630</v>
      </c>
      <c r="D212" s="14" t="s">
        <v>1631</v>
      </c>
      <c r="E212" s="28" t="s">
        <v>19</v>
      </c>
      <c r="F212" s="16"/>
      <c r="G212" s="16"/>
      <c r="H212" s="19" t="n">
        <f aca="false">LEN(IF(F212&lt;&gt;"",F212,D212))</f>
        <v>3</v>
      </c>
      <c r="I212" s="29" t="str">
        <f aca="false">IF(OR(H212&lt;2,H212&gt;120),"분량 확인","")</f>
        <v/>
      </c>
    </row>
    <row r="213" customFormat="false" ht="33.75" hidden="false" customHeight="true" outlineLevel="0" collapsed="false">
      <c r="A213" s="13" t="s">
        <v>1999</v>
      </c>
      <c r="B213" s="14" t="s">
        <v>764</v>
      </c>
      <c r="C213" s="15" t="s">
        <v>1633</v>
      </c>
      <c r="D213" s="15" t="s">
        <v>2000</v>
      </c>
      <c r="E213" s="28" t="s">
        <v>19</v>
      </c>
      <c r="F213" s="16"/>
      <c r="G213" s="16"/>
      <c r="H213" s="19" t="n">
        <f aca="false">LEN(IF(F213&lt;&gt;"",F213,D213))</f>
        <v>48</v>
      </c>
      <c r="I213" s="29" t="str">
        <f aca="false">IF(OR(H213&lt;2,H213&gt;120),"분량 확인","")</f>
        <v/>
      </c>
    </row>
    <row r="214" customFormat="false" ht="33.75" hidden="false" customHeight="true" outlineLevel="0" collapsed="false">
      <c r="A214" s="13" t="s">
        <v>2001</v>
      </c>
      <c r="B214" s="14" t="s">
        <v>764</v>
      </c>
      <c r="C214" s="15" t="s">
        <v>1636</v>
      </c>
      <c r="D214" s="15" t="s">
        <v>2002</v>
      </c>
      <c r="E214" s="28" t="s">
        <v>19</v>
      </c>
      <c r="F214" s="16"/>
      <c r="G214" s="16"/>
      <c r="H214" s="19" t="n">
        <f aca="false">LEN(IF(F214&lt;&gt;"",F214,D214))</f>
        <v>8</v>
      </c>
      <c r="I214" s="29" t="str">
        <f aca="false">IF(OR(H214&lt;2,H214&gt;120),"분량 확인","")</f>
        <v/>
      </c>
    </row>
    <row r="215" customFormat="false" ht="33.75" hidden="false" customHeight="true" outlineLevel="0" collapsed="false">
      <c r="A215" s="13" t="s">
        <v>367</v>
      </c>
      <c r="B215" s="14" t="s">
        <v>764</v>
      </c>
      <c r="C215" s="15" t="s">
        <v>1639</v>
      </c>
      <c r="D215" s="15" t="s">
        <v>370</v>
      </c>
      <c r="E215" s="28" t="s">
        <v>19</v>
      </c>
      <c r="F215" s="16"/>
      <c r="G215" s="17" t="s">
        <v>2003</v>
      </c>
      <c r="H215" s="19" t="n">
        <f aca="false">LEN(IF(F215&lt;&gt;"",F215,D215))</f>
        <v>47</v>
      </c>
      <c r="I215" s="29" t="str">
        <f aca="false">IF(OR(H215&lt;2,H215&gt;120),"분량 확인","")</f>
        <v/>
      </c>
    </row>
    <row r="216" customFormat="false" ht="33.75" hidden="false" customHeight="true" outlineLevel="0" collapsed="false">
      <c r="A216" s="13" t="s">
        <v>2004</v>
      </c>
      <c r="B216" s="14" t="s">
        <v>764</v>
      </c>
      <c r="C216" s="15" t="s">
        <v>1642</v>
      </c>
      <c r="D216" s="15" t="s">
        <v>1719</v>
      </c>
      <c r="E216" s="28" t="s">
        <v>19</v>
      </c>
      <c r="F216" s="16"/>
      <c r="G216" s="16"/>
      <c r="H216" s="19" t="n">
        <f aca="false">LEN(IF(F216&lt;&gt;"",F216,D216))</f>
        <v>4</v>
      </c>
      <c r="I216" s="29" t="str">
        <f aca="false">IF(OR(H216&lt;2,H216&gt;120),"분량 확인","")</f>
        <v/>
      </c>
    </row>
    <row r="217" customFormat="false" ht="33.75" hidden="false" customHeight="true" outlineLevel="0" collapsed="false">
      <c r="A217" s="13" t="s">
        <v>2005</v>
      </c>
      <c r="B217" s="14" t="s">
        <v>764</v>
      </c>
      <c r="C217" s="15" t="s">
        <v>1645</v>
      </c>
      <c r="D217" s="15" t="s">
        <v>2006</v>
      </c>
      <c r="E217" s="28" t="s">
        <v>19</v>
      </c>
      <c r="F217" s="16"/>
      <c r="G217" s="16"/>
      <c r="H217" s="19" t="n">
        <f aca="false">LEN(IF(F217&lt;&gt;"",F217,D217))</f>
        <v>41</v>
      </c>
      <c r="I217" s="29" t="str">
        <f aca="false">IF(OR(H217&lt;2,H217&gt;120),"분량 확인","")</f>
        <v/>
      </c>
    </row>
    <row r="218" customFormat="false" ht="33.75" hidden="false" customHeight="true" outlineLevel="0" collapsed="false">
      <c r="A218" s="13" t="s">
        <v>2007</v>
      </c>
      <c r="B218" s="14" t="s">
        <v>775</v>
      </c>
      <c r="C218" s="15" t="s">
        <v>1613</v>
      </c>
      <c r="D218" s="15" t="s">
        <v>2008</v>
      </c>
      <c r="E218" s="28" t="s">
        <v>19</v>
      </c>
      <c r="F218" s="16"/>
      <c r="G218" s="16"/>
      <c r="H218" s="19" t="n">
        <f aca="false">LEN(IF(F218&lt;&gt;"",F218,D218))</f>
        <v>9</v>
      </c>
      <c r="I218" s="29" t="str">
        <f aca="false">IF(OR(H218&lt;2,H218&gt;120),"분량 확인","")</f>
        <v/>
      </c>
    </row>
    <row r="219" customFormat="false" ht="33.75" hidden="false" customHeight="true" outlineLevel="0" collapsed="false">
      <c r="A219" s="13" t="s">
        <v>2009</v>
      </c>
      <c r="B219" s="14" t="s">
        <v>775</v>
      </c>
      <c r="C219" s="15" t="s">
        <v>1616</v>
      </c>
      <c r="D219" s="15" t="s">
        <v>2010</v>
      </c>
      <c r="E219" s="28" t="s">
        <v>19</v>
      </c>
      <c r="F219" s="16"/>
      <c r="G219" s="16"/>
      <c r="H219" s="19" t="n">
        <f aca="false">LEN(IF(F219&lt;&gt;"",F219,D219))</f>
        <v>56</v>
      </c>
      <c r="I219" s="29" t="str">
        <f aca="false">IF(OR(H219&lt;2,H219&gt;120),"분량 확인","")</f>
        <v/>
      </c>
    </row>
    <row r="220" customFormat="false" ht="33.75" hidden="false" customHeight="true" outlineLevel="0" collapsed="false">
      <c r="A220" s="13" t="s">
        <v>2011</v>
      </c>
      <c r="B220" s="14" t="s">
        <v>775</v>
      </c>
      <c r="C220" s="15" t="s">
        <v>1619</v>
      </c>
      <c r="D220" s="14" t="s">
        <v>1887</v>
      </c>
      <c r="E220" s="28" t="s">
        <v>19</v>
      </c>
      <c r="F220" s="16"/>
      <c r="G220" s="16"/>
      <c r="H220" s="19" t="n">
        <f aca="false">LEN(IF(F220&lt;&gt;"",F220,D220))</f>
        <v>3</v>
      </c>
      <c r="I220" s="29" t="str">
        <f aca="false">IF(OR(H220&lt;2,H220&gt;120),"분량 확인","")</f>
        <v/>
      </c>
    </row>
    <row r="221" customFormat="false" ht="33.75" hidden="false" customHeight="true" outlineLevel="0" collapsed="false">
      <c r="A221" s="13" t="s">
        <v>2012</v>
      </c>
      <c r="B221" s="14" t="s">
        <v>775</v>
      </c>
      <c r="C221" s="15" t="s">
        <v>1622</v>
      </c>
      <c r="D221" s="15" t="s">
        <v>2013</v>
      </c>
      <c r="E221" s="28" t="s">
        <v>19</v>
      </c>
      <c r="F221" s="16"/>
      <c r="G221" s="16"/>
      <c r="H221" s="19" t="n">
        <f aca="false">LEN(IF(F221&lt;&gt;"",F221,D221))</f>
        <v>46</v>
      </c>
      <c r="I221" s="29" t="str">
        <f aca="false">IF(OR(H221&lt;2,H221&gt;120),"분량 확인","")</f>
        <v/>
      </c>
    </row>
    <row r="222" customFormat="false" ht="33.75" hidden="false" customHeight="true" outlineLevel="0" collapsed="false">
      <c r="A222" s="13" t="s">
        <v>2014</v>
      </c>
      <c r="B222" s="14" t="s">
        <v>775</v>
      </c>
      <c r="C222" s="15" t="s">
        <v>1625</v>
      </c>
      <c r="D222" s="15" t="s">
        <v>2015</v>
      </c>
      <c r="E222" s="28" t="s">
        <v>19</v>
      </c>
      <c r="F222" s="16"/>
      <c r="G222" s="16"/>
      <c r="H222" s="19" t="n">
        <f aca="false">LEN(IF(F222&lt;&gt;"",F222,D222))</f>
        <v>7</v>
      </c>
      <c r="I222" s="29" t="str">
        <f aca="false">IF(OR(H222&lt;2,H222&gt;120),"분량 확인","")</f>
        <v/>
      </c>
    </row>
    <row r="223" customFormat="false" ht="33.75" hidden="false" customHeight="true" outlineLevel="0" collapsed="false">
      <c r="A223" s="13" t="s">
        <v>2016</v>
      </c>
      <c r="B223" s="14" t="s">
        <v>775</v>
      </c>
      <c r="C223" s="15" t="s">
        <v>1627</v>
      </c>
      <c r="D223" s="15" t="s">
        <v>2017</v>
      </c>
      <c r="E223" s="28" t="s">
        <v>19</v>
      </c>
      <c r="F223" s="16"/>
      <c r="G223" s="16"/>
      <c r="H223" s="19" t="n">
        <f aca="false">LEN(IF(F223&lt;&gt;"",F223,D223))</f>
        <v>45</v>
      </c>
      <c r="I223" s="29" t="str">
        <f aca="false">IF(OR(H223&lt;2,H223&gt;120),"분량 확인","")</f>
        <v/>
      </c>
    </row>
    <row r="224" customFormat="false" ht="33.75" hidden="false" customHeight="true" outlineLevel="0" collapsed="false">
      <c r="A224" s="13" t="s">
        <v>2018</v>
      </c>
      <c r="B224" s="14" t="s">
        <v>775</v>
      </c>
      <c r="C224" s="15" t="s">
        <v>1630</v>
      </c>
      <c r="D224" s="14" t="s">
        <v>1643</v>
      </c>
      <c r="E224" s="28" t="s">
        <v>19</v>
      </c>
      <c r="F224" s="16"/>
      <c r="G224" s="16"/>
      <c r="H224" s="19" t="n">
        <f aca="false">LEN(IF(F224&lt;&gt;"",F224,D224))</f>
        <v>2</v>
      </c>
      <c r="I224" s="29" t="str">
        <f aca="false">IF(OR(H224&lt;2,H224&gt;120),"분량 확인","")</f>
        <v/>
      </c>
    </row>
    <row r="225" customFormat="false" ht="33.75" hidden="false" customHeight="true" outlineLevel="0" collapsed="false">
      <c r="A225" s="13" t="s">
        <v>121</v>
      </c>
      <c r="B225" s="14" t="s">
        <v>775</v>
      </c>
      <c r="C225" s="15" t="s">
        <v>1633</v>
      </c>
      <c r="D225" s="15" t="s">
        <v>124</v>
      </c>
      <c r="E225" s="28" t="s">
        <v>19</v>
      </c>
      <c r="F225" s="16"/>
      <c r="G225" s="17" t="s">
        <v>2019</v>
      </c>
      <c r="H225" s="19" t="n">
        <f aca="false">LEN(IF(F225&lt;&gt;"",F225,D225))</f>
        <v>53</v>
      </c>
      <c r="I225" s="29" t="str">
        <f aca="false">IF(OR(H225&lt;2,H225&gt;120),"분량 확인","")</f>
        <v/>
      </c>
    </row>
    <row r="226" customFormat="false" ht="33.75" hidden="false" customHeight="true" outlineLevel="0" collapsed="false">
      <c r="A226" s="13" t="s">
        <v>2020</v>
      </c>
      <c r="B226" s="14" t="s">
        <v>775</v>
      </c>
      <c r="C226" s="15" t="s">
        <v>1636</v>
      </c>
      <c r="D226" s="14" t="s">
        <v>2021</v>
      </c>
      <c r="E226" s="28" t="s">
        <v>19</v>
      </c>
      <c r="F226" s="16"/>
      <c r="G226" s="16"/>
      <c r="H226" s="19" t="n">
        <f aca="false">LEN(IF(F226&lt;&gt;"",F226,D226))</f>
        <v>14</v>
      </c>
      <c r="I226" s="29" t="str">
        <f aca="false">IF(OR(H226&lt;2,H226&gt;120),"분량 확인","")</f>
        <v/>
      </c>
    </row>
    <row r="227" customFormat="false" ht="33.75" hidden="false" customHeight="true" outlineLevel="0" collapsed="false">
      <c r="A227" s="13" t="s">
        <v>2022</v>
      </c>
      <c r="B227" s="14" t="s">
        <v>775</v>
      </c>
      <c r="C227" s="15" t="s">
        <v>1639</v>
      </c>
      <c r="D227" s="15" t="s">
        <v>2023</v>
      </c>
      <c r="E227" s="28" t="s">
        <v>19</v>
      </c>
      <c r="F227" s="16"/>
      <c r="G227" s="16"/>
      <c r="H227" s="19" t="n">
        <f aca="false">LEN(IF(F227&lt;&gt;"",F227,D227))</f>
        <v>50</v>
      </c>
      <c r="I227" s="29" t="str">
        <f aca="false">IF(OR(H227&lt;2,H227&gt;120),"분량 확인","")</f>
        <v/>
      </c>
    </row>
    <row r="228" customFormat="false" ht="33.75" hidden="false" customHeight="true" outlineLevel="0" collapsed="false">
      <c r="A228" s="13" t="s">
        <v>2024</v>
      </c>
      <c r="B228" s="14" t="s">
        <v>775</v>
      </c>
      <c r="C228" s="15" t="s">
        <v>1642</v>
      </c>
      <c r="D228" s="14" t="s">
        <v>1811</v>
      </c>
      <c r="E228" s="28" t="s">
        <v>19</v>
      </c>
      <c r="F228" s="16"/>
      <c r="G228" s="16"/>
      <c r="H228" s="19" t="n">
        <f aca="false">LEN(IF(F228&lt;&gt;"",F228,D228))</f>
        <v>2</v>
      </c>
      <c r="I228" s="29" t="str">
        <f aca="false">IF(OR(H228&lt;2,H228&gt;120),"분량 확인","")</f>
        <v/>
      </c>
    </row>
    <row r="229" customFormat="false" ht="33.75" hidden="false" customHeight="true" outlineLevel="0" collapsed="false">
      <c r="A229" s="13" t="s">
        <v>2025</v>
      </c>
      <c r="B229" s="14" t="s">
        <v>775</v>
      </c>
      <c r="C229" s="15" t="s">
        <v>1645</v>
      </c>
      <c r="D229" s="15" t="s">
        <v>2026</v>
      </c>
      <c r="E229" s="28" t="s">
        <v>19</v>
      </c>
      <c r="F229" s="16"/>
      <c r="G229" s="16"/>
      <c r="H229" s="19" t="n">
        <f aca="false">LEN(IF(F229&lt;&gt;"",F229,D229))</f>
        <v>43</v>
      </c>
      <c r="I229" s="29" t="str">
        <f aca="false">IF(OR(H229&lt;2,H229&gt;120),"분량 확인","")</f>
        <v/>
      </c>
    </row>
    <row r="230" customFormat="false" ht="33.75" hidden="false" customHeight="true" outlineLevel="0" collapsed="false">
      <c r="A230" s="13" t="s">
        <v>2027</v>
      </c>
      <c r="B230" s="14" t="s">
        <v>786</v>
      </c>
      <c r="C230" s="15" t="s">
        <v>1613</v>
      </c>
      <c r="D230" s="14" t="s">
        <v>2028</v>
      </c>
      <c r="E230" s="28" t="s">
        <v>19</v>
      </c>
      <c r="F230" s="16"/>
      <c r="G230" s="16"/>
      <c r="H230" s="19" t="n">
        <f aca="false">LEN(IF(F230&lt;&gt;"",F230,D230))</f>
        <v>8</v>
      </c>
      <c r="I230" s="29" t="str">
        <f aca="false">IF(OR(H230&lt;2,H230&gt;120),"분량 확인","")</f>
        <v/>
      </c>
    </row>
    <row r="231" customFormat="false" ht="33.75" hidden="false" customHeight="true" outlineLevel="0" collapsed="false">
      <c r="A231" s="13" t="s">
        <v>2029</v>
      </c>
      <c r="B231" s="14" t="s">
        <v>786</v>
      </c>
      <c r="C231" s="15" t="s">
        <v>1616</v>
      </c>
      <c r="D231" s="15" t="s">
        <v>2030</v>
      </c>
      <c r="E231" s="28" t="s">
        <v>19</v>
      </c>
      <c r="F231" s="16"/>
      <c r="G231" s="16"/>
      <c r="H231" s="19" t="n">
        <f aca="false">LEN(IF(F231&lt;&gt;"",F231,D231))</f>
        <v>37</v>
      </c>
      <c r="I231" s="29" t="str">
        <f aca="false">IF(OR(H231&lt;2,H231&gt;120),"분량 확인","")</f>
        <v/>
      </c>
    </row>
    <row r="232" customFormat="false" ht="33.75" hidden="false" customHeight="true" outlineLevel="0" collapsed="false">
      <c r="A232" s="13" t="s">
        <v>2031</v>
      </c>
      <c r="B232" s="14" t="s">
        <v>786</v>
      </c>
      <c r="C232" s="15" t="s">
        <v>1619</v>
      </c>
      <c r="D232" s="14" t="s">
        <v>1692</v>
      </c>
      <c r="E232" s="28" t="s">
        <v>19</v>
      </c>
      <c r="F232" s="16"/>
      <c r="G232" s="16"/>
      <c r="H232" s="19" t="n">
        <f aca="false">LEN(IF(F232&lt;&gt;"",F232,D232))</f>
        <v>2</v>
      </c>
      <c r="I232" s="29" t="str">
        <f aca="false">IF(OR(H232&lt;2,H232&gt;120),"분량 확인","")</f>
        <v/>
      </c>
    </row>
    <row r="233" customFormat="false" ht="33.75" hidden="false" customHeight="true" outlineLevel="0" collapsed="false">
      <c r="A233" s="13" t="s">
        <v>2032</v>
      </c>
      <c r="B233" s="14" t="s">
        <v>786</v>
      </c>
      <c r="C233" s="15" t="s">
        <v>1622</v>
      </c>
      <c r="D233" s="15" t="s">
        <v>2033</v>
      </c>
      <c r="E233" s="28" t="s">
        <v>19</v>
      </c>
      <c r="F233" s="16"/>
      <c r="G233" s="16"/>
      <c r="H233" s="19" t="n">
        <f aca="false">LEN(IF(F233&lt;&gt;"",F233,D233))</f>
        <v>50</v>
      </c>
      <c r="I233" s="29" t="str">
        <f aca="false">IF(OR(H233&lt;2,H233&gt;120),"분량 확인","")</f>
        <v/>
      </c>
    </row>
    <row r="234" customFormat="false" ht="33.75" hidden="false" customHeight="true" outlineLevel="0" collapsed="false">
      <c r="A234" s="13" t="s">
        <v>2034</v>
      </c>
      <c r="B234" s="14" t="s">
        <v>786</v>
      </c>
      <c r="C234" s="15" t="s">
        <v>1765</v>
      </c>
      <c r="D234" s="15" t="s">
        <v>2035</v>
      </c>
      <c r="E234" s="28" t="s">
        <v>19</v>
      </c>
      <c r="F234" s="16"/>
      <c r="G234" s="16"/>
      <c r="H234" s="19" t="n">
        <f aca="false">LEN(IF(F234&lt;&gt;"",F234,D234))</f>
        <v>11</v>
      </c>
      <c r="I234" s="29" t="str">
        <f aca="false">IF(OR(H234&lt;2,H234&gt;120),"분량 확인","")</f>
        <v/>
      </c>
    </row>
    <row r="235" customFormat="false" ht="33.75" hidden="false" customHeight="true" outlineLevel="0" collapsed="false">
      <c r="A235" s="13" t="s">
        <v>2036</v>
      </c>
      <c r="B235" s="14" t="s">
        <v>786</v>
      </c>
      <c r="C235" s="15" t="s">
        <v>1767</v>
      </c>
      <c r="D235" s="15" t="s">
        <v>2037</v>
      </c>
      <c r="E235" s="28" t="s">
        <v>19</v>
      </c>
      <c r="F235" s="16"/>
      <c r="G235" s="16"/>
      <c r="H235" s="19" t="n">
        <f aca="false">LEN(IF(F235&lt;&gt;"",F235,D235))</f>
        <v>36</v>
      </c>
      <c r="I235" s="29" t="str">
        <f aca="false">IF(OR(H235&lt;2,H235&gt;120),"분량 확인","")</f>
        <v/>
      </c>
    </row>
    <row r="236" customFormat="false" ht="33.75" hidden="false" customHeight="true" outlineLevel="0" collapsed="false">
      <c r="A236" s="13" t="s">
        <v>2038</v>
      </c>
      <c r="B236" s="14" t="s">
        <v>786</v>
      </c>
      <c r="C236" s="15" t="s">
        <v>1770</v>
      </c>
      <c r="D236" s="14" t="s">
        <v>1620</v>
      </c>
      <c r="E236" s="28" t="s">
        <v>19</v>
      </c>
      <c r="F236" s="16"/>
      <c r="G236" s="16"/>
      <c r="H236" s="19" t="n">
        <f aca="false">LEN(IF(F236&lt;&gt;"",F236,D236))</f>
        <v>2</v>
      </c>
      <c r="I236" s="29" t="str">
        <f aca="false">IF(OR(H236&lt;2,H236&gt;120),"분량 확인","")</f>
        <v/>
      </c>
    </row>
    <row r="237" customFormat="false" ht="33.75" hidden="false" customHeight="true" outlineLevel="0" collapsed="false">
      <c r="A237" s="13" t="s">
        <v>2039</v>
      </c>
      <c r="B237" s="14" t="s">
        <v>786</v>
      </c>
      <c r="C237" s="15" t="s">
        <v>1772</v>
      </c>
      <c r="D237" s="15" t="s">
        <v>2040</v>
      </c>
      <c r="E237" s="28" t="s">
        <v>19</v>
      </c>
      <c r="F237" s="16"/>
      <c r="G237" s="16"/>
      <c r="H237" s="19" t="n">
        <f aca="false">LEN(IF(F237&lt;&gt;"",F237,D237))</f>
        <v>46</v>
      </c>
      <c r="I237" s="29" t="str">
        <f aca="false">IF(OR(H237&lt;2,H237&gt;120),"분량 확인","")</f>
        <v/>
      </c>
    </row>
    <row r="238" customFormat="false" ht="33.75" hidden="false" customHeight="true" outlineLevel="0" collapsed="false">
      <c r="A238" s="13" t="s">
        <v>2041</v>
      </c>
      <c r="B238" s="14" t="s">
        <v>786</v>
      </c>
      <c r="C238" s="15" t="s">
        <v>1636</v>
      </c>
      <c r="D238" s="15" t="s">
        <v>2042</v>
      </c>
      <c r="E238" s="28" t="s">
        <v>19</v>
      </c>
      <c r="F238" s="16"/>
      <c r="G238" s="16"/>
      <c r="H238" s="19" t="n">
        <f aca="false">LEN(IF(F238&lt;&gt;"",F238,D238))</f>
        <v>6</v>
      </c>
      <c r="I238" s="29" t="str">
        <f aca="false">IF(OR(H238&lt;2,H238&gt;120),"분량 확인","")</f>
        <v/>
      </c>
    </row>
    <row r="239" customFormat="false" ht="33.75" hidden="false" customHeight="true" outlineLevel="0" collapsed="false">
      <c r="A239" s="13" t="s">
        <v>2043</v>
      </c>
      <c r="B239" s="14" t="s">
        <v>786</v>
      </c>
      <c r="C239" s="15" t="s">
        <v>1639</v>
      </c>
      <c r="D239" s="15" t="s">
        <v>2044</v>
      </c>
      <c r="E239" s="28" t="s">
        <v>19</v>
      </c>
      <c r="F239" s="16"/>
      <c r="G239" s="16"/>
      <c r="H239" s="19" t="n">
        <f aca="false">LEN(IF(F239&lt;&gt;"",F239,D239))</f>
        <v>24</v>
      </c>
      <c r="I239" s="29" t="str">
        <f aca="false">IF(OR(H239&lt;2,H239&gt;120),"분량 확인","")</f>
        <v/>
      </c>
    </row>
    <row r="240" customFormat="false" ht="33.75" hidden="false" customHeight="true" outlineLevel="0" collapsed="false">
      <c r="A240" s="13" t="s">
        <v>2045</v>
      </c>
      <c r="B240" s="14" t="s">
        <v>786</v>
      </c>
      <c r="C240" s="15" t="s">
        <v>1642</v>
      </c>
      <c r="D240" s="14" t="s">
        <v>1631</v>
      </c>
      <c r="E240" s="28" t="s">
        <v>19</v>
      </c>
      <c r="F240" s="16"/>
      <c r="G240" s="16"/>
      <c r="H240" s="19" t="n">
        <f aca="false">LEN(IF(F240&lt;&gt;"",F240,D240))</f>
        <v>3</v>
      </c>
      <c r="I240" s="29" t="str">
        <f aca="false">IF(OR(H240&lt;2,H240&gt;120),"분량 확인","")</f>
        <v/>
      </c>
    </row>
    <row r="241" customFormat="false" ht="33.75" hidden="false" customHeight="true" outlineLevel="0" collapsed="false">
      <c r="A241" s="13" t="s">
        <v>2046</v>
      </c>
      <c r="B241" s="14" t="s">
        <v>786</v>
      </c>
      <c r="C241" s="15" t="s">
        <v>1645</v>
      </c>
      <c r="D241" s="15" t="s">
        <v>2047</v>
      </c>
      <c r="E241" s="28" t="s">
        <v>19</v>
      </c>
      <c r="F241" s="16"/>
      <c r="G241" s="16"/>
      <c r="H241" s="19" t="n">
        <f aca="false">LEN(IF(F241&lt;&gt;"",F241,D241))</f>
        <v>43</v>
      </c>
      <c r="I241" s="29" t="str">
        <f aca="false">IF(OR(H241&lt;2,H241&gt;120),"분량 확인","")</f>
        <v/>
      </c>
    </row>
    <row r="242" customFormat="false" ht="33.75" hidden="false" customHeight="true" outlineLevel="0" collapsed="false">
      <c r="A242" s="13" t="s">
        <v>2048</v>
      </c>
      <c r="B242" s="14" t="s">
        <v>798</v>
      </c>
      <c r="C242" s="15" t="s">
        <v>1613</v>
      </c>
      <c r="D242" s="15" t="s">
        <v>2049</v>
      </c>
      <c r="E242" s="28" t="s">
        <v>19</v>
      </c>
      <c r="F242" s="16"/>
      <c r="G242" s="16"/>
      <c r="H242" s="19" t="n">
        <f aca="false">LEN(IF(F242&lt;&gt;"",F242,D242))</f>
        <v>13</v>
      </c>
      <c r="I242" s="29" t="str">
        <f aca="false">IF(OR(H242&lt;2,H242&gt;120),"분량 확인","")</f>
        <v/>
      </c>
    </row>
    <row r="243" customFormat="false" ht="33.75" hidden="false" customHeight="true" outlineLevel="0" collapsed="false">
      <c r="A243" s="13" t="s">
        <v>2050</v>
      </c>
      <c r="B243" s="14" t="s">
        <v>798</v>
      </c>
      <c r="C243" s="15" t="s">
        <v>1616</v>
      </c>
      <c r="D243" s="14" t="s">
        <v>2051</v>
      </c>
      <c r="E243" s="28" t="s">
        <v>19</v>
      </c>
      <c r="F243" s="16"/>
      <c r="G243" s="16"/>
      <c r="H243" s="19" t="n">
        <f aca="false">LEN(IF(F243&lt;&gt;"",F243,D243))</f>
        <v>34</v>
      </c>
      <c r="I243" s="29" t="str">
        <f aca="false">IF(OR(H243&lt;2,H243&gt;120),"분량 확인","")</f>
        <v/>
      </c>
    </row>
    <row r="244" customFormat="false" ht="33.75" hidden="false" customHeight="true" outlineLevel="0" collapsed="false">
      <c r="A244" s="13" t="s">
        <v>2052</v>
      </c>
      <c r="B244" s="14" t="s">
        <v>798</v>
      </c>
      <c r="C244" s="15" t="s">
        <v>1619</v>
      </c>
      <c r="D244" s="14" t="s">
        <v>1887</v>
      </c>
      <c r="E244" s="28" t="s">
        <v>19</v>
      </c>
      <c r="F244" s="16"/>
      <c r="G244" s="16"/>
      <c r="H244" s="19" t="n">
        <f aca="false">LEN(IF(F244&lt;&gt;"",F244,D244))</f>
        <v>3</v>
      </c>
      <c r="I244" s="29" t="str">
        <f aca="false">IF(OR(H244&lt;2,H244&gt;120),"분량 확인","")</f>
        <v/>
      </c>
    </row>
    <row r="245" customFormat="false" ht="33.75" hidden="false" customHeight="true" outlineLevel="0" collapsed="false">
      <c r="A245" s="13" t="s">
        <v>2053</v>
      </c>
      <c r="B245" s="14" t="s">
        <v>798</v>
      </c>
      <c r="C245" s="15" t="s">
        <v>1622</v>
      </c>
      <c r="D245" s="15" t="s">
        <v>2054</v>
      </c>
      <c r="E245" s="28" t="s">
        <v>19</v>
      </c>
      <c r="F245" s="16"/>
      <c r="G245" s="16"/>
      <c r="H245" s="19" t="n">
        <f aca="false">LEN(IF(F245&lt;&gt;"",F245,D245))</f>
        <v>51</v>
      </c>
      <c r="I245" s="29" t="str">
        <f aca="false">IF(OR(H245&lt;2,H245&gt;120),"분량 확인","")</f>
        <v/>
      </c>
    </row>
    <row r="246" customFormat="false" ht="33.75" hidden="false" customHeight="true" outlineLevel="0" collapsed="false">
      <c r="A246" s="13" t="s">
        <v>2055</v>
      </c>
      <c r="B246" s="14" t="s">
        <v>798</v>
      </c>
      <c r="C246" s="15" t="s">
        <v>1625</v>
      </c>
      <c r="D246" s="15" t="s">
        <v>2056</v>
      </c>
      <c r="E246" s="28" t="s">
        <v>19</v>
      </c>
      <c r="F246" s="16"/>
      <c r="G246" s="16"/>
      <c r="H246" s="19" t="n">
        <f aca="false">LEN(IF(F246&lt;&gt;"",F246,D246))</f>
        <v>13</v>
      </c>
      <c r="I246" s="29" t="str">
        <f aca="false">IF(OR(H246&lt;2,H246&gt;120),"분량 확인","")</f>
        <v/>
      </c>
    </row>
    <row r="247" customFormat="false" ht="33.75" hidden="false" customHeight="true" outlineLevel="0" collapsed="false">
      <c r="A247" s="13" t="s">
        <v>2057</v>
      </c>
      <c r="B247" s="14" t="s">
        <v>798</v>
      </c>
      <c r="C247" s="15" t="s">
        <v>1627</v>
      </c>
      <c r="D247" s="15" t="s">
        <v>2058</v>
      </c>
      <c r="E247" s="28" t="s">
        <v>19</v>
      </c>
      <c r="F247" s="16"/>
      <c r="G247" s="16"/>
      <c r="H247" s="19" t="n">
        <f aca="false">LEN(IF(F247&lt;&gt;"",F247,D247))</f>
        <v>34</v>
      </c>
      <c r="I247" s="29" t="str">
        <f aca="false">IF(OR(H247&lt;2,H247&gt;120),"분량 확인","")</f>
        <v/>
      </c>
    </row>
    <row r="248" customFormat="false" ht="33.75" hidden="false" customHeight="true" outlineLevel="0" collapsed="false">
      <c r="A248" s="13" t="s">
        <v>2059</v>
      </c>
      <c r="B248" s="14" t="s">
        <v>798</v>
      </c>
      <c r="C248" s="15" t="s">
        <v>1630</v>
      </c>
      <c r="D248" s="14" t="s">
        <v>1631</v>
      </c>
      <c r="E248" s="28" t="s">
        <v>19</v>
      </c>
      <c r="F248" s="16"/>
      <c r="G248" s="16"/>
      <c r="H248" s="19" t="n">
        <f aca="false">LEN(IF(F248&lt;&gt;"",F248,D248))</f>
        <v>3</v>
      </c>
      <c r="I248" s="29" t="str">
        <f aca="false">IF(OR(H248&lt;2,H248&gt;120),"분량 확인","")</f>
        <v/>
      </c>
    </row>
    <row r="249" customFormat="false" ht="33.75" hidden="false" customHeight="true" outlineLevel="0" collapsed="false">
      <c r="A249" s="13" t="s">
        <v>2060</v>
      </c>
      <c r="B249" s="14" t="s">
        <v>798</v>
      </c>
      <c r="C249" s="15" t="s">
        <v>1633</v>
      </c>
      <c r="D249" s="15" t="s">
        <v>2061</v>
      </c>
      <c r="E249" s="28" t="s">
        <v>19</v>
      </c>
      <c r="F249" s="16"/>
      <c r="G249" s="16"/>
      <c r="H249" s="19" t="n">
        <f aca="false">LEN(IF(F249&lt;&gt;"",F249,D249))</f>
        <v>47</v>
      </c>
      <c r="I249" s="29" t="str">
        <f aca="false">IF(OR(H249&lt;2,H249&gt;120),"분량 확인","")</f>
        <v/>
      </c>
    </row>
    <row r="250" customFormat="false" ht="33.75" hidden="false" customHeight="true" outlineLevel="0" collapsed="false">
      <c r="A250" s="13" t="s">
        <v>2062</v>
      </c>
      <c r="B250" s="14" t="s">
        <v>798</v>
      </c>
      <c r="C250" s="15" t="s">
        <v>1636</v>
      </c>
      <c r="D250" s="15" t="s">
        <v>2063</v>
      </c>
      <c r="E250" s="28" t="s">
        <v>19</v>
      </c>
      <c r="F250" s="16"/>
      <c r="G250" s="16"/>
      <c r="H250" s="19" t="n">
        <f aca="false">LEN(IF(F250&lt;&gt;"",F250,D250))</f>
        <v>12</v>
      </c>
      <c r="I250" s="29" t="str">
        <f aca="false">IF(OR(H250&lt;2,H250&gt;120),"분량 확인","")</f>
        <v/>
      </c>
    </row>
    <row r="251" customFormat="false" ht="33.75" hidden="false" customHeight="true" outlineLevel="0" collapsed="false">
      <c r="A251" s="13" t="s">
        <v>419</v>
      </c>
      <c r="B251" s="14" t="s">
        <v>798</v>
      </c>
      <c r="C251" s="15" t="s">
        <v>1639</v>
      </c>
      <c r="D251" s="15" t="s">
        <v>422</v>
      </c>
      <c r="E251" s="28" t="s">
        <v>19</v>
      </c>
      <c r="F251" s="16"/>
      <c r="G251" s="17" t="s">
        <v>2064</v>
      </c>
      <c r="H251" s="19" t="n">
        <f aca="false">LEN(IF(F251&lt;&gt;"",F251,D251))</f>
        <v>56</v>
      </c>
      <c r="I251" s="29" t="str">
        <f aca="false">IF(OR(H251&lt;2,H251&gt;120),"분량 확인","")</f>
        <v/>
      </c>
    </row>
    <row r="252" customFormat="false" ht="33.75" hidden="false" customHeight="true" outlineLevel="0" collapsed="false">
      <c r="A252" s="13" t="s">
        <v>2065</v>
      </c>
      <c r="B252" s="14" t="s">
        <v>798</v>
      </c>
      <c r="C252" s="15" t="s">
        <v>1642</v>
      </c>
      <c r="D252" s="15" t="s">
        <v>1719</v>
      </c>
      <c r="E252" s="28" t="s">
        <v>19</v>
      </c>
      <c r="F252" s="16"/>
      <c r="G252" s="16"/>
      <c r="H252" s="19" t="n">
        <f aca="false">LEN(IF(F252&lt;&gt;"",F252,D252))</f>
        <v>4</v>
      </c>
      <c r="I252" s="29" t="str">
        <f aca="false">IF(OR(H252&lt;2,H252&gt;120),"분량 확인","")</f>
        <v/>
      </c>
    </row>
    <row r="253" customFormat="false" ht="33.75" hidden="false" customHeight="true" outlineLevel="0" collapsed="false">
      <c r="A253" s="13" t="s">
        <v>2066</v>
      </c>
      <c r="B253" s="14" t="s">
        <v>798</v>
      </c>
      <c r="C253" s="15" t="s">
        <v>1645</v>
      </c>
      <c r="D253" s="15" t="s">
        <v>2067</v>
      </c>
      <c r="E253" s="28" t="s">
        <v>19</v>
      </c>
      <c r="F253" s="16"/>
      <c r="G253" s="16"/>
      <c r="H253" s="19" t="n">
        <f aca="false">LEN(IF(F253&lt;&gt;"",F253,D253))</f>
        <v>54</v>
      </c>
      <c r="I253" s="29" t="str">
        <f aca="false">IF(OR(H253&lt;2,H253&gt;120),"분량 확인","")</f>
        <v/>
      </c>
    </row>
    <row r="254" customFormat="false" ht="48" hidden="false" customHeight="true" outlineLevel="0" collapsed="false">
      <c r="A254" s="13" t="s">
        <v>2068</v>
      </c>
      <c r="B254" s="14" t="s">
        <v>810</v>
      </c>
      <c r="C254" s="15" t="s">
        <v>1613</v>
      </c>
      <c r="D254" s="15" t="s">
        <v>2069</v>
      </c>
      <c r="E254" s="28" t="s">
        <v>19</v>
      </c>
      <c r="F254" s="16"/>
      <c r="G254" s="16"/>
      <c r="H254" s="19" t="n">
        <f aca="false">LEN(IF(F254&lt;&gt;"",F254,D254))</f>
        <v>5</v>
      </c>
      <c r="I254" s="29" t="str">
        <f aca="false">IF(OR(H254&lt;2,H254&gt;120),"분량 확인","")</f>
        <v/>
      </c>
    </row>
    <row r="255" customFormat="false" ht="48" hidden="false" customHeight="true" outlineLevel="0" collapsed="false">
      <c r="A255" s="13" t="s">
        <v>2070</v>
      </c>
      <c r="B255" s="14" t="s">
        <v>810</v>
      </c>
      <c r="C255" s="15" t="s">
        <v>1616</v>
      </c>
      <c r="D255" s="15" t="s">
        <v>2071</v>
      </c>
      <c r="E255" s="28" t="s">
        <v>19</v>
      </c>
      <c r="F255" s="16"/>
      <c r="G255" s="16"/>
      <c r="H255" s="19" t="n">
        <f aca="false">LEN(IF(F255&lt;&gt;"",F255,D255))</f>
        <v>32</v>
      </c>
      <c r="I255" s="29" t="str">
        <f aca="false">IF(OR(H255&lt;2,H255&gt;120),"분량 확인","")</f>
        <v/>
      </c>
    </row>
    <row r="256" customFormat="false" ht="48" hidden="false" customHeight="true" outlineLevel="0" collapsed="false">
      <c r="A256" s="13" t="s">
        <v>2072</v>
      </c>
      <c r="B256" s="14" t="s">
        <v>810</v>
      </c>
      <c r="C256" s="15" t="s">
        <v>1619</v>
      </c>
      <c r="D256" s="14" t="s">
        <v>1887</v>
      </c>
      <c r="E256" s="28" t="s">
        <v>19</v>
      </c>
      <c r="F256" s="16"/>
      <c r="G256" s="16"/>
      <c r="H256" s="19" t="n">
        <f aca="false">LEN(IF(F256&lt;&gt;"",F256,D256))</f>
        <v>3</v>
      </c>
      <c r="I256" s="29" t="str">
        <f aca="false">IF(OR(H256&lt;2,H256&gt;120),"분량 확인","")</f>
        <v/>
      </c>
    </row>
    <row r="257" customFormat="false" ht="48" hidden="false" customHeight="true" outlineLevel="0" collapsed="false">
      <c r="A257" s="13" t="s">
        <v>2073</v>
      </c>
      <c r="B257" s="14" t="s">
        <v>810</v>
      </c>
      <c r="C257" s="15" t="s">
        <v>1622</v>
      </c>
      <c r="D257" s="15" t="s">
        <v>2074</v>
      </c>
      <c r="E257" s="28" t="s">
        <v>19</v>
      </c>
      <c r="F257" s="16"/>
      <c r="G257" s="16"/>
      <c r="H257" s="19" t="n">
        <f aca="false">LEN(IF(F257&lt;&gt;"",F257,D257))</f>
        <v>44</v>
      </c>
      <c r="I257" s="29" t="str">
        <f aca="false">IF(OR(H257&lt;2,H257&gt;120),"분량 확인","")</f>
        <v/>
      </c>
    </row>
    <row r="258" customFormat="false" ht="48" hidden="false" customHeight="true" outlineLevel="0" collapsed="false">
      <c r="A258" s="13" t="s">
        <v>2075</v>
      </c>
      <c r="B258" s="14" t="s">
        <v>810</v>
      </c>
      <c r="C258" s="15" t="s">
        <v>1625</v>
      </c>
      <c r="D258" s="15" t="s">
        <v>2076</v>
      </c>
      <c r="E258" s="28" t="s">
        <v>19</v>
      </c>
      <c r="F258" s="16"/>
      <c r="G258" s="16"/>
      <c r="H258" s="19" t="n">
        <f aca="false">LEN(IF(F258&lt;&gt;"",F258,D258))</f>
        <v>9</v>
      </c>
      <c r="I258" s="29" t="str">
        <f aca="false">IF(OR(H258&lt;2,H258&gt;120),"분량 확인","")</f>
        <v/>
      </c>
    </row>
    <row r="259" customFormat="false" ht="48" hidden="false" customHeight="true" outlineLevel="0" collapsed="false">
      <c r="A259" s="13" t="s">
        <v>2077</v>
      </c>
      <c r="B259" s="14" t="s">
        <v>810</v>
      </c>
      <c r="C259" s="15" t="s">
        <v>1627</v>
      </c>
      <c r="D259" s="15" t="s">
        <v>2078</v>
      </c>
      <c r="E259" s="28" t="s">
        <v>19</v>
      </c>
      <c r="F259" s="16"/>
      <c r="G259" s="16"/>
      <c r="H259" s="19" t="n">
        <f aca="false">LEN(IF(F259&lt;&gt;"",F259,D259))</f>
        <v>27</v>
      </c>
      <c r="I259" s="29" t="str">
        <f aca="false">IF(OR(H259&lt;2,H259&gt;120),"분량 확인","")</f>
        <v/>
      </c>
    </row>
    <row r="260" customFormat="false" ht="48" hidden="false" customHeight="true" outlineLevel="0" collapsed="false">
      <c r="A260" s="13" t="s">
        <v>2079</v>
      </c>
      <c r="B260" s="14" t="s">
        <v>810</v>
      </c>
      <c r="C260" s="15" t="s">
        <v>1630</v>
      </c>
      <c r="D260" s="14" t="s">
        <v>1631</v>
      </c>
      <c r="E260" s="28" t="s">
        <v>19</v>
      </c>
      <c r="F260" s="16"/>
      <c r="G260" s="16"/>
      <c r="H260" s="19" t="n">
        <f aca="false">LEN(IF(F260&lt;&gt;"",F260,D260))</f>
        <v>3</v>
      </c>
      <c r="I260" s="29" t="str">
        <f aca="false">IF(OR(H260&lt;2,H260&gt;120),"분량 확인","")</f>
        <v/>
      </c>
    </row>
    <row r="261" customFormat="false" ht="48" hidden="false" customHeight="true" outlineLevel="0" collapsed="false">
      <c r="A261" s="13" t="s">
        <v>2080</v>
      </c>
      <c r="B261" s="14" t="s">
        <v>810</v>
      </c>
      <c r="C261" s="15" t="s">
        <v>1633</v>
      </c>
      <c r="D261" s="15" t="s">
        <v>2081</v>
      </c>
      <c r="E261" s="28" t="s">
        <v>19</v>
      </c>
      <c r="F261" s="16"/>
      <c r="G261" s="16"/>
      <c r="H261" s="19" t="n">
        <f aca="false">LEN(IF(F261&lt;&gt;"",F261,D261))</f>
        <v>47</v>
      </c>
      <c r="I261" s="29" t="str">
        <f aca="false">IF(OR(H261&lt;2,H261&gt;120),"분량 확인","")</f>
        <v/>
      </c>
    </row>
    <row r="262" customFormat="false" ht="48" hidden="false" customHeight="true" outlineLevel="0" collapsed="false">
      <c r="A262" s="13" t="s">
        <v>2082</v>
      </c>
      <c r="B262" s="14" t="s">
        <v>810</v>
      </c>
      <c r="C262" s="15" t="s">
        <v>1636</v>
      </c>
      <c r="D262" s="15" t="s">
        <v>2083</v>
      </c>
      <c r="E262" s="28" t="s">
        <v>19</v>
      </c>
      <c r="F262" s="16"/>
      <c r="G262" s="16"/>
      <c r="H262" s="19" t="n">
        <f aca="false">LEN(IF(F262&lt;&gt;"",F262,D262))</f>
        <v>5</v>
      </c>
      <c r="I262" s="29" t="str">
        <f aca="false">IF(OR(H262&lt;2,H262&gt;120),"분량 확인","")</f>
        <v/>
      </c>
    </row>
    <row r="263" customFormat="false" ht="48" hidden="false" customHeight="true" outlineLevel="0" collapsed="false">
      <c r="A263" s="13" t="s">
        <v>2084</v>
      </c>
      <c r="B263" s="14" t="s">
        <v>810</v>
      </c>
      <c r="C263" s="15" t="s">
        <v>1639</v>
      </c>
      <c r="D263" s="15" t="s">
        <v>2085</v>
      </c>
      <c r="E263" s="28" t="s">
        <v>19</v>
      </c>
      <c r="F263" s="16"/>
      <c r="G263" s="16"/>
      <c r="H263" s="19" t="n">
        <f aca="false">LEN(IF(F263&lt;&gt;"",F263,D263))</f>
        <v>32</v>
      </c>
      <c r="I263" s="29" t="str">
        <f aca="false">IF(OR(H263&lt;2,H263&gt;120),"분량 확인","")</f>
        <v/>
      </c>
    </row>
    <row r="264" customFormat="false" ht="48" hidden="false" customHeight="true" outlineLevel="0" collapsed="false">
      <c r="A264" s="13" t="s">
        <v>2086</v>
      </c>
      <c r="B264" s="14" t="s">
        <v>810</v>
      </c>
      <c r="C264" s="15" t="s">
        <v>1642</v>
      </c>
      <c r="D264" s="15" t="s">
        <v>1719</v>
      </c>
      <c r="E264" s="28" t="s">
        <v>19</v>
      </c>
      <c r="F264" s="16"/>
      <c r="G264" s="16"/>
      <c r="H264" s="19" t="n">
        <f aca="false">LEN(IF(F264&lt;&gt;"",F264,D264))</f>
        <v>4</v>
      </c>
      <c r="I264" s="29" t="str">
        <f aca="false">IF(OR(H264&lt;2,H264&gt;120),"분량 확인","")</f>
        <v/>
      </c>
    </row>
    <row r="265" customFormat="false" ht="48" hidden="false" customHeight="true" outlineLevel="0" collapsed="false">
      <c r="A265" s="13" t="s">
        <v>2087</v>
      </c>
      <c r="B265" s="14" t="s">
        <v>810</v>
      </c>
      <c r="C265" s="15" t="s">
        <v>1645</v>
      </c>
      <c r="D265" s="15" t="s">
        <v>2088</v>
      </c>
      <c r="E265" s="28" t="s">
        <v>19</v>
      </c>
      <c r="F265" s="16"/>
      <c r="G265" s="16"/>
      <c r="H265" s="19" t="n">
        <f aca="false">LEN(IF(F265&lt;&gt;"",F265,D265))</f>
        <v>40</v>
      </c>
      <c r="I265" s="29" t="str">
        <f aca="false">IF(OR(H265&lt;2,H265&gt;120),"분량 확인","")</f>
        <v/>
      </c>
    </row>
  </sheetData>
  <autoFilter ref="A1:I265"/>
  <conditionalFormatting sqref="E2:E265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265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265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2F53"/>
    <pageSetUpPr fitToPage="false"/>
  </sheetPr>
  <dimension ref="A1:I1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75.75" hidden="false" customHeight="true" outlineLevel="0" collapsed="false">
      <c r="A2" s="13" t="s">
        <v>2089</v>
      </c>
      <c r="B2" s="15" t="s">
        <v>2090</v>
      </c>
      <c r="C2" s="15" t="s">
        <v>2091</v>
      </c>
      <c r="D2" s="15" t="s">
        <v>2092</v>
      </c>
      <c r="E2" s="28" t="s">
        <v>19</v>
      </c>
      <c r="F2" s="16"/>
      <c r="G2" s="17" t="s">
        <v>2093</v>
      </c>
      <c r="H2" s="19" t="n">
        <f aca="false">LEN(IF(F2&lt;&gt;"",F2,D2))</f>
        <v>17</v>
      </c>
      <c r="I2" s="29" t="str">
        <f aca="false">IF(OR(H2&lt;4,H2&gt;140),"분량 확인","")</f>
        <v/>
      </c>
    </row>
    <row r="3" customFormat="false" ht="75.75" hidden="false" customHeight="true" outlineLevel="0" collapsed="false">
      <c r="A3" s="13" t="s">
        <v>2094</v>
      </c>
      <c r="B3" s="15" t="s">
        <v>2090</v>
      </c>
      <c r="C3" s="15" t="s">
        <v>2095</v>
      </c>
      <c r="D3" s="15" t="s">
        <v>2096</v>
      </c>
      <c r="E3" s="28" t="s">
        <v>19</v>
      </c>
      <c r="F3" s="16"/>
      <c r="G3" s="16"/>
      <c r="H3" s="19" t="n">
        <f aca="false">LEN(IF(F3&lt;&gt;"",F3,D3))</f>
        <v>36</v>
      </c>
      <c r="I3" s="29" t="str">
        <f aca="false">IF(OR(H3&lt;4,H3&gt;140),"분량 확인","")</f>
        <v/>
      </c>
    </row>
    <row r="4" customFormat="false" ht="75.75" hidden="false" customHeight="true" outlineLevel="0" collapsed="false">
      <c r="A4" s="13" t="s">
        <v>2097</v>
      </c>
      <c r="B4" s="15" t="s">
        <v>2090</v>
      </c>
      <c r="C4" s="15" t="s">
        <v>2098</v>
      </c>
      <c r="D4" s="15" t="s">
        <v>2099</v>
      </c>
      <c r="E4" s="28" t="s">
        <v>19</v>
      </c>
      <c r="F4" s="16"/>
      <c r="G4" s="16"/>
      <c r="H4" s="19" t="n">
        <f aca="false">LEN(IF(F4&lt;&gt;"",F4,D4))</f>
        <v>51</v>
      </c>
      <c r="I4" s="29" t="str">
        <f aca="false">IF(OR(H4&lt;4,H4&gt;140),"분량 확인","")</f>
        <v/>
      </c>
    </row>
    <row r="5" customFormat="false" ht="61.5" hidden="false" customHeight="true" outlineLevel="0" collapsed="false">
      <c r="A5" s="13" t="s">
        <v>2100</v>
      </c>
      <c r="B5" s="15" t="s">
        <v>2101</v>
      </c>
      <c r="C5" s="15" t="s">
        <v>2102</v>
      </c>
      <c r="D5" s="15" t="s">
        <v>2103</v>
      </c>
      <c r="E5" s="28" t="s">
        <v>19</v>
      </c>
      <c r="F5" s="16"/>
      <c r="G5" s="17" t="s">
        <v>2104</v>
      </c>
      <c r="H5" s="19" t="n">
        <f aca="false">LEN(IF(F5&lt;&gt;"",F5,D5))</f>
        <v>14</v>
      </c>
      <c r="I5" s="29" t="str">
        <f aca="false">IF(OR(H5&lt;4,H5&gt;140),"분량 확인","")</f>
        <v/>
      </c>
    </row>
    <row r="6" customFormat="false" ht="61.5" hidden="false" customHeight="true" outlineLevel="0" collapsed="false">
      <c r="A6" s="13" t="s">
        <v>2105</v>
      </c>
      <c r="B6" s="15" t="s">
        <v>2101</v>
      </c>
      <c r="C6" s="15" t="s">
        <v>2106</v>
      </c>
      <c r="D6" s="15" t="s">
        <v>2107</v>
      </c>
      <c r="E6" s="28" t="s">
        <v>19</v>
      </c>
      <c r="F6" s="16"/>
      <c r="G6" s="16"/>
      <c r="H6" s="19" t="n">
        <f aca="false">LEN(IF(F6&lt;&gt;"",F6,D6))</f>
        <v>43</v>
      </c>
      <c r="I6" s="29" t="str">
        <f aca="false">IF(OR(H6&lt;4,H6&gt;140),"분량 확인","")</f>
        <v/>
      </c>
    </row>
    <row r="7" customFormat="false" ht="75.75" hidden="false" customHeight="true" outlineLevel="0" collapsed="false">
      <c r="A7" s="13" t="s">
        <v>2108</v>
      </c>
      <c r="B7" s="15" t="s">
        <v>2101</v>
      </c>
      <c r="C7" s="15" t="s">
        <v>2109</v>
      </c>
      <c r="D7" s="15" t="s">
        <v>2110</v>
      </c>
      <c r="E7" s="28" t="s">
        <v>19</v>
      </c>
      <c r="F7" s="16"/>
      <c r="G7" s="16"/>
      <c r="H7" s="19" t="n">
        <f aca="false">LEN(IF(F7&lt;&gt;"",F7,D7))</f>
        <v>59</v>
      </c>
      <c r="I7" s="29" t="str">
        <f aca="false">IF(OR(H7&lt;4,H7&gt;140),"분량 확인","")</f>
        <v/>
      </c>
    </row>
    <row r="8" customFormat="false" ht="61.5" hidden="false" customHeight="true" outlineLevel="0" collapsed="false">
      <c r="A8" s="13" t="s">
        <v>2111</v>
      </c>
      <c r="B8" s="15" t="s">
        <v>2112</v>
      </c>
      <c r="C8" s="15" t="s">
        <v>2113</v>
      </c>
      <c r="D8" s="15" t="s">
        <v>2114</v>
      </c>
      <c r="E8" s="28" t="s">
        <v>19</v>
      </c>
      <c r="F8" s="16"/>
      <c r="G8" s="17" t="s">
        <v>2115</v>
      </c>
      <c r="H8" s="19" t="n">
        <f aca="false">LEN(IF(F8&lt;&gt;"",F8,D8))</f>
        <v>31</v>
      </c>
      <c r="I8" s="29" t="str">
        <f aca="false">IF(OR(H8&lt;4,H8&gt;140),"분량 확인","")</f>
        <v/>
      </c>
    </row>
    <row r="9" customFormat="false" ht="61.5" hidden="false" customHeight="true" outlineLevel="0" collapsed="false">
      <c r="A9" s="13" t="s">
        <v>2116</v>
      </c>
      <c r="B9" s="15" t="s">
        <v>2112</v>
      </c>
      <c r="C9" s="15" t="s">
        <v>2117</v>
      </c>
      <c r="D9" s="15" t="s">
        <v>2118</v>
      </c>
      <c r="E9" s="28" t="s">
        <v>19</v>
      </c>
      <c r="F9" s="16"/>
      <c r="G9" s="16"/>
      <c r="H9" s="19" t="n">
        <f aca="false">LEN(IF(F9&lt;&gt;"",F9,D9))</f>
        <v>107</v>
      </c>
      <c r="I9" s="29" t="str">
        <f aca="false">IF(OR(H9&lt;4,H9&gt;140),"분량 확인","")</f>
        <v/>
      </c>
    </row>
    <row r="10" customFormat="false" ht="61.5" hidden="false" customHeight="true" outlineLevel="0" collapsed="false">
      <c r="A10" s="13" t="s">
        <v>2119</v>
      </c>
      <c r="B10" s="15" t="s">
        <v>2112</v>
      </c>
      <c r="C10" s="15" t="s">
        <v>2120</v>
      </c>
      <c r="D10" s="15" t="s">
        <v>2121</v>
      </c>
      <c r="E10" s="28" t="s">
        <v>19</v>
      </c>
      <c r="F10" s="16"/>
      <c r="G10" s="16"/>
      <c r="H10" s="19" t="n">
        <f aca="false">LEN(IF(F10&lt;&gt;"",F10,D10))</f>
        <v>52</v>
      </c>
      <c r="I10" s="29" t="str">
        <f aca="false">IF(OR(H10&lt;4,H10&gt;140),"분량 확인","")</f>
        <v/>
      </c>
    </row>
    <row r="11" customFormat="false" ht="75.75" hidden="false" customHeight="true" outlineLevel="0" collapsed="false">
      <c r="A11" s="13" t="s">
        <v>2122</v>
      </c>
      <c r="B11" s="15" t="s">
        <v>2123</v>
      </c>
      <c r="C11" s="15" t="s">
        <v>2124</v>
      </c>
      <c r="D11" s="15" t="s">
        <v>2125</v>
      </c>
      <c r="E11" s="28" t="s">
        <v>19</v>
      </c>
      <c r="F11" s="16"/>
      <c r="G11" s="17" t="s">
        <v>2126</v>
      </c>
      <c r="H11" s="19" t="n">
        <f aca="false">LEN(IF(F11&lt;&gt;"",F11,D11))</f>
        <v>21</v>
      </c>
      <c r="I11" s="29" t="str">
        <f aca="false">IF(OR(H11&lt;4,H11&gt;140),"분량 확인","")</f>
        <v/>
      </c>
    </row>
    <row r="12" customFormat="false" ht="75.75" hidden="false" customHeight="true" outlineLevel="0" collapsed="false">
      <c r="A12" s="13" t="s">
        <v>2127</v>
      </c>
      <c r="B12" s="15" t="s">
        <v>2123</v>
      </c>
      <c r="C12" s="15" t="s">
        <v>2128</v>
      </c>
      <c r="D12" s="15" t="s">
        <v>2129</v>
      </c>
      <c r="E12" s="28" t="s">
        <v>19</v>
      </c>
      <c r="F12" s="16"/>
      <c r="G12" s="16"/>
      <c r="H12" s="19" t="n">
        <f aca="false">LEN(IF(F12&lt;&gt;"",F12,D12))</f>
        <v>54</v>
      </c>
      <c r="I12" s="29" t="str">
        <f aca="false">IF(OR(H12&lt;4,H12&gt;140),"분량 확인","")</f>
        <v/>
      </c>
    </row>
    <row r="13" customFormat="false" ht="75.75" hidden="false" customHeight="true" outlineLevel="0" collapsed="false">
      <c r="A13" s="13" t="s">
        <v>2130</v>
      </c>
      <c r="B13" s="15" t="s">
        <v>2123</v>
      </c>
      <c r="C13" s="15" t="s">
        <v>2131</v>
      </c>
      <c r="D13" s="15" t="s">
        <v>2132</v>
      </c>
      <c r="E13" s="28" t="s">
        <v>19</v>
      </c>
      <c r="F13" s="16"/>
      <c r="G13" s="16"/>
      <c r="H13" s="19" t="n">
        <f aca="false">LEN(IF(F13&lt;&gt;"",F13,D13))</f>
        <v>52</v>
      </c>
      <c r="I13" s="29" t="str">
        <f aca="false">IF(OR(H13&lt;4,H13&gt;140),"분량 확인","")</f>
        <v/>
      </c>
    </row>
    <row r="14" customFormat="false" ht="75.75" hidden="false" customHeight="true" outlineLevel="0" collapsed="false">
      <c r="A14" s="13" t="s">
        <v>2133</v>
      </c>
      <c r="B14" s="15" t="s">
        <v>2134</v>
      </c>
      <c r="C14" s="15" t="s">
        <v>2135</v>
      </c>
      <c r="D14" s="15" t="s">
        <v>2136</v>
      </c>
      <c r="E14" s="28" t="s">
        <v>19</v>
      </c>
      <c r="F14" s="16"/>
      <c r="G14" s="17" t="s">
        <v>2137</v>
      </c>
      <c r="H14" s="19" t="n">
        <f aca="false">LEN(IF(F14&lt;&gt;"",F14,D14))</f>
        <v>19</v>
      </c>
      <c r="I14" s="29" t="str">
        <f aca="false">IF(OR(H14&lt;4,H14&gt;140),"분량 확인","")</f>
        <v/>
      </c>
    </row>
    <row r="15" customFormat="false" ht="75.75" hidden="false" customHeight="true" outlineLevel="0" collapsed="false">
      <c r="A15" s="13" t="s">
        <v>2138</v>
      </c>
      <c r="B15" s="15" t="s">
        <v>2134</v>
      </c>
      <c r="C15" s="15" t="s">
        <v>2139</v>
      </c>
      <c r="D15" s="15" t="s">
        <v>2140</v>
      </c>
      <c r="E15" s="28" t="s">
        <v>19</v>
      </c>
      <c r="F15" s="16"/>
      <c r="G15" s="16"/>
      <c r="H15" s="19" t="n">
        <f aca="false">LEN(IF(F15&lt;&gt;"",F15,D15))</f>
        <v>43</v>
      </c>
      <c r="I15" s="29" t="str">
        <f aca="false">IF(OR(H15&lt;4,H15&gt;140),"분량 확인","")</f>
        <v/>
      </c>
    </row>
    <row r="16" customFormat="false" ht="75.75" hidden="false" customHeight="true" outlineLevel="0" collapsed="false">
      <c r="A16" s="13" t="s">
        <v>2141</v>
      </c>
      <c r="B16" s="15" t="s">
        <v>2134</v>
      </c>
      <c r="C16" s="15" t="s">
        <v>2142</v>
      </c>
      <c r="D16" s="15" t="s">
        <v>2143</v>
      </c>
      <c r="E16" s="28" t="s">
        <v>19</v>
      </c>
      <c r="F16" s="16"/>
      <c r="G16" s="16"/>
      <c r="H16" s="19" t="n">
        <f aca="false">LEN(IF(F16&lt;&gt;"",F16,D16))</f>
        <v>49</v>
      </c>
      <c r="I16" s="29" t="str">
        <f aca="false">IF(OR(H16&lt;4,H16&gt;140),"분량 확인","")</f>
        <v/>
      </c>
    </row>
    <row r="17" customFormat="false" ht="61.5" hidden="false" customHeight="true" outlineLevel="0" collapsed="false">
      <c r="A17" s="13" t="s">
        <v>2144</v>
      </c>
      <c r="B17" s="15" t="s">
        <v>2145</v>
      </c>
      <c r="C17" s="15" t="s">
        <v>2146</v>
      </c>
      <c r="D17" s="14" t="s">
        <v>2147</v>
      </c>
      <c r="E17" s="28" t="s">
        <v>19</v>
      </c>
      <c r="F17" s="16"/>
      <c r="G17" s="17" t="s">
        <v>2148</v>
      </c>
      <c r="H17" s="19" t="n">
        <f aca="false">LEN(IF(F17&lt;&gt;"",F17,D17))</f>
        <v>30</v>
      </c>
      <c r="I17" s="29" t="str">
        <f aca="false">IF(OR(H17&lt;4,H17&gt;140),"분량 확인","")</f>
        <v/>
      </c>
    </row>
    <row r="18" customFormat="false" ht="75.75" hidden="false" customHeight="true" outlineLevel="0" collapsed="false">
      <c r="A18" s="13" t="s">
        <v>2149</v>
      </c>
      <c r="B18" s="15" t="s">
        <v>2145</v>
      </c>
      <c r="C18" s="15" t="s">
        <v>2150</v>
      </c>
      <c r="D18" s="15" t="s">
        <v>2151</v>
      </c>
      <c r="E18" s="28" t="s">
        <v>19</v>
      </c>
      <c r="F18" s="16"/>
      <c r="G18" s="16"/>
      <c r="H18" s="19" t="n">
        <f aca="false">LEN(IF(F18&lt;&gt;"",F18,D18))</f>
        <v>141</v>
      </c>
      <c r="I18" s="29" t="str">
        <f aca="false">IF(OR(H18&lt;4,H18&gt;140),"분량 확인","")</f>
        <v>분량 확인</v>
      </c>
    </row>
    <row r="19" customFormat="false" ht="61.5" hidden="false" customHeight="true" outlineLevel="0" collapsed="false">
      <c r="A19" s="13" t="s">
        <v>2152</v>
      </c>
      <c r="B19" s="15" t="s">
        <v>2145</v>
      </c>
      <c r="C19" s="15" t="s">
        <v>2153</v>
      </c>
      <c r="D19" s="14" t="s">
        <v>2154</v>
      </c>
      <c r="E19" s="28" t="s">
        <v>19</v>
      </c>
      <c r="F19" s="16"/>
      <c r="G19" s="16"/>
      <c r="H19" s="19" t="n">
        <f aca="false">LEN(IF(F19&lt;&gt;"",F19,D19))</f>
        <v>54</v>
      </c>
      <c r="I19" s="29" t="str">
        <f aca="false">IF(OR(H19&lt;4,H19&gt;140),"분량 확인","")</f>
        <v/>
      </c>
    </row>
    <row r="20" customFormat="false" ht="61.5" hidden="false" customHeight="true" outlineLevel="0" collapsed="false">
      <c r="A20" s="13" t="s">
        <v>2155</v>
      </c>
      <c r="B20" s="15" t="s">
        <v>2156</v>
      </c>
      <c r="C20" s="15" t="s">
        <v>2157</v>
      </c>
      <c r="D20" s="15" t="s">
        <v>2158</v>
      </c>
      <c r="E20" s="28" t="s">
        <v>19</v>
      </c>
      <c r="F20" s="16"/>
      <c r="G20" s="17" t="s">
        <v>2159</v>
      </c>
      <c r="H20" s="19" t="n">
        <f aca="false">LEN(IF(F20&lt;&gt;"",F20,D20))</f>
        <v>16</v>
      </c>
      <c r="I20" s="29" t="str">
        <f aca="false">IF(OR(H20&lt;4,H20&gt;140),"분량 확인","")</f>
        <v/>
      </c>
    </row>
    <row r="21" customFormat="false" ht="61.5" hidden="false" customHeight="true" outlineLevel="0" collapsed="false">
      <c r="A21" s="13" t="s">
        <v>2160</v>
      </c>
      <c r="B21" s="15" t="s">
        <v>2156</v>
      </c>
      <c r="C21" s="15" t="s">
        <v>2161</v>
      </c>
      <c r="D21" s="15" t="s">
        <v>2162</v>
      </c>
      <c r="E21" s="28" t="s">
        <v>19</v>
      </c>
      <c r="F21" s="16"/>
      <c r="G21" s="16"/>
      <c r="H21" s="19" t="n">
        <f aca="false">LEN(IF(F21&lt;&gt;"",F21,D21))</f>
        <v>45</v>
      </c>
      <c r="I21" s="29" t="str">
        <f aca="false">IF(OR(H21&lt;4,H21&gt;140),"분량 확인","")</f>
        <v/>
      </c>
    </row>
    <row r="22" customFormat="false" ht="75.75" hidden="false" customHeight="true" outlineLevel="0" collapsed="false">
      <c r="A22" s="13" t="s">
        <v>2163</v>
      </c>
      <c r="B22" s="15" t="s">
        <v>2156</v>
      </c>
      <c r="C22" s="15" t="s">
        <v>2164</v>
      </c>
      <c r="D22" s="15" t="s">
        <v>2165</v>
      </c>
      <c r="E22" s="28" t="s">
        <v>19</v>
      </c>
      <c r="F22" s="16"/>
      <c r="G22" s="16"/>
      <c r="H22" s="19" t="n">
        <f aca="false">LEN(IF(F22&lt;&gt;"",F22,D22))</f>
        <v>46</v>
      </c>
      <c r="I22" s="29" t="str">
        <f aca="false">IF(OR(H22&lt;4,H22&gt;140),"분량 확인","")</f>
        <v/>
      </c>
    </row>
    <row r="23" customFormat="false" ht="61.5" hidden="false" customHeight="true" outlineLevel="0" collapsed="false">
      <c r="A23" s="13" t="s">
        <v>2166</v>
      </c>
      <c r="B23" s="15" t="s">
        <v>2167</v>
      </c>
      <c r="C23" s="15" t="s">
        <v>2168</v>
      </c>
      <c r="D23" s="15" t="s">
        <v>2169</v>
      </c>
      <c r="E23" s="28" t="s">
        <v>19</v>
      </c>
      <c r="F23" s="16"/>
      <c r="G23" s="17" t="s">
        <v>2170</v>
      </c>
      <c r="H23" s="19" t="n">
        <f aca="false">LEN(IF(F23&lt;&gt;"",F23,D23))</f>
        <v>27</v>
      </c>
      <c r="I23" s="29" t="str">
        <f aca="false">IF(OR(H23&lt;4,H23&gt;140),"분량 확인","")</f>
        <v/>
      </c>
    </row>
    <row r="24" customFormat="false" ht="61.5" hidden="false" customHeight="true" outlineLevel="0" collapsed="false">
      <c r="A24" s="13" t="s">
        <v>2171</v>
      </c>
      <c r="B24" s="15" t="s">
        <v>2167</v>
      </c>
      <c r="C24" s="15" t="s">
        <v>2172</v>
      </c>
      <c r="D24" s="15" t="s">
        <v>2173</v>
      </c>
      <c r="E24" s="28" t="s">
        <v>19</v>
      </c>
      <c r="F24" s="16"/>
      <c r="G24" s="16"/>
      <c r="H24" s="19" t="n">
        <f aca="false">LEN(IF(F24&lt;&gt;"",F24,D24))</f>
        <v>114</v>
      </c>
      <c r="I24" s="29" t="str">
        <f aca="false">IF(OR(H24&lt;4,H24&gt;140),"분량 확인","")</f>
        <v/>
      </c>
    </row>
    <row r="25" customFormat="false" ht="61.5" hidden="false" customHeight="true" outlineLevel="0" collapsed="false">
      <c r="A25" s="13" t="s">
        <v>2174</v>
      </c>
      <c r="B25" s="15" t="s">
        <v>2167</v>
      </c>
      <c r="C25" s="15" t="s">
        <v>2175</v>
      </c>
      <c r="D25" s="15" t="s">
        <v>2176</v>
      </c>
      <c r="E25" s="28" t="s">
        <v>19</v>
      </c>
      <c r="F25" s="16"/>
      <c r="G25" s="16"/>
      <c r="H25" s="19" t="n">
        <f aca="false">LEN(IF(F25&lt;&gt;"",F25,D25))</f>
        <v>55</v>
      </c>
      <c r="I25" s="29" t="str">
        <f aca="false">IF(OR(H25&lt;4,H25&gt;140),"분량 확인","")</f>
        <v/>
      </c>
    </row>
    <row r="26" customFormat="false" ht="61.5" hidden="false" customHeight="true" outlineLevel="0" collapsed="false">
      <c r="A26" s="13" t="s">
        <v>2177</v>
      </c>
      <c r="B26" s="15" t="s">
        <v>2178</v>
      </c>
      <c r="C26" s="15" t="s">
        <v>2179</v>
      </c>
      <c r="D26" s="15" t="s">
        <v>2180</v>
      </c>
      <c r="E26" s="28" t="s">
        <v>19</v>
      </c>
      <c r="F26" s="16"/>
      <c r="G26" s="17" t="s">
        <v>2181</v>
      </c>
      <c r="H26" s="19" t="n">
        <f aca="false">LEN(IF(F26&lt;&gt;"",F26,D26))</f>
        <v>36</v>
      </c>
      <c r="I26" s="29" t="str">
        <f aca="false">IF(OR(H26&lt;4,H26&gt;140),"분량 확인","")</f>
        <v/>
      </c>
    </row>
    <row r="27" customFormat="false" ht="90" hidden="false" customHeight="true" outlineLevel="0" collapsed="false">
      <c r="A27" s="13" t="s">
        <v>2182</v>
      </c>
      <c r="B27" s="15" t="s">
        <v>2178</v>
      </c>
      <c r="C27" s="15" t="s">
        <v>2183</v>
      </c>
      <c r="D27" s="15" t="s">
        <v>2184</v>
      </c>
      <c r="E27" s="28" t="s">
        <v>19</v>
      </c>
      <c r="F27" s="16"/>
      <c r="G27" s="16"/>
      <c r="H27" s="19" t="n">
        <f aca="false">LEN(IF(F27&lt;&gt;"",F27,D27))</f>
        <v>152</v>
      </c>
      <c r="I27" s="29" t="str">
        <f aca="false">IF(OR(H27&lt;4,H27&gt;140),"분량 확인","")</f>
        <v>분량 확인</v>
      </c>
    </row>
    <row r="28" customFormat="false" ht="61.5" hidden="false" customHeight="true" outlineLevel="0" collapsed="false">
      <c r="A28" s="13" t="s">
        <v>2185</v>
      </c>
      <c r="B28" s="15" t="s">
        <v>2178</v>
      </c>
      <c r="C28" s="15" t="s">
        <v>2186</v>
      </c>
      <c r="D28" s="15" t="s">
        <v>2187</v>
      </c>
      <c r="E28" s="28" t="s">
        <v>19</v>
      </c>
      <c r="F28" s="16"/>
      <c r="G28" s="16"/>
      <c r="H28" s="19" t="n">
        <f aca="false">LEN(IF(F28&lt;&gt;"",F28,D28))</f>
        <v>50</v>
      </c>
      <c r="I28" s="29" t="str">
        <f aca="false">IF(OR(H28&lt;4,H28&gt;140),"분량 확인","")</f>
        <v/>
      </c>
    </row>
    <row r="29" customFormat="false" ht="75.75" hidden="false" customHeight="true" outlineLevel="0" collapsed="false">
      <c r="A29" s="13" t="s">
        <v>2188</v>
      </c>
      <c r="B29" s="15" t="s">
        <v>2189</v>
      </c>
      <c r="C29" s="15" t="s">
        <v>2190</v>
      </c>
      <c r="D29" s="15" t="s">
        <v>2191</v>
      </c>
      <c r="E29" s="28" t="s">
        <v>19</v>
      </c>
      <c r="F29" s="16"/>
      <c r="G29" s="17" t="s">
        <v>2192</v>
      </c>
      <c r="H29" s="19" t="n">
        <f aca="false">LEN(IF(F29&lt;&gt;"",F29,D29))</f>
        <v>17</v>
      </c>
      <c r="I29" s="29" t="str">
        <f aca="false">IF(OR(H29&lt;4,H29&gt;140),"분량 확인","")</f>
        <v/>
      </c>
    </row>
    <row r="30" customFormat="false" ht="75.75" hidden="false" customHeight="true" outlineLevel="0" collapsed="false">
      <c r="A30" s="13" t="s">
        <v>2193</v>
      </c>
      <c r="B30" s="15" t="s">
        <v>2189</v>
      </c>
      <c r="C30" s="15" t="s">
        <v>2194</v>
      </c>
      <c r="D30" s="15" t="s">
        <v>2195</v>
      </c>
      <c r="E30" s="28" t="s">
        <v>19</v>
      </c>
      <c r="F30" s="16"/>
      <c r="G30" s="16"/>
      <c r="H30" s="19" t="n">
        <f aca="false">LEN(IF(F30&lt;&gt;"",F30,D30))</f>
        <v>62</v>
      </c>
      <c r="I30" s="29" t="str">
        <f aca="false">IF(OR(H30&lt;4,H30&gt;140),"분량 확인","")</f>
        <v/>
      </c>
    </row>
    <row r="31" customFormat="false" ht="75.75" hidden="false" customHeight="true" outlineLevel="0" collapsed="false">
      <c r="A31" s="13" t="s">
        <v>2196</v>
      </c>
      <c r="B31" s="15" t="s">
        <v>2189</v>
      </c>
      <c r="C31" s="15" t="s">
        <v>2197</v>
      </c>
      <c r="D31" s="15" t="s">
        <v>2198</v>
      </c>
      <c r="E31" s="28" t="s">
        <v>19</v>
      </c>
      <c r="F31" s="16"/>
      <c r="G31" s="16"/>
      <c r="H31" s="19" t="n">
        <f aca="false">LEN(IF(F31&lt;&gt;"",F31,D31))</f>
        <v>42</v>
      </c>
      <c r="I31" s="29" t="str">
        <f aca="false">IF(OR(H31&lt;4,H31&gt;140),"분량 확인","")</f>
        <v/>
      </c>
    </row>
    <row r="32" customFormat="false" ht="61.5" hidden="false" customHeight="true" outlineLevel="0" collapsed="false">
      <c r="A32" s="13" t="s">
        <v>2199</v>
      </c>
      <c r="B32" s="15" t="s">
        <v>2200</v>
      </c>
      <c r="C32" s="15" t="s">
        <v>2201</v>
      </c>
      <c r="D32" s="15" t="s">
        <v>2202</v>
      </c>
      <c r="E32" s="28" t="s">
        <v>19</v>
      </c>
      <c r="F32" s="16"/>
      <c r="G32" s="17" t="s">
        <v>2203</v>
      </c>
      <c r="H32" s="19" t="n">
        <f aca="false">LEN(IF(F32&lt;&gt;"",F32,D32))</f>
        <v>26</v>
      </c>
      <c r="I32" s="29" t="str">
        <f aca="false">IF(OR(H32&lt;4,H32&gt;140),"분량 확인","")</f>
        <v/>
      </c>
    </row>
    <row r="33" customFormat="false" ht="75.75" hidden="false" customHeight="true" outlineLevel="0" collapsed="false">
      <c r="A33" s="13" t="s">
        <v>2204</v>
      </c>
      <c r="B33" s="15" t="s">
        <v>2200</v>
      </c>
      <c r="C33" s="15" t="s">
        <v>2205</v>
      </c>
      <c r="D33" s="15" t="s">
        <v>2206</v>
      </c>
      <c r="E33" s="28" t="s">
        <v>19</v>
      </c>
      <c r="F33" s="16"/>
      <c r="G33" s="16"/>
      <c r="H33" s="19" t="n">
        <f aca="false">LEN(IF(F33&lt;&gt;"",F33,D33))</f>
        <v>142</v>
      </c>
      <c r="I33" s="29" t="str">
        <f aca="false">IF(OR(H33&lt;4,H33&gt;140),"분량 확인","")</f>
        <v>분량 확인</v>
      </c>
    </row>
    <row r="34" customFormat="false" ht="61.5" hidden="false" customHeight="true" outlineLevel="0" collapsed="false">
      <c r="A34" s="13" t="s">
        <v>2207</v>
      </c>
      <c r="B34" s="15" t="s">
        <v>2200</v>
      </c>
      <c r="C34" s="15" t="s">
        <v>2208</v>
      </c>
      <c r="D34" s="15" t="s">
        <v>2209</v>
      </c>
      <c r="E34" s="28" t="s">
        <v>19</v>
      </c>
      <c r="F34" s="16"/>
      <c r="G34" s="16"/>
      <c r="H34" s="19" t="n">
        <f aca="false">LEN(IF(F34&lt;&gt;"",F34,D34))</f>
        <v>46</v>
      </c>
      <c r="I34" s="29" t="str">
        <f aca="false">IF(OR(H34&lt;4,H34&gt;140),"분량 확인","")</f>
        <v/>
      </c>
    </row>
    <row r="35" customFormat="false" ht="61.5" hidden="false" customHeight="true" outlineLevel="0" collapsed="false">
      <c r="A35" s="13" t="s">
        <v>2210</v>
      </c>
      <c r="B35" s="15" t="s">
        <v>2211</v>
      </c>
      <c r="C35" s="15" t="s">
        <v>2212</v>
      </c>
      <c r="D35" s="15" t="s">
        <v>2213</v>
      </c>
      <c r="E35" s="28" t="s">
        <v>19</v>
      </c>
      <c r="F35" s="16"/>
      <c r="G35" s="17" t="s">
        <v>2214</v>
      </c>
      <c r="H35" s="19" t="n">
        <f aca="false">LEN(IF(F35&lt;&gt;"",F35,D35))</f>
        <v>23</v>
      </c>
      <c r="I35" s="29" t="str">
        <f aca="false">IF(OR(H35&lt;4,H35&gt;140),"분량 확인","")</f>
        <v/>
      </c>
    </row>
    <row r="36" customFormat="false" ht="61.5" hidden="false" customHeight="true" outlineLevel="0" collapsed="false">
      <c r="A36" s="13" t="s">
        <v>2215</v>
      </c>
      <c r="B36" s="15" t="s">
        <v>2211</v>
      </c>
      <c r="C36" s="15" t="s">
        <v>2216</v>
      </c>
      <c r="D36" s="15" t="s">
        <v>2217</v>
      </c>
      <c r="E36" s="28" t="s">
        <v>19</v>
      </c>
      <c r="F36" s="16"/>
      <c r="G36" s="16"/>
      <c r="H36" s="19" t="n">
        <f aca="false">LEN(IF(F36&lt;&gt;"",F36,D36))</f>
        <v>56</v>
      </c>
      <c r="I36" s="29" t="str">
        <f aca="false">IF(OR(H36&lt;4,H36&gt;140),"분량 확인","")</f>
        <v/>
      </c>
    </row>
    <row r="37" customFormat="false" ht="75.75" hidden="false" customHeight="true" outlineLevel="0" collapsed="false">
      <c r="A37" s="13" t="s">
        <v>2218</v>
      </c>
      <c r="B37" s="15" t="s">
        <v>2211</v>
      </c>
      <c r="C37" s="15" t="s">
        <v>2219</v>
      </c>
      <c r="D37" s="15" t="s">
        <v>2220</v>
      </c>
      <c r="E37" s="28" t="s">
        <v>19</v>
      </c>
      <c r="F37" s="16"/>
      <c r="G37" s="16"/>
      <c r="H37" s="19" t="n">
        <f aca="false">LEN(IF(F37&lt;&gt;"",F37,D37))</f>
        <v>67</v>
      </c>
      <c r="I37" s="29" t="str">
        <f aca="false">IF(OR(H37&lt;4,H37&gt;140),"분량 확인","")</f>
        <v/>
      </c>
    </row>
    <row r="38" customFormat="false" ht="61.5" hidden="false" customHeight="true" outlineLevel="0" collapsed="false">
      <c r="A38" s="13" t="s">
        <v>2221</v>
      </c>
      <c r="B38" s="15" t="s">
        <v>2222</v>
      </c>
      <c r="C38" s="15" t="s">
        <v>2223</v>
      </c>
      <c r="D38" s="15" t="s">
        <v>2224</v>
      </c>
      <c r="E38" s="28" t="s">
        <v>19</v>
      </c>
      <c r="F38" s="16"/>
      <c r="G38" s="17" t="s">
        <v>2225</v>
      </c>
      <c r="H38" s="19" t="n">
        <f aca="false">LEN(IF(F38&lt;&gt;"",F38,D38))</f>
        <v>23</v>
      </c>
      <c r="I38" s="29" t="str">
        <f aca="false">IF(OR(H38&lt;4,H38&gt;140),"분량 확인","")</f>
        <v/>
      </c>
    </row>
    <row r="39" customFormat="false" ht="61.5" hidden="false" customHeight="true" outlineLevel="0" collapsed="false">
      <c r="A39" s="13" t="s">
        <v>2226</v>
      </c>
      <c r="B39" s="15" t="s">
        <v>2222</v>
      </c>
      <c r="C39" s="15" t="s">
        <v>2227</v>
      </c>
      <c r="D39" s="15" t="s">
        <v>2228</v>
      </c>
      <c r="E39" s="28" t="s">
        <v>19</v>
      </c>
      <c r="F39" s="16"/>
      <c r="G39" s="16"/>
      <c r="H39" s="19" t="n">
        <f aca="false">LEN(IF(F39&lt;&gt;"",F39,D39))</f>
        <v>44</v>
      </c>
      <c r="I39" s="29" t="str">
        <f aca="false">IF(OR(H39&lt;4,H39&gt;140),"분량 확인","")</f>
        <v/>
      </c>
    </row>
    <row r="40" customFormat="false" ht="61.5" hidden="false" customHeight="true" outlineLevel="0" collapsed="false">
      <c r="A40" s="13" t="s">
        <v>2229</v>
      </c>
      <c r="B40" s="15" t="s">
        <v>2222</v>
      </c>
      <c r="C40" s="15" t="s">
        <v>2230</v>
      </c>
      <c r="D40" s="15" t="s">
        <v>2231</v>
      </c>
      <c r="E40" s="28" t="s">
        <v>19</v>
      </c>
      <c r="F40" s="16"/>
      <c r="G40" s="16"/>
      <c r="H40" s="19" t="n">
        <f aca="false">LEN(IF(F40&lt;&gt;"",F40,D40))</f>
        <v>54</v>
      </c>
      <c r="I40" s="29" t="str">
        <f aca="false">IF(OR(H40&lt;4,H40&gt;140),"분량 확인","")</f>
        <v/>
      </c>
    </row>
    <row r="41" customFormat="false" ht="61.5" hidden="false" customHeight="true" outlineLevel="0" collapsed="false">
      <c r="A41" s="13" t="s">
        <v>2232</v>
      </c>
      <c r="B41" s="15" t="s">
        <v>2233</v>
      </c>
      <c r="C41" s="15" t="s">
        <v>2234</v>
      </c>
      <c r="D41" s="15" t="s">
        <v>2235</v>
      </c>
      <c r="E41" s="28" t="s">
        <v>19</v>
      </c>
      <c r="F41" s="16"/>
      <c r="G41" s="17" t="s">
        <v>2236</v>
      </c>
      <c r="H41" s="19" t="n">
        <f aca="false">LEN(IF(F41&lt;&gt;"",F41,D41))</f>
        <v>23</v>
      </c>
      <c r="I41" s="29" t="str">
        <f aca="false">IF(OR(H41&lt;4,H41&gt;140),"분량 확인","")</f>
        <v/>
      </c>
    </row>
    <row r="42" customFormat="false" ht="61.5" hidden="false" customHeight="true" outlineLevel="0" collapsed="false">
      <c r="A42" s="13" t="s">
        <v>2237</v>
      </c>
      <c r="B42" s="15" t="s">
        <v>2233</v>
      </c>
      <c r="C42" s="15" t="s">
        <v>2238</v>
      </c>
      <c r="D42" s="15" t="s">
        <v>2239</v>
      </c>
      <c r="E42" s="28" t="s">
        <v>19</v>
      </c>
      <c r="F42" s="16"/>
      <c r="G42" s="16"/>
      <c r="H42" s="19" t="n">
        <f aca="false">LEN(IF(F42&lt;&gt;"",F42,D42))</f>
        <v>40</v>
      </c>
      <c r="I42" s="29" t="str">
        <f aca="false">IF(OR(H42&lt;4,H42&gt;140),"분량 확인","")</f>
        <v/>
      </c>
    </row>
    <row r="43" customFormat="false" ht="61.5" hidden="false" customHeight="true" outlineLevel="0" collapsed="false">
      <c r="A43" s="13" t="s">
        <v>2240</v>
      </c>
      <c r="B43" s="15" t="s">
        <v>2233</v>
      </c>
      <c r="C43" s="15" t="s">
        <v>2241</v>
      </c>
      <c r="D43" s="15" t="s">
        <v>2242</v>
      </c>
      <c r="E43" s="28" t="s">
        <v>19</v>
      </c>
      <c r="F43" s="16"/>
      <c r="G43" s="16"/>
      <c r="H43" s="19" t="n">
        <f aca="false">LEN(IF(F43&lt;&gt;"",F43,D43))</f>
        <v>51</v>
      </c>
      <c r="I43" s="29" t="str">
        <f aca="false">IF(OR(H43&lt;4,H43&gt;140),"분량 확인","")</f>
        <v/>
      </c>
    </row>
    <row r="44" customFormat="false" ht="61.5" hidden="false" customHeight="true" outlineLevel="0" collapsed="false">
      <c r="A44" s="13" t="s">
        <v>2243</v>
      </c>
      <c r="B44" s="15" t="s">
        <v>2244</v>
      </c>
      <c r="C44" s="15" t="s">
        <v>2245</v>
      </c>
      <c r="D44" s="15" t="s">
        <v>2246</v>
      </c>
      <c r="E44" s="28" t="s">
        <v>19</v>
      </c>
      <c r="F44" s="16"/>
      <c r="G44" s="17" t="s">
        <v>2247</v>
      </c>
      <c r="H44" s="19" t="n">
        <f aca="false">LEN(IF(F44&lt;&gt;"",F44,D44))</f>
        <v>30</v>
      </c>
      <c r="I44" s="29" t="str">
        <f aca="false">IF(OR(H44&lt;4,H44&gt;140),"분량 확인","")</f>
        <v/>
      </c>
    </row>
    <row r="45" customFormat="false" ht="61.5" hidden="false" customHeight="true" outlineLevel="0" collapsed="false">
      <c r="A45" s="13" t="s">
        <v>2248</v>
      </c>
      <c r="B45" s="15" t="s">
        <v>2244</v>
      </c>
      <c r="C45" s="15" t="s">
        <v>2249</v>
      </c>
      <c r="D45" s="15" t="s">
        <v>2250</v>
      </c>
      <c r="E45" s="28" t="s">
        <v>19</v>
      </c>
      <c r="F45" s="16"/>
      <c r="G45" s="16"/>
      <c r="H45" s="19" t="n">
        <f aca="false">LEN(IF(F45&lt;&gt;"",F45,D45))</f>
        <v>59</v>
      </c>
      <c r="I45" s="29" t="str">
        <f aca="false">IF(OR(H45&lt;4,H45&gt;140),"분량 확인","")</f>
        <v/>
      </c>
    </row>
    <row r="46" customFormat="false" ht="75.75" hidden="false" customHeight="true" outlineLevel="0" collapsed="false">
      <c r="A46" s="13" t="s">
        <v>2251</v>
      </c>
      <c r="B46" s="15" t="s">
        <v>2244</v>
      </c>
      <c r="C46" s="15" t="s">
        <v>2252</v>
      </c>
      <c r="D46" s="15" t="s">
        <v>2253</v>
      </c>
      <c r="E46" s="28" t="s">
        <v>19</v>
      </c>
      <c r="F46" s="16"/>
      <c r="G46" s="16"/>
      <c r="H46" s="19" t="n">
        <f aca="false">LEN(IF(F46&lt;&gt;"",F46,D46))</f>
        <v>48</v>
      </c>
      <c r="I46" s="29" t="str">
        <f aca="false">IF(OR(H46&lt;4,H46&gt;140),"분량 확인","")</f>
        <v/>
      </c>
    </row>
    <row r="47" customFormat="false" ht="75.75" hidden="false" customHeight="true" outlineLevel="0" collapsed="false">
      <c r="A47" s="13" t="s">
        <v>2254</v>
      </c>
      <c r="B47" s="15" t="s">
        <v>2255</v>
      </c>
      <c r="C47" s="15" t="s">
        <v>2256</v>
      </c>
      <c r="D47" s="15" t="s">
        <v>2257</v>
      </c>
      <c r="E47" s="28" t="s">
        <v>19</v>
      </c>
      <c r="F47" s="16"/>
      <c r="G47" s="17" t="s">
        <v>2258</v>
      </c>
      <c r="H47" s="19" t="n">
        <f aca="false">LEN(IF(F47&lt;&gt;"",F47,D47))</f>
        <v>15</v>
      </c>
      <c r="I47" s="29" t="str">
        <f aca="false">IF(OR(H47&lt;4,H47&gt;140),"분량 확인","")</f>
        <v/>
      </c>
    </row>
    <row r="48" customFormat="false" ht="75.75" hidden="false" customHeight="true" outlineLevel="0" collapsed="false">
      <c r="A48" s="13" t="s">
        <v>2259</v>
      </c>
      <c r="B48" s="15" t="s">
        <v>2255</v>
      </c>
      <c r="C48" s="15" t="s">
        <v>2260</v>
      </c>
      <c r="D48" s="15" t="s">
        <v>2261</v>
      </c>
      <c r="E48" s="28" t="s">
        <v>19</v>
      </c>
      <c r="F48" s="16"/>
      <c r="G48" s="16"/>
      <c r="H48" s="19" t="n">
        <f aca="false">LEN(IF(F48&lt;&gt;"",F48,D48))</f>
        <v>43</v>
      </c>
      <c r="I48" s="29" t="str">
        <f aca="false">IF(OR(H48&lt;4,H48&gt;140),"분량 확인","")</f>
        <v/>
      </c>
    </row>
    <row r="49" customFormat="false" ht="75.75" hidden="false" customHeight="true" outlineLevel="0" collapsed="false">
      <c r="A49" s="13" t="s">
        <v>2262</v>
      </c>
      <c r="B49" s="15" t="s">
        <v>2255</v>
      </c>
      <c r="C49" s="15" t="s">
        <v>2263</v>
      </c>
      <c r="D49" s="15" t="s">
        <v>2264</v>
      </c>
      <c r="E49" s="28" t="s">
        <v>19</v>
      </c>
      <c r="F49" s="16"/>
      <c r="G49" s="16"/>
      <c r="H49" s="19" t="n">
        <f aca="false">LEN(IF(F49&lt;&gt;"",F49,D49))</f>
        <v>48</v>
      </c>
      <c r="I49" s="29" t="str">
        <f aca="false">IF(OR(H49&lt;4,H49&gt;140),"분량 확인","")</f>
        <v/>
      </c>
    </row>
    <row r="50" customFormat="false" ht="75.75" hidden="false" customHeight="true" outlineLevel="0" collapsed="false">
      <c r="A50" s="13" t="s">
        <v>2265</v>
      </c>
      <c r="B50" s="15" t="s">
        <v>2266</v>
      </c>
      <c r="C50" s="15" t="s">
        <v>2267</v>
      </c>
      <c r="D50" s="15" t="s">
        <v>2268</v>
      </c>
      <c r="E50" s="28" t="s">
        <v>19</v>
      </c>
      <c r="F50" s="16"/>
      <c r="G50" s="17" t="s">
        <v>2269</v>
      </c>
      <c r="H50" s="19" t="n">
        <f aca="false">LEN(IF(F50&lt;&gt;"",F50,D50))</f>
        <v>19</v>
      </c>
      <c r="I50" s="29" t="str">
        <f aca="false">IF(OR(H50&lt;4,H50&gt;140),"분량 확인","")</f>
        <v/>
      </c>
    </row>
    <row r="51" customFormat="false" ht="75.75" hidden="false" customHeight="true" outlineLevel="0" collapsed="false">
      <c r="A51" s="13" t="s">
        <v>2270</v>
      </c>
      <c r="B51" s="15" t="s">
        <v>2266</v>
      </c>
      <c r="C51" s="15" t="s">
        <v>2271</v>
      </c>
      <c r="D51" s="15" t="s">
        <v>2272</v>
      </c>
      <c r="E51" s="28" t="s">
        <v>19</v>
      </c>
      <c r="F51" s="16"/>
      <c r="G51" s="16"/>
      <c r="H51" s="19" t="n">
        <f aca="false">LEN(IF(F51&lt;&gt;"",F51,D51))</f>
        <v>46</v>
      </c>
      <c r="I51" s="29" t="str">
        <f aca="false">IF(OR(H51&lt;4,H51&gt;140),"분량 확인","")</f>
        <v/>
      </c>
    </row>
    <row r="52" customFormat="false" ht="75.75" hidden="false" customHeight="true" outlineLevel="0" collapsed="false">
      <c r="A52" s="13" t="s">
        <v>2273</v>
      </c>
      <c r="B52" s="15" t="s">
        <v>2266</v>
      </c>
      <c r="C52" s="15" t="s">
        <v>2274</v>
      </c>
      <c r="D52" s="15" t="s">
        <v>2275</v>
      </c>
      <c r="E52" s="28" t="s">
        <v>19</v>
      </c>
      <c r="F52" s="16"/>
      <c r="G52" s="16"/>
      <c r="H52" s="19" t="n">
        <f aca="false">LEN(IF(F52&lt;&gt;"",F52,D52))</f>
        <v>46</v>
      </c>
      <c r="I52" s="29" t="str">
        <f aca="false">IF(OR(H52&lt;4,H52&gt;140),"분량 확인","")</f>
        <v/>
      </c>
    </row>
    <row r="53" customFormat="false" ht="61.5" hidden="false" customHeight="true" outlineLevel="0" collapsed="false">
      <c r="A53" s="13" t="s">
        <v>2276</v>
      </c>
      <c r="B53" s="15" t="s">
        <v>2277</v>
      </c>
      <c r="C53" s="15" t="s">
        <v>2278</v>
      </c>
      <c r="D53" s="15" t="s">
        <v>2279</v>
      </c>
      <c r="E53" s="28" t="s">
        <v>19</v>
      </c>
      <c r="F53" s="16"/>
      <c r="G53" s="17" t="s">
        <v>2280</v>
      </c>
      <c r="H53" s="19" t="n">
        <f aca="false">LEN(IF(F53&lt;&gt;"",F53,D53))</f>
        <v>30</v>
      </c>
      <c r="I53" s="29" t="str">
        <f aca="false">IF(OR(H53&lt;4,H53&gt;140),"분량 확인","")</f>
        <v/>
      </c>
    </row>
    <row r="54" customFormat="false" ht="61.5" hidden="false" customHeight="true" outlineLevel="0" collapsed="false">
      <c r="A54" s="13" t="s">
        <v>2281</v>
      </c>
      <c r="B54" s="15" t="s">
        <v>2277</v>
      </c>
      <c r="C54" s="15" t="s">
        <v>2282</v>
      </c>
      <c r="D54" s="15" t="s">
        <v>2283</v>
      </c>
      <c r="E54" s="28" t="s">
        <v>19</v>
      </c>
      <c r="F54" s="16"/>
      <c r="G54" s="16"/>
      <c r="H54" s="19" t="n">
        <f aca="false">LEN(IF(F54&lt;&gt;"",F54,D54))</f>
        <v>53</v>
      </c>
      <c r="I54" s="29" t="str">
        <f aca="false">IF(OR(H54&lt;4,H54&gt;140),"분량 확인","")</f>
        <v/>
      </c>
    </row>
    <row r="55" customFormat="false" ht="75.75" hidden="false" customHeight="true" outlineLevel="0" collapsed="false">
      <c r="A55" s="13" t="s">
        <v>2284</v>
      </c>
      <c r="B55" s="15" t="s">
        <v>2277</v>
      </c>
      <c r="C55" s="15" t="s">
        <v>2285</v>
      </c>
      <c r="D55" s="15" t="s">
        <v>2286</v>
      </c>
      <c r="E55" s="28" t="s">
        <v>19</v>
      </c>
      <c r="F55" s="16"/>
      <c r="G55" s="16"/>
      <c r="H55" s="19" t="n">
        <f aca="false">LEN(IF(F55&lt;&gt;"",F55,D55))</f>
        <v>57</v>
      </c>
      <c r="I55" s="29" t="str">
        <f aca="false">IF(OR(H55&lt;4,H55&gt;140),"분량 확인","")</f>
        <v/>
      </c>
    </row>
    <row r="56" customFormat="false" ht="48" hidden="false" customHeight="true" outlineLevel="0" collapsed="false">
      <c r="A56" s="13" t="s">
        <v>2287</v>
      </c>
      <c r="B56" s="15" t="s">
        <v>2288</v>
      </c>
      <c r="C56" s="15" t="s">
        <v>2289</v>
      </c>
      <c r="D56" s="15" t="s">
        <v>2290</v>
      </c>
      <c r="E56" s="28" t="s">
        <v>19</v>
      </c>
      <c r="F56" s="16"/>
      <c r="G56" s="16"/>
      <c r="H56" s="19" t="n">
        <f aca="false">LEN(IF(F56&lt;&gt;"",F56,D56))</f>
        <v>11</v>
      </c>
      <c r="I56" s="29" t="str">
        <f aca="false">IF(OR(H56&lt;4,H56&gt;140),"분량 확인","")</f>
        <v/>
      </c>
    </row>
    <row r="57" customFormat="false" ht="48" hidden="false" customHeight="true" outlineLevel="0" collapsed="false">
      <c r="A57" s="13" t="s">
        <v>2291</v>
      </c>
      <c r="B57" s="15" t="s">
        <v>2288</v>
      </c>
      <c r="C57" s="15" t="s">
        <v>2292</v>
      </c>
      <c r="D57" s="15" t="s">
        <v>2293</v>
      </c>
      <c r="E57" s="28" t="s">
        <v>19</v>
      </c>
      <c r="F57" s="16"/>
      <c r="G57" s="16"/>
      <c r="H57" s="19" t="n">
        <f aca="false">LEN(IF(F57&lt;&gt;"",F57,D57))</f>
        <v>53</v>
      </c>
      <c r="I57" s="29" t="str">
        <f aca="false">IF(OR(H57&lt;4,H57&gt;140),"분량 확인","")</f>
        <v/>
      </c>
    </row>
    <row r="58" customFormat="false" ht="48" hidden="false" customHeight="true" outlineLevel="0" collapsed="false">
      <c r="A58" s="13" t="s">
        <v>2294</v>
      </c>
      <c r="B58" s="15" t="s">
        <v>2288</v>
      </c>
      <c r="C58" s="15" t="s">
        <v>2295</v>
      </c>
      <c r="D58" s="15" t="s">
        <v>2296</v>
      </c>
      <c r="E58" s="28" t="s">
        <v>19</v>
      </c>
      <c r="F58" s="16"/>
      <c r="G58" s="16"/>
      <c r="H58" s="19" t="n">
        <f aca="false">LEN(IF(F58&lt;&gt;"",F58,D58))</f>
        <v>43</v>
      </c>
      <c r="I58" s="29" t="str">
        <f aca="false">IF(OR(H58&lt;4,H58&gt;140),"분량 확인","")</f>
        <v/>
      </c>
    </row>
    <row r="59" customFormat="false" ht="61.5" hidden="false" customHeight="true" outlineLevel="0" collapsed="false">
      <c r="A59" s="13" t="s">
        <v>2297</v>
      </c>
      <c r="B59" s="15" t="s">
        <v>2298</v>
      </c>
      <c r="C59" s="15" t="s">
        <v>2299</v>
      </c>
      <c r="D59" s="15" t="s">
        <v>2300</v>
      </c>
      <c r="E59" s="28" t="s">
        <v>19</v>
      </c>
      <c r="F59" s="16"/>
      <c r="G59" s="16"/>
      <c r="H59" s="19" t="n">
        <f aca="false">LEN(IF(F59&lt;&gt;"",F59,D59))</f>
        <v>6</v>
      </c>
      <c r="I59" s="29" t="str">
        <f aca="false">IF(OR(H59&lt;4,H59&gt;140),"분량 확인","")</f>
        <v/>
      </c>
    </row>
    <row r="60" customFormat="false" ht="61.5" hidden="false" customHeight="true" outlineLevel="0" collapsed="false">
      <c r="A60" s="13" t="s">
        <v>2301</v>
      </c>
      <c r="B60" s="15" t="s">
        <v>2298</v>
      </c>
      <c r="C60" s="15" t="s">
        <v>2302</v>
      </c>
      <c r="D60" s="15" t="s">
        <v>2303</v>
      </c>
      <c r="E60" s="28" t="s">
        <v>19</v>
      </c>
      <c r="F60" s="16"/>
      <c r="G60" s="16"/>
      <c r="H60" s="19" t="n">
        <f aca="false">LEN(IF(F60&lt;&gt;"",F60,D60))</f>
        <v>54</v>
      </c>
      <c r="I60" s="29" t="str">
        <f aca="false">IF(OR(H60&lt;4,H60&gt;140),"분량 확인","")</f>
        <v/>
      </c>
    </row>
    <row r="61" customFormat="false" ht="61.5" hidden="false" customHeight="true" outlineLevel="0" collapsed="false">
      <c r="A61" s="13" t="s">
        <v>2304</v>
      </c>
      <c r="B61" s="15" t="s">
        <v>2298</v>
      </c>
      <c r="C61" s="15" t="s">
        <v>2305</v>
      </c>
      <c r="D61" s="15" t="s">
        <v>2306</v>
      </c>
      <c r="E61" s="28" t="s">
        <v>19</v>
      </c>
      <c r="F61" s="16"/>
      <c r="G61" s="16"/>
      <c r="H61" s="19" t="n">
        <f aca="false">LEN(IF(F61&lt;&gt;"",F61,D61))</f>
        <v>38</v>
      </c>
      <c r="I61" s="29" t="str">
        <f aca="false">IF(OR(H61&lt;4,H61&gt;140),"분량 확인","")</f>
        <v/>
      </c>
    </row>
    <row r="62" customFormat="false" ht="48" hidden="false" customHeight="true" outlineLevel="0" collapsed="false">
      <c r="A62" s="13" t="s">
        <v>2307</v>
      </c>
      <c r="B62" s="15" t="s">
        <v>2308</v>
      </c>
      <c r="C62" s="15" t="s">
        <v>2309</v>
      </c>
      <c r="D62" s="15" t="s">
        <v>2310</v>
      </c>
      <c r="E62" s="28" t="s">
        <v>19</v>
      </c>
      <c r="F62" s="16"/>
      <c r="G62" s="16"/>
      <c r="H62" s="19" t="n">
        <f aca="false">LEN(IF(F62&lt;&gt;"",F62,D62))</f>
        <v>9</v>
      </c>
      <c r="I62" s="29" t="str">
        <f aca="false">IF(OR(H62&lt;4,H62&gt;140),"분량 확인","")</f>
        <v/>
      </c>
    </row>
    <row r="63" customFormat="false" ht="48" hidden="false" customHeight="true" outlineLevel="0" collapsed="false">
      <c r="A63" s="13" t="s">
        <v>2311</v>
      </c>
      <c r="B63" s="15" t="s">
        <v>2308</v>
      </c>
      <c r="C63" s="15" t="s">
        <v>2312</v>
      </c>
      <c r="D63" s="15" t="s">
        <v>2313</v>
      </c>
      <c r="E63" s="28" t="s">
        <v>19</v>
      </c>
      <c r="F63" s="16"/>
      <c r="G63" s="16"/>
      <c r="H63" s="19" t="n">
        <f aca="false">LEN(IF(F63&lt;&gt;"",F63,D63))</f>
        <v>58</v>
      </c>
      <c r="I63" s="29" t="str">
        <f aca="false">IF(OR(H63&lt;4,H63&gt;140),"분량 확인","")</f>
        <v/>
      </c>
    </row>
    <row r="64" customFormat="false" ht="61.5" hidden="false" customHeight="true" outlineLevel="0" collapsed="false">
      <c r="A64" s="13" t="s">
        <v>2314</v>
      </c>
      <c r="B64" s="15" t="s">
        <v>2308</v>
      </c>
      <c r="C64" s="15" t="s">
        <v>2315</v>
      </c>
      <c r="D64" s="15" t="s">
        <v>2316</v>
      </c>
      <c r="E64" s="28" t="s">
        <v>19</v>
      </c>
      <c r="F64" s="16"/>
      <c r="G64" s="16"/>
      <c r="H64" s="19" t="n">
        <f aca="false">LEN(IF(F64&lt;&gt;"",F64,D64))</f>
        <v>34</v>
      </c>
      <c r="I64" s="29" t="str">
        <f aca="false">IF(OR(H64&lt;4,H64&gt;140),"분량 확인","")</f>
        <v/>
      </c>
    </row>
    <row r="65" customFormat="false" ht="61.5" hidden="false" customHeight="true" outlineLevel="0" collapsed="false">
      <c r="A65" s="13" t="s">
        <v>2317</v>
      </c>
      <c r="B65" s="15" t="s">
        <v>2318</v>
      </c>
      <c r="C65" s="15" t="s">
        <v>2319</v>
      </c>
      <c r="D65" s="15" t="s">
        <v>2320</v>
      </c>
      <c r="E65" s="28" t="s">
        <v>19</v>
      </c>
      <c r="F65" s="16"/>
      <c r="G65" s="16"/>
      <c r="H65" s="19" t="n">
        <f aca="false">LEN(IF(F65&lt;&gt;"",F65,D65))</f>
        <v>9</v>
      </c>
      <c r="I65" s="29" t="str">
        <f aca="false">IF(OR(H65&lt;4,H65&gt;140),"분량 확인","")</f>
        <v/>
      </c>
    </row>
    <row r="66" customFormat="false" ht="61.5" hidden="false" customHeight="true" outlineLevel="0" collapsed="false">
      <c r="A66" s="13" t="s">
        <v>2321</v>
      </c>
      <c r="B66" s="15" t="s">
        <v>2318</v>
      </c>
      <c r="C66" s="15" t="s">
        <v>2322</v>
      </c>
      <c r="D66" s="15" t="s">
        <v>2323</v>
      </c>
      <c r="E66" s="28" t="s">
        <v>19</v>
      </c>
      <c r="F66" s="16"/>
      <c r="G66" s="16"/>
      <c r="H66" s="19" t="n">
        <f aca="false">LEN(IF(F66&lt;&gt;"",F66,D66))</f>
        <v>42</v>
      </c>
      <c r="I66" s="29" t="str">
        <f aca="false">IF(OR(H66&lt;4,H66&gt;140),"분량 확인","")</f>
        <v/>
      </c>
    </row>
    <row r="67" customFormat="false" ht="61.5" hidden="false" customHeight="true" outlineLevel="0" collapsed="false">
      <c r="A67" s="13" t="s">
        <v>2324</v>
      </c>
      <c r="B67" s="15" t="s">
        <v>2318</v>
      </c>
      <c r="C67" s="15" t="s">
        <v>2325</v>
      </c>
      <c r="D67" s="15" t="s">
        <v>2326</v>
      </c>
      <c r="E67" s="28" t="s">
        <v>19</v>
      </c>
      <c r="F67" s="16"/>
      <c r="G67" s="16"/>
      <c r="H67" s="19" t="n">
        <f aca="false">LEN(IF(F67&lt;&gt;"",F67,D67))</f>
        <v>37</v>
      </c>
      <c r="I67" s="29" t="str">
        <f aca="false">IF(OR(H67&lt;4,H67&gt;140),"분량 확인","")</f>
        <v/>
      </c>
    </row>
    <row r="68" customFormat="false" ht="61.5" hidden="false" customHeight="true" outlineLevel="0" collapsed="false">
      <c r="A68" s="13" t="s">
        <v>2327</v>
      </c>
      <c r="B68" s="15" t="s">
        <v>2328</v>
      </c>
      <c r="C68" s="15" t="s">
        <v>2329</v>
      </c>
      <c r="D68" s="15" t="s">
        <v>2330</v>
      </c>
      <c r="E68" s="28" t="s">
        <v>19</v>
      </c>
      <c r="F68" s="16"/>
      <c r="G68" s="16"/>
      <c r="H68" s="19" t="n">
        <f aca="false">LEN(IF(F68&lt;&gt;"",F68,D68))</f>
        <v>11</v>
      </c>
      <c r="I68" s="29" t="str">
        <f aca="false">IF(OR(H68&lt;4,H68&gt;140),"분량 확인","")</f>
        <v/>
      </c>
    </row>
    <row r="69" customFormat="false" ht="61.5" hidden="false" customHeight="true" outlineLevel="0" collapsed="false">
      <c r="A69" s="13" t="s">
        <v>187</v>
      </c>
      <c r="B69" s="15" t="s">
        <v>2328</v>
      </c>
      <c r="C69" s="15" t="s">
        <v>2331</v>
      </c>
      <c r="D69" s="15" t="s">
        <v>2332</v>
      </c>
      <c r="E69" s="28" t="s">
        <v>19</v>
      </c>
      <c r="F69" s="16"/>
      <c r="G69" s="17" t="s">
        <v>2333</v>
      </c>
      <c r="H69" s="19" t="n">
        <f aca="false">LEN(IF(F69&lt;&gt;"",F69,D69))</f>
        <v>55</v>
      </c>
      <c r="I69" s="29" t="str">
        <f aca="false">IF(OR(H69&lt;4,H69&gt;140),"분량 확인","")</f>
        <v/>
      </c>
    </row>
    <row r="70" customFormat="false" ht="61.5" hidden="false" customHeight="true" outlineLevel="0" collapsed="false">
      <c r="A70" s="13" t="s">
        <v>2334</v>
      </c>
      <c r="B70" s="15" t="s">
        <v>2328</v>
      </c>
      <c r="C70" s="15" t="s">
        <v>2335</v>
      </c>
      <c r="D70" s="15" t="s">
        <v>2336</v>
      </c>
      <c r="E70" s="28" t="s">
        <v>19</v>
      </c>
      <c r="F70" s="16"/>
      <c r="G70" s="16"/>
      <c r="H70" s="19" t="n">
        <f aca="false">LEN(IF(F70&lt;&gt;"",F70,D70))</f>
        <v>40</v>
      </c>
      <c r="I70" s="29" t="str">
        <f aca="false">IF(OR(H70&lt;4,H70&gt;140),"분량 확인","")</f>
        <v/>
      </c>
    </row>
    <row r="71" customFormat="false" ht="48" hidden="false" customHeight="true" outlineLevel="0" collapsed="false">
      <c r="A71" s="13" t="s">
        <v>2337</v>
      </c>
      <c r="B71" s="15" t="s">
        <v>2338</v>
      </c>
      <c r="C71" s="15" t="s">
        <v>2339</v>
      </c>
      <c r="D71" s="15" t="s">
        <v>2340</v>
      </c>
      <c r="E71" s="28" t="s">
        <v>19</v>
      </c>
      <c r="F71" s="16"/>
      <c r="G71" s="16"/>
      <c r="H71" s="19" t="n">
        <f aca="false">LEN(IF(F71&lt;&gt;"",F71,D71))</f>
        <v>14</v>
      </c>
      <c r="I71" s="29" t="str">
        <f aca="false">IF(OR(H71&lt;4,H71&gt;140),"분량 확인","")</f>
        <v/>
      </c>
    </row>
    <row r="72" customFormat="false" ht="48" hidden="false" customHeight="true" outlineLevel="0" collapsed="false">
      <c r="A72" s="13" t="s">
        <v>2341</v>
      </c>
      <c r="B72" s="15" t="s">
        <v>2338</v>
      </c>
      <c r="C72" s="15" t="s">
        <v>2342</v>
      </c>
      <c r="D72" s="15" t="s">
        <v>2343</v>
      </c>
      <c r="E72" s="28" t="s">
        <v>19</v>
      </c>
      <c r="F72" s="16"/>
      <c r="G72" s="16"/>
      <c r="H72" s="19" t="n">
        <f aca="false">LEN(IF(F72&lt;&gt;"",F72,D72))</f>
        <v>61</v>
      </c>
      <c r="I72" s="29" t="str">
        <f aca="false">IF(OR(H72&lt;4,H72&gt;140),"분량 확인","")</f>
        <v/>
      </c>
    </row>
    <row r="73" customFormat="false" ht="48" hidden="false" customHeight="true" outlineLevel="0" collapsed="false">
      <c r="A73" s="13" t="s">
        <v>2344</v>
      </c>
      <c r="B73" s="15" t="s">
        <v>2338</v>
      </c>
      <c r="C73" s="15" t="s">
        <v>2345</v>
      </c>
      <c r="D73" s="15" t="s">
        <v>2346</v>
      </c>
      <c r="E73" s="28" t="s">
        <v>19</v>
      </c>
      <c r="F73" s="16"/>
      <c r="G73" s="16"/>
      <c r="H73" s="19" t="n">
        <f aca="false">LEN(IF(F73&lt;&gt;"",F73,D73))</f>
        <v>50</v>
      </c>
      <c r="I73" s="29" t="str">
        <f aca="false">IF(OR(H73&lt;4,H73&gt;140),"분량 확인","")</f>
        <v/>
      </c>
    </row>
    <row r="74" customFormat="false" ht="61.5" hidden="false" customHeight="true" outlineLevel="0" collapsed="false">
      <c r="A74" s="13" t="s">
        <v>2347</v>
      </c>
      <c r="B74" s="15" t="s">
        <v>2348</v>
      </c>
      <c r="C74" s="15" t="s">
        <v>2349</v>
      </c>
      <c r="D74" s="15" t="s">
        <v>2350</v>
      </c>
      <c r="E74" s="28" t="s">
        <v>19</v>
      </c>
      <c r="F74" s="16"/>
      <c r="G74" s="17" t="s">
        <v>2351</v>
      </c>
      <c r="H74" s="19" t="n">
        <f aca="false">LEN(IF(F74&lt;&gt;"",F74,D74))</f>
        <v>24</v>
      </c>
      <c r="I74" s="29" t="str">
        <f aca="false">IF(OR(H74&lt;4,H74&gt;140),"분량 확인","")</f>
        <v/>
      </c>
    </row>
    <row r="75" customFormat="false" ht="61.5" hidden="false" customHeight="true" outlineLevel="0" collapsed="false">
      <c r="A75" s="13" t="s">
        <v>2352</v>
      </c>
      <c r="B75" s="15" t="s">
        <v>2348</v>
      </c>
      <c r="C75" s="15" t="s">
        <v>2353</v>
      </c>
      <c r="D75" s="15" t="s">
        <v>2354</v>
      </c>
      <c r="E75" s="28" t="s">
        <v>19</v>
      </c>
      <c r="F75" s="16"/>
      <c r="G75" s="16"/>
      <c r="H75" s="19" t="n">
        <f aca="false">LEN(IF(F75&lt;&gt;"",F75,D75))</f>
        <v>40</v>
      </c>
      <c r="I75" s="29" t="str">
        <f aca="false">IF(OR(H75&lt;4,H75&gt;140),"분량 확인","")</f>
        <v/>
      </c>
    </row>
    <row r="76" customFormat="false" ht="61.5" hidden="false" customHeight="true" outlineLevel="0" collapsed="false">
      <c r="A76" s="13" t="s">
        <v>2355</v>
      </c>
      <c r="B76" s="15" t="s">
        <v>2348</v>
      </c>
      <c r="C76" s="15" t="s">
        <v>2356</v>
      </c>
      <c r="D76" s="15" t="s">
        <v>2357</v>
      </c>
      <c r="E76" s="28" t="s">
        <v>19</v>
      </c>
      <c r="F76" s="16"/>
      <c r="G76" s="16"/>
      <c r="H76" s="19" t="n">
        <f aca="false">LEN(IF(F76&lt;&gt;"",F76,D76))</f>
        <v>57</v>
      </c>
      <c r="I76" s="29" t="str">
        <f aca="false">IF(OR(H76&lt;4,H76&gt;140),"분량 확인","")</f>
        <v/>
      </c>
    </row>
    <row r="77" customFormat="false" ht="61.5" hidden="false" customHeight="true" outlineLevel="0" collapsed="false">
      <c r="A77" s="13" t="s">
        <v>2358</v>
      </c>
      <c r="B77" s="15" t="s">
        <v>2359</v>
      </c>
      <c r="C77" s="15" t="s">
        <v>2360</v>
      </c>
      <c r="D77" s="15" t="s">
        <v>2361</v>
      </c>
      <c r="E77" s="28" t="s">
        <v>19</v>
      </c>
      <c r="F77" s="16"/>
      <c r="G77" s="17" t="s">
        <v>2362</v>
      </c>
      <c r="H77" s="19" t="n">
        <f aca="false">LEN(IF(F77&lt;&gt;"",F77,D77))</f>
        <v>18</v>
      </c>
      <c r="I77" s="29" t="str">
        <f aca="false">IF(OR(H77&lt;4,H77&gt;140),"분량 확인","")</f>
        <v/>
      </c>
    </row>
    <row r="78" customFormat="false" ht="61.5" hidden="false" customHeight="true" outlineLevel="0" collapsed="false">
      <c r="A78" s="13" t="s">
        <v>2363</v>
      </c>
      <c r="B78" s="15" t="s">
        <v>2359</v>
      </c>
      <c r="C78" s="15" t="s">
        <v>2364</v>
      </c>
      <c r="D78" s="15" t="s">
        <v>2365</v>
      </c>
      <c r="E78" s="28" t="s">
        <v>19</v>
      </c>
      <c r="F78" s="16"/>
      <c r="G78" s="16"/>
      <c r="H78" s="19" t="n">
        <f aca="false">LEN(IF(F78&lt;&gt;"",F78,D78))</f>
        <v>47</v>
      </c>
      <c r="I78" s="29" t="str">
        <f aca="false">IF(OR(H78&lt;4,H78&gt;140),"분량 확인","")</f>
        <v/>
      </c>
    </row>
    <row r="79" customFormat="false" ht="61.5" hidden="false" customHeight="true" outlineLevel="0" collapsed="false">
      <c r="A79" s="13" t="s">
        <v>2366</v>
      </c>
      <c r="B79" s="15" t="s">
        <v>2359</v>
      </c>
      <c r="C79" s="15" t="s">
        <v>2367</v>
      </c>
      <c r="D79" s="15" t="s">
        <v>2368</v>
      </c>
      <c r="E79" s="28" t="s">
        <v>19</v>
      </c>
      <c r="F79" s="16"/>
      <c r="G79" s="16"/>
      <c r="H79" s="19" t="n">
        <f aca="false">LEN(IF(F79&lt;&gt;"",F79,D79))</f>
        <v>49</v>
      </c>
      <c r="I79" s="29" t="str">
        <f aca="false">IF(OR(H79&lt;4,H79&gt;140),"분량 확인","")</f>
        <v/>
      </c>
    </row>
    <row r="80" customFormat="false" ht="61.5" hidden="false" customHeight="true" outlineLevel="0" collapsed="false">
      <c r="A80" s="13" t="s">
        <v>2369</v>
      </c>
      <c r="B80" s="15" t="s">
        <v>2370</v>
      </c>
      <c r="C80" s="15" t="s">
        <v>2371</v>
      </c>
      <c r="D80" s="15" t="s">
        <v>2372</v>
      </c>
      <c r="E80" s="28" t="s">
        <v>19</v>
      </c>
      <c r="F80" s="16"/>
      <c r="G80" s="17" t="s">
        <v>2373</v>
      </c>
      <c r="H80" s="19" t="n">
        <f aca="false">LEN(IF(F80&lt;&gt;"",F80,D80))</f>
        <v>30</v>
      </c>
      <c r="I80" s="29" t="str">
        <f aca="false">IF(OR(H80&lt;4,H80&gt;140),"분량 확인","")</f>
        <v/>
      </c>
    </row>
    <row r="81" customFormat="false" ht="75.75" hidden="false" customHeight="true" outlineLevel="0" collapsed="false">
      <c r="A81" s="13" t="s">
        <v>2374</v>
      </c>
      <c r="B81" s="15" t="s">
        <v>2370</v>
      </c>
      <c r="C81" s="15" t="s">
        <v>2375</v>
      </c>
      <c r="D81" s="15" t="s">
        <v>2376</v>
      </c>
      <c r="E81" s="28" t="s">
        <v>19</v>
      </c>
      <c r="F81" s="16"/>
      <c r="G81" s="16"/>
      <c r="H81" s="19" t="n">
        <f aca="false">LEN(IF(F81&lt;&gt;"",F81,D81))</f>
        <v>126</v>
      </c>
      <c r="I81" s="29" t="str">
        <f aca="false">IF(OR(H81&lt;4,H81&gt;140),"분량 확인","")</f>
        <v/>
      </c>
    </row>
    <row r="82" customFormat="false" ht="61.5" hidden="false" customHeight="true" outlineLevel="0" collapsed="false">
      <c r="A82" s="13" t="s">
        <v>2377</v>
      </c>
      <c r="B82" s="15" t="s">
        <v>2370</v>
      </c>
      <c r="C82" s="15" t="s">
        <v>2378</v>
      </c>
      <c r="D82" s="15" t="s">
        <v>2379</v>
      </c>
      <c r="E82" s="28" t="s">
        <v>19</v>
      </c>
      <c r="F82" s="16"/>
      <c r="G82" s="16"/>
      <c r="H82" s="19" t="n">
        <f aca="false">LEN(IF(F82&lt;&gt;"",F82,D82))</f>
        <v>53</v>
      </c>
      <c r="I82" s="29" t="str">
        <f aca="false">IF(OR(H82&lt;4,H82&gt;140),"분량 확인","")</f>
        <v/>
      </c>
    </row>
    <row r="83" customFormat="false" ht="75.75" hidden="false" customHeight="true" outlineLevel="0" collapsed="false">
      <c r="A83" s="13" t="s">
        <v>2380</v>
      </c>
      <c r="B83" s="15" t="s">
        <v>2381</v>
      </c>
      <c r="C83" s="15" t="s">
        <v>2382</v>
      </c>
      <c r="D83" s="15" t="s">
        <v>2383</v>
      </c>
      <c r="E83" s="28" t="s">
        <v>19</v>
      </c>
      <c r="F83" s="16"/>
      <c r="G83" s="17" t="s">
        <v>2384</v>
      </c>
      <c r="H83" s="19" t="n">
        <f aca="false">LEN(IF(F83&lt;&gt;"",F83,D83))</f>
        <v>18</v>
      </c>
      <c r="I83" s="29" t="str">
        <f aca="false">IF(OR(H83&lt;4,H83&gt;140),"분량 확인","")</f>
        <v/>
      </c>
    </row>
    <row r="84" customFormat="false" ht="75.75" hidden="false" customHeight="true" outlineLevel="0" collapsed="false">
      <c r="A84" s="13" t="s">
        <v>2385</v>
      </c>
      <c r="B84" s="15" t="s">
        <v>2381</v>
      </c>
      <c r="C84" s="15" t="s">
        <v>2386</v>
      </c>
      <c r="D84" s="15" t="s">
        <v>2387</v>
      </c>
      <c r="E84" s="28" t="s">
        <v>19</v>
      </c>
      <c r="F84" s="16"/>
      <c r="G84" s="16"/>
      <c r="H84" s="19" t="n">
        <f aca="false">LEN(IF(F84&lt;&gt;"",F84,D84))</f>
        <v>51</v>
      </c>
      <c r="I84" s="29" t="str">
        <f aca="false">IF(OR(H84&lt;4,H84&gt;140),"분량 확인","")</f>
        <v/>
      </c>
    </row>
    <row r="85" customFormat="false" ht="75.75" hidden="false" customHeight="true" outlineLevel="0" collapsed="false">
      <c r="A85" s="13" t="s">
        <v>2388</v>
      </c>
      <c r="B85" s="15" t="s">
        <v>2381</v>
      </c>
      <c r="C85" s="15" t="s">
        <v>2389</v>
      </c>
      <c r="D85" s="15" t="s">
        <v>2390</v>
      </c>
      <c r="E85" s="28" t="s">
        <v>19</v>
      </c>
      <c r="F85" s="16"/>
      <c r="G85" s="16"/>
      <c r="H85" s="19" t="n">
        <f aca="false">LEN(IF(F85&lt;&gt;"",F85,D85))</f>
        <v>55</v>
      </c>
      <c r="I85" s="29" t="str">
        <f aca="false">IF(OR(H85&lt;4,H85&gt;140),"분량 확인","")</f>
        <v/>
      </c>
    </row>
    <row r="86" customFormat="false" ht="75.75" hidden="false" customHeight="true" outlineLevel="0" collapsed="false">
      <c r="A86" s="13" t="s">
        <v>2391</v>
      </c>
      <c r="B86" s="15" t="s">
        <v>2392</v>
      </c>
      <c r="C86" s="15" t="s">
        <v>2393</v>
      </c>
      <c r="D86" s="15" t="s">
        <v>2394</v>
      </c>
      <c r="E86" s="28" t="s">
        <v>19</v>
      </c>
      <c r="F86" s="16"/>
      <c r="G86" s="17" t="s">
        <v>2395</v>
      </c>
      <c r="H86" s="19" t="n">
        <f aca="false">LEN(IF(F86&lt;&gt;"",F86,D86))</f>
        <v>16</v>
      </c>
      <c r="I86" s="29" t="str">
        <f aca="false">IF(OR(H86&lt;4,H86&gt;140),"분량 확인","")</f>
        <v/>
      </c>
    </row>
    <row r="87" customFormat="false" ht="75.75" hidden="false" customHeight="true" outlineLevel="0" collapsed="false">
      <c r="A87" s="13" t="s">
        <v>2396</v>
      </c>
      <c r="B87" s="15" t="s">
        <v>2392</v>
      </c>
      <c r="C87" s="15" t="s">
        <v>2397</v>
      </c>
      <c r="D87" s="15" t="s">
        <v>2398</v>
      </c>
      <c r="E87" s="28" t="s">
        <v>19</v>
      </c>
      <c r="F87" s="16"/>
      <c r="G87" s="16"/>
      <c r="H87" s="19" t="n">
        <f aca="false">LEN(IF(F87&lt;&gt;"",F87,D87))</f>
        <v>45</v>
      </c>
      <c r="I87" s="29" t="str">
        <f aca="false">IF(OR(H87&lt;4,H87&gt;140),"분량 확인","")</f>
        <v/>
      </c>
    </row>
    <row r="88" customFormat="false" ht="75.75" hidden="false" customHeight="true" outlineLevel="0" collapsed="false">
      <c r="A88" s="13" t="s">
        <v>2399</v>
      </c>
      <c r="B88" s="15" t="s">
        <v>2392</v>
      </c>
      <c r="C88" s="15" t="s">
        <v>2400</v>
      </c>
      <c r="D88" s="15" t="s">
        <v>2401</v>
      </c>
      <c r="E88" s="28" t="s">
        <v>19</v>
      </c>
      <c r="F88" s="16"/>
      <c r="G88" s="16"/>
      <c r="H88" s="19" t="n">
        <f aca="false">LEN(IF(F88&lt;&gt;"",F88,D88))</f>
        <v>52</v>
      </c>
      <c r="I88" s="29" t="str">
        <f aca="false">IF(OR(H88&lt;4,H88&gt;140),"분량 확인","")</f>
        <v/>
      </c>
    </row>
    <row r="89" customFormat="false" ht="61.5" hidden="false" customHeight="true" outlineLevel="0" collapsed="false">
      <c r="A89" s="13" t="s">
        <v>2402</v>
      </c>
      <c r="B89" s="15" t="s">
        <v>2403</v>
      </c>
      <c r="C89" s="15" t="s">
        <v>2404</v>
      </c>
      <c r="D89" s="15" t="s">
        <v>2405</v>
      </c>
      <c r="E89" s="28" t="s">
        <v>19</v>
      </c>
      <c r="F89" s="16"/>
      <c r="G89" s="17" t="s">
        <v>2406</v>
      </c>
      <c r="H89" s="19" t="n">
        <f aca="false">LEN(IF(F89&lt;&gt;"",F89,D89))</f>
        <v>20</v>
      </c>
      <c r="I89" s="29" t="str">
        <f aca="false">IF(OR(H89&lt;4,H89&gt;140),"분량 확인","")</f>
        <v/>
      </c>
    </row>
    <row r="90" customFormat="false" ht="61.5" hidden="false" customHeight="true" outlineLevel="0" collapsed="false">
      <c r="A90" s="13" t="s">
        <v>2407</v>
      </c>
      <c r="B90" s="15" t="s">
        <v>2403</v>
      </c>
      <c r="C90" s="15" t="s">
        <v>2408</v>
      </c>
      <c r="D90" s="15" t="s">
        <v>2409</v>
      </c>
      <c r="E90" s="28" t="s">
        <v>19</v>
      </c>
      <c r="F90" s="16"/>
      <c r="G90" s="16"/>
      <c r="H90" s="19" t="n">
        <f aca="false">LEN(IF(F90&lt;&gt;"",F90,D90))</f>
        <v>58</v>
      </c>
      <c r="I90" s="29" t="str">
        <f aca="false">IF(OR(H90&lt;4,H90&gt;140),"분량 확인","")</f>
        <v/>
      </c>
    </row>
    <row r="91" customFormat="false" ht="61.5" hidden="false" customHeight="true" outlineLevel="0" collapsed="false">
      <c r="A91" s="13" t="s">
        <v>2410</v>
      </c>
      <c r="B91" s="15" t="s">
        <v>2403</v>
      </c>
      <c r="C91" s="15" t="s">
        <v>2411</v>
      </c>
      <c r="D91" s="15" t="s">
        <v>2412</v>
      </c>
      <c r="E91" s="28" t="s">
        <v>19</v>
      </c>
      <c r="F91" s="16"/>
      <c r="G91" s="16"/>
      <c r="H91" s="19" t="n">
        <f aca="false">LEN(IF(F91&lt;&gt;"",F91,D91))</f>
        <v>59</v>
      </c>
      <c r="I91" s="29" t="str">
        <f aca="false">IF(OR(H91&lt;4,H91&gt;140),"분량 확인","")</f>
        <v/>
      </c>
    </row>
    <row r="92" customFormat="false" ht="48" hidden="false" customHeight="true" outlineLevel="0" collapsed="false">
      <c r="A92" s="13" t="s">
        <v>2413</v>
      </c>
      <c r="B92" s="15" t="s">
        <v>2414</v>
      </c>
      <c r="C92" s="15" t="s">
        <v>2415</v>
      </c>
      <c r="D92" s="15" t="s">
        <v>2416</v>
      </c>
      <c r="E92" s="28" t="s">
        <v>19</v>
      </c>
      <c r="F92" s="16"/>
      <c r="G92" s="16"/>
      <c r="H92" s="19" t="n">
        <f aca="false">LEN(IF(F92&lt;&gt;"",F92,D92))</f>
        <v>10</v>
      </c>
      <c r="I92" s="29" t="str">
        <f aca="false">IF(OR(H92&lt;4,H92&gt;140),"분량 확인","")</f>
        <v/>
      </c>
    </row>
    <row r="93" customFormat="false" ht="48" hidden="false" customHeight="true" outlineLevel="0" collapsed="false">
      <c r="A93" s="13" t="s">
        <v>2417</v>
      </c>
      <c r="B93" s="15" t="s">
        <v>2414</v>
      </c>
      <c r="C93" s="15" t="s">
        <v>2418</v>
      </c>
      <c r="D93" s="15" t="s">
        <v>2419</v>
      </c>
      <c r="E93" s="28" t="s">
        <v>19</v>
      </c>
      <c r="F93" s="16"/>
      <c r="G93" s="16"/>
      <c r="H93" s="19" t="n">
        <f aca="false">LEN(IF(F93&lt;&gt;"",F93,D93))</f>
        <v>49</v>
      </c>
      <c r="I93" s="29" t="str">
        <f aca="false">IF(OR(H93&lt;4,H93&gt;140),"분량 확인","")</f>
        <v/>
      </c>
    </row>
    <row r="94" customFormat="false" ht="48" hidden="false" customHeight="true" outlineLevel="0" collapsed="false">
      <c r="A94" s="13" t="s">
        <v>2420</v>
      </c>
      <c r="B94" s="15" t="s">
        <v>2414</v>
      </c>
      <c r="C94" s="15" t="s">
        <v>2421</v>
      </c>
      <c r="D94" s="15" t="s">
        <v>2422</v>
      </c>
      <c r="E94" s="28" t="s">
        <v>19</v>
      </c>
      <c r="F94" s="16"/>
      <c r="G94" s="16"/>
      <c r="H94" s="19" t="n">
        <f aca="false">LEN(IF(F94&lt;&gt;"",F94,D94))</f>
        <v>46</v>
      </c>
      <c r="I94" s="29" t="str">
        <f aca="false">IF(OR(H94&lt;4,H94&gt;140),"분량 확인","")</f>
        <v/>
      </c>
    </row>
    <row r="95" customFormat="false" ht="48" hidden="false" customHeight="true" outlineLevel="0" collapsed="false">
      <c r="A95" s="13" t="s">
        <v>2423</v>
      </c>
      <c r="B95" s="15" t="s">
        <v>2424</v>
      </c>
      <c r="C95" s="15" t="s">
        <v>2425</v>
      </c>
      <c r="D95" s="15" t="s">
        <v>2426</v>
      </c>
      <c r="E95" s="28" t="s">
        <v>19</v>
      </c>
      <c r="F95" s="16"/>
      <c r="G95" s="16"/>
      <c r="H95" s="19" t="n">
        <f aca="false">LEN(IF(F95&lt;&gt;"",F95,D95))</f>
        <v>8</v>
      </c>
      <c r="I95" s="29" t="str">
        <f aca="false">IF(OR(H95&lt;4,H95&gt;140),"분량 확인","")</f>
        <v/>
      </c>
    </row>
    <row r="96" customFormat="false" ht="48" hidden="false" customHeight="true" outlineLevel="0" collapsed="false">
      <c r="A96" s="13" t="s">
        <v>2427</v>
      </c>
      <c r="B96" s="15" t="s">
        <v>2424</v>
      </c>
      <c r="C96" s="15" t="s">
        <v>2428</v>
      </c>
      <c r="D96" s="15" t="s">
        <v>2429</v>
      </c>
      <c r="E96" s="28" t="s">
        <v>19</v>
      </c>
      <c r="F96" s="16"/>
      <c r="G96" s="16"/>
      <c r="H96" s="19" t="n">
        <f aca="false">LEN(IF(F96&lt;&gt;"",F96,D96))</f>
        <v>51</v>
      </c>
      <c r="I96" s="29" t="str">
        <f aca="false">IF(OR(H96&lt;4,H96&gt;140),"분량 확인","")</f>
        <v/>
      </c>
    </row>
    <row r="97" customFormat="false" ht="48" hidden="false" customHeight="true" outlineLevel="0" collapsed="false">
      <c r="A97" s="13" t="s">
        <v>2430</v>
      </c>
      <c r="B97" s="15" t="s">
        <v>2424</v>
      </c>
      <c r="C97" s="15" t="s">
        <v>2431</v>
      </c>
      <c r="D97" s="15" t="s">
        <v>2432</v>
      </c>
      <c r="E97" s="28" t="s">
        <v>19</v>
      </c>
      <c r="F97" s="16"/>
      <c r="G97" s="16"/>
      <c r="H97" s="19" t="n">
        <f aca="false">LEN(IF(F97&lt;&gt;"",F97,D97))</f>
        <v>49</v>
      </c>
      <c r="I97" s="29" t="str">
        <f aca="false">IF(OR(H97&lt;4,H97&gt;140),"분량 확인","")</f>
        <v/>
      </c>
    </row>
    <row r="98" customFormat="false" ht="48" hidden="false" customHeight="true" outlineLevel="0" collapsed="false">
      <c r="A98" s="13" t="s">
        <v>2433</v>
      </c>
      <c r="B98" s="15" t="s">
        <v>2434</v>
      </c>
      <c r="C98" s="15" t="s">
        <v>2435</v>
      </c>
      <c r="D98" s="15" t="s">
        <v>2436</v>
      </c>
      <c r="E98" s="28" t="s">
        <v>19</v>
      </c>
      <c r="F98" s="16"/>
      <c r="G98" s="16"/>
      <c r="H98" s="19" t="n">
        <f aca="false">LEN(IF(F98&lt;&gt;"",F98,D98))</f>
        <v>9</v>
      </c>
      <c r="I98" s="29" t="str">
        <f aca="false">IF(OR(H98&lt;4,H98&gt;140),"분량 확인","")</f>
        <v/>
      </c>
    </row>
    <row r="99" customFormat="false" ht="48" hidden="false" customHeight="true" outlineLevel="0" collapsed="false">
      <c r="A99" s="13" t="s">
        <v>2437</v>
      </c>
      <c r="B99" s="15" t="s">
        <v>2434</v>
      </c>
      <c r="C99" s="15" t="s">
        <v>2438</v>
      </c>
      <c r="D99" s="15" t="s">
        <v>2439</v>
      </c>
      <c r="E99" s="28" t="s">
        <v>19</v>
      </c>
      <c r="F99" s="16"/>
      <c r="G99" s="16"/>
      <c r="H99" s="19" t="n">
        <f aca="false">LEN(IF(F99&lt;&gt;"",F99,D99))</f>
        <v>57</v>
      </c>
      <c r="I99" s="29" t="str">
        <f aca="false">IF(OR(H99&lt;4,H99&gt;140),"분량 확인","")</f>
        <v/>
      </c>
    </row>
    <row r="100" customFormat="false" ht="61.5" hidden="false" customHeight="true" outlineLevel="0" collapsed="false">
      <c r="A100" s="13" t="s">
        <v>2440</v>
      </c>
      <c r="B100" s="15" t="s">
        <v>2434</v>
      </c>
      <c r="C100" s="15" t="s">
        <v>2441</v>
      </c>
      <c r="D100" s="15" t="s">
        <v>2442</v>
      </c>
      <c r="E100" s="28" t="s">
        <v>19</v>
      </c>
      <c r="F100" s="16"/>
      <c r="G100" s="16"/>
      <c r="H100" s="19" t="n">
        <f aca="false">LEN(IF(F100&lt;&gt;"",F100,D100))</f>
        <v>42</v>
      </c>
      <c r="I100" s="29" t="str">
        <f aca="false">IF(OR(H100&lt;4,H100&gt;140),"분량 확인","")</f>
        <v/>
      </c>
    </row>
    <row r="101" customFormat="false" ht="48" hidden="false" customHeight="true" outlineLevel="0" collapsed="false">
      <c r="A101" s="13" t="s">
        <v>2443</v>
      </c>
      <c r="B101" s="15" t="s">
        <v>2444</v>
      </c>
      <c r="C101" s="15" t="s">
        <v>2445</v>
      </c>
      <c r="D101" s="15" t="s">
        <v>2446</v>
      </c>
      <c r="E101" s="28" t="s">
        <v>19</v>
      </c>
      <c r="F101" s="16"/>
      <c r="G101" s="16"/>
      <c r="H101" s="19" t="n">
        <f aca="false">LEN(IF(F101&lt;&gt;"",F101,D101))</f>
        <v>14</v>
      </c>
      <c r="I101" s="29" t="str">
        <f aca="false">IF(OR(H101&lt;4,H101&gt;140),"분량 확인","")</f>
        <v/>
      </c>
    </row>
    <row r="102" customFormat="false" ht="48" hidden="false" customHeight="true" outlineLevel="0" collapsed="false">
      <c r="A102" s="13" t="s">
        <v>2447</v>
      </c>
      <c r="B102" s="15" t="s">
        <v>2444</v>
      </c>
      <c r="C102" s="15" t="s">
        <v>2448</v>
      </c>
      <c r="D102" s="15" t="s">
        <v>2449</v>
      </c>
      <c r="E102" s="28" t="s">
        <v>19</v>
      </c>
      <c r="F102" s="16"/>
      <c r="G102" s="16"/>
      <c r="H102" s="19" t="n">
        <f aca="false">LEN(IF(F102&lt;&gt;"",F102,D102))</f>
        <v>44</v>
      </c>
      <c r="I102" s="29" t="str">
        <f aca="false">IF(OR(H102&lt;4,H102&gt;140),"분량 확인","")</f>
        <v/>
      </c>
    </row>
    <row r="103" customFormat="false" ht="61.5" hidden="false" customHeight="true" outlineLevel="0" collapsed="false">
      <c r="A103" s="13" t="s">
        <v>2450</v>
      </c>
      <c r="B103" s="15" t="s">
        <v>2444</v>
      </c>
      <c r="C103" s="15" t="s">
        <v>2451</v>
      </c>
      <c r="D103" s="15" t="s">
        <v>2452</v>
      </c>
      <c r="E103" s="28" t="s">
        <v>19</v>
      </c>
      <c r="F103" s="16"/>
      <c r="G103" s="16"/>
      <c r="H103" s="19" t="n">
        <f aca="false">LEN(IF(F103&lt;&gt;"",F103,D103))</f>
        <v>45</v>
      </c>
      <c r="I103" s="29" t="str">
        <f aca="false">IF(OR(H103&lt;4,H103&gt;140),"분량 확인","")</f>
        <v/>
      </c>
    </row>
    <row r="104" customFormat="false" ht="48" hidden="false" customHeight="true" outlineLevel="0" collapsed="false">
      <c r="A104" s="13" t="s">
        <v>2453</v>
      </c>
      <c r="B104" s="15" t="s">
        <v>2454</v>
      </c>
      <c r="C104" s="15" t="s">
        <v>2455</v>
      </c>
      <c r="D104" s="14" t="s">
        <v>2456</v>
      </c>
      <c r="E104" s="28" t="s">
        <v>19</v>
      </c>
      <c r="F104" s="16"/>
      <c r="G104" s="16"/>
      <c r="H104" s="19" t="n">
        <f aca="false">LEN(IF(F104&lt;&gt;"",F104,D104))</f>
        <v>12</v>
      </c>
      <c r="I104" s="29" t="str">
        <f aca="false">IF(OR(H104&lt;4,H104&gt;140),"분량 확인","")</f>
        <v/>
      </c>
    </row>
    <row r="105" customFormat="false" ht="48" hidden="false" customHeight="true" outlineLevel="0" collapsed="false">
      <c r="A105" s="13" t="s">
        <v>2457</v>
      </c>
      <c r="B105" s="15" t="s">
        <v>2454</v>
      </c>
      <c r="C105" s="15" t="s">
        <v>2458</v>
      </c>
      <c r="D105" s="15" t="s">
        <v>2459</v>
      </c>
      <c r="E105" s="28" t="s">
        <v>19</v>
      </c>
      <c r="F105" s="16"/>
      <c r="G105" s="16"/>
      <c r="H105" s="19" t="n">
        <f aca="false">LEN(IF(F105&lt;&gt;"",F105,D105))</f>
        <v>44</v>
      </c>
      <c r="I105" s="29" t="str">
        <f aca="false">IF(OR(H105&lt;4,H105&gt;140),"분량 확인","")</f>
        <v/>
      </c>
    </row>
    <row r="106" customFormat="false" ht="61.5" hidden="false" customHeight="true" outlineLevel="0" collapsed="false">
      <c r="A106" s="13" t="s">
        <v>2460</v>
      </c>
      <c r="B106" s="15" t="s">
        <v>2454</v>
      </c>
      <c r="C106" s="15" t="s">
        <v>2461</v>
      </c>
      <c r="D106" s="15" t="s">
        <v>2462</v>
      </c>
      <c r="E106" s="28" t="s">
        <v>19</v>
      </c>
      <c r="F106" s="16"/>
      <c r="G106" s="16"/>
      <c r="H106" s="19" t="n">
        <f aca="false">LEN(IF(F106&lt;&gt;"",F106,D106))</f>
        <v>32</v>
      </c>
      <c r="I106" s="29" t="str">
        <f aca="false">IF(OR(H106&lt;4,H106&gt;140),"분량 확인","")</f>
        <v/>
      </c>
    </row>
    <row r="107" customFormat="false" ht="48" hidden="false" customHeight="true" outlineLevel="0" collapsed="false">
      <c r="A107" s="13" t="s">
        <v>2463</v>
      </c>
      <c r="B107" s="15" t="s">
        <v>2464</v>
      </c>
      <c r="C107" s="15" t="s">
        <v>2465</v>
      </c>
      <c r="D107" s="15" t="s">
        <v>2466</v>
      </c>
      <c r="E107" s="28" t="s">
        <v>19</v>
      </c>
      <c r="F107" s="16"/>
      <c r="G107" s="16"/>
      <c r="H107" s="19" t="n">
        <f aca="false">LEN(IF(F107&lt;&gt;"",F107,D107))</f>
        <v>12</v>
      </c>
      <c r="I107" s="29" t="str">
        <f aca="false">IF(OR(H107&lt;4,H107&gt;140),"분량 확인","")</f>
        <v/>
      </c>
    </row>
    <row r="108" customFormat="false" ht="48" hidden="false" customHeight="true" outlineLevel="0" collapsed="false">
      <c r="A108" s="13" t="s">
        <v>2467</v>
      </c>
      <c r="B108" s="15" t="s">
        <v>2464</v>
      </c>
      <c r="C108" s="15" t="s">
        <v>2468</v>
      </c>
      <c r="D108" s="15" t="s">
        <v>2469</v>
      </c>
      <c r="E108" s="28" t="s">
        <v>19</v>
      </c>
      <c r="F108" s="16"/>
      <c r="G108" s="16"/>
      <c r="H108" s="19" t="n">
        <f aca="false">LEN(IF(F108&lt;&gt;"",F108,D108))</f>
        <v>66</v>
      </c>
      <c r="I108" s="29" t="str">
        <f aca="false">IF(OR(H108&lt;4,H108&gt;140),"분량 확인","")</f>
        <v/>
      </c>
    </row>
    <row r="109" customFormat="false" ht="48" hidden="false" customHeight="true" outlineLevel="0" collapsed="false">
      <c r="A109" s="13" t="s">
        <v>2470</v>
      </c>
      <c r="B109" s="15" t="s">
        <v>2464</v>
      </c>
      <c r="C109" s="15" t="s">
        <v>2471</v>
      </c>
      <c r="D109" s="15" t="s">
        <v>2472</v>
      </c>
      <c r="E109" s="28" t="s">
        <v>19</v>
      </c>
      <c r="F109" s="16"/>
      <c r="G109" s="16"/>
      <c r="H109" s="19" t="n">
        <f aca="false">LEN(IF(F109&lt;&gt;"",F109,D109))</f>
        <v>39</v>
      </c>
      <c r="I109" s="29" t="str">
        <f aca="false">IF(OR(H109&lt;4,H109&gt;140),"분량 확인","")</f>
        <v/>
      </c>
    </row>
    <row r="110" customFormat="false" ht="48" hidden="false" customHeight="true" outlineLevel="0" collapsed="false">
      <c r="A110" s="13" t="s">
        <v>2473</v>
      </c>
      <c r="B110" s="15" t="s">
        <v>2474</v>
      </c>
      <c r="C110" s="15" t="s">
        <v>2475</v>
      </c>
      <c r="D110" s="14" t="s">
        <v>2476</v>
      </c>
      <c r="E110" s="28" t="s">
        <v>19</v>
      </c>
      <c r="F110" s="16"/>
      <c r="G110" s="17" t="s">
        <v>2477</v>
      </c>
      <c r="H110" s="19" t="n">
        <f aca="false">LEN(IF(F110&lt;&gt;"",F110,D110))</f>
        <v>24</v>
      </c>
      <c r="I110" s="29" t="str">
        <f aca="false">IF(OR(H110&lt;4,H110&gt;140),"분량 확인","")</f>
        <v/>
      </c>
    </row>
    <row r="111" customFormat="false" ht="75.75" hidden="false" customHeight="true" outlineLevel="0" collapsed="false">
      <c r="A111" s="13" t="s">
        <v>2478</v>
      </c>
      <c r="B111" s="15" t="s">
        <v>2474</v>
      </c>
      <c r="C111" s="15" t="s">
        <v>2479</v>
      </c>
      <c r="D111" s="15" t="s">
        <v>2480</v>
      </c>
      <c r="E111" s="28" t="s">
        <v>19</v>
      </c>
      <c r="F111" s="16"/>
      <c r="G111" s="16"/>
      <c r="H111" s="19" t="n">
        <f aca="false">LEN(IF(F111&lt;&gt;"",F111,D111))</f>
        <v>118</v>
      </c>
      <c r="I111" s="29" t="str">
        <f aca="false">IF(OR(H111&lt;4,H111&gt;140),"분량 확인","")</f>
        <v/>
      </c>
    </row>
    <row r="112" customFormat="false" ht="61.5" hidden="false" customHeight="true" outlineLevel="0" collapsed="false">
      <c r="A112" s="13" t="s">
        <v>2481</v>
      </c>
      <c r="B112" s="15" t="s">
        <v>2474</v>
      </c>
      <c r="C112" s="15" t="s">
        <v>2482</v>
      </c>
      <c r="D112" s="15" t="s">
        <v>2483</v>
      </c>
      <c r="E112" s="28" t="s">
        <v>19</v>
      </c>
      <c r="F112" s="16"/>
      <c r="G112" s="16"/>
      <c r="H112" s="19" t="n">
        <f aca="false">LEN(IF(F112&lt;&gt;"",F112,D112))</f>
        <v>49</v>
      </c>
      <c r="I112" s="29" t="str">
        <f aca="false">IF(OR(H112&lt;4,H112&gt;140),"분량 확인","")</f>
        <v/>
      </c>
    </row>
    <row r="113" customFormat="false" ht="61.5" hidden="false" customHeight="true" outlineLevel="0" collapsed="false">
      <c r="A113" s="13" t="s">
        <v>2484</v>
      </c>
      <c r="B113" s="15" t="s">
        <v>2485</v>
      </c>
      <c r="C113" s="15" t="s">
        <v>2486</v>
      </c>
      <c r="D113" s="15" t="s">
        <v>2487</v>
      </c>
      <c r="E113" s="28" t="s">
        <v>19</v>
      </c>
      <c r="F113" s="16"/>
      <c r="G113" s="17" t="s">
        <v>2488</v>
      </c>
      <c r="H113" s="19" t="n">
        <f aca="false">LEN(IF(F113&lt;&gt;"",F113,D113))</f>
        <v>21</v>
      </c>
      <c r="I113" s="29" t="str">
        <f aca="false">IF(OR(H113&lt;4,H113&gt;140),"분량 확인","")</f>
        <v/>
      </c>
    </row>
    <row r="114" customFormat="false" ht="61.5" hidden="false" customHeight="true" outlineLevel="0" collapsed="false">
      <c r="A114" s="13" t="s">
        <v>2489</v>
      </c>
      <c r="B114" s="15" t="s">
        <v>2485</v>
      </c>
      <c r="C114" s="15" t="s">
        <v>2490</v>
      </c>
      <c r="D114" s="15" t="s">
        <v>2491</v>
      </c>
      <c r="E114" s="28" t="s">
        <v>19</v>
      </c>
      <c r="F114" s="16"/>
      <c r="G114" s="16"/>
      <c r="H114" s="19" t="n">
        <f aca="false">LEN(IF(F114&lt;&gt;"",F114,D114))</f>
        <v>41</v>
      </c>
      <c r="I114" s="29" t="str">
        <f aca="false">IF(OR(H114&lt;4,H114&gt;140),"분량 확인","")</f>
        <v/>
      </c>
    </row>
    <row r="115" customFormat="false" ht="61.5" hidden="false" customHeight="true" outlineLevel="0" collapsed="false">
      <c r="A115" s="13" t="s">
        <v>2492</v>
      </c>
      <c r="B115" s="15" t="s">
        <v>2485</v>
      </c>
      <c r="C115" s="15" t="s">
        <v>2493</v>
      </c>
      <c r="D115" s="15" t="s">
        <v>2494</v>
      </c>
      <c r="E115" s="28" t="s">
        <v>19</v>
      </c>
      <c r="F115" s="16"/>
      <c r="G115" s="16"/>
      <c r="H115" s="19" t="n">
        <f aca="false">LEN(IF(F115&lt;&gt;"",F115,D115))</f>
        <v>50</v>
      </c>
      <c r="I115" s="29" t="str">
        <f aca="false">IF(OR(H115&lt;4,H115&gt;140),"분량 확인","")</f>
        <v/>
      </c>
    </row>
    <row r="116" customFormat="false" ht="48" hidden="false" customHeight="true" outlineLevel="0" collapsed="false">
      <c r="A116" s="13" t="s">
        <v>2495</v>
      </c>
      <c r="B116" s="15" t="s">
        <v>2496</v>
      </c>
      <c r="C116" s="15" t="s">
        <v>2497</v>
      </c>
      <c r="D116" s="15" t="s">
        <v>2498</v>
      </c>
      <c r="E116" s="28" t="s">
        <v>19</v>
      </c>
      <c r="F116" s="16"/>
      <c r="G116" s="17" t="s">
        <v>2499</v>
      </c>
      <c r="H116" s="19" t="n">
        <f aca="false">LEN(IF(F116&lt;&gt;"",F116,D116))</f>
        <v>29</v>
      </c>
      <c r="I116" s="29" t="str">
        <f aca="false">IF(OR(H116&lt;4,H116&gt;140),"분량 확인","")</f>
        <v/>
      </c>
    </row>
    <row r="117" customFormat="false" ht="61.5" hidden="false" customHeight="true" outlineLevel="0" collapsed="false">
      <c r="A117" s="13" t="s">
        <v>2500</v>
      </c>
      <c r="B117" s="15" t="s">
        <v>2496</v>
      </c>
      <c r="C117" s="15" t="s">
        <v>2501</v>
      </c>
      <c r="D117" s="15" t="s">
        <v>2502</v>
      </c>
      <c r="E117" s="28" t="s">
        <v>19</v>
      </c>
      <c r="F117" s="16"/>
      <c r="G117" s="16"/>
      <c r="H117" s="19" t="n">
        <f aca="false">LEN(IF(F117&lt;&gt;"",F117,D117))</f>
        <v>110</v>
      </c>
      <c r="I117" s="29" t="str">
        <f aca="false">IF(OR(H117&lt;4,H117&gt;140),"분량 확인","")</f>
        <v/>
      </c>
    </row>
    <row r="118" customFormat="false" ht="61.5" hidden="false" customHeight="true" outlineLevel="0" collapsed="false">
      <c r="A118" s="13" t="s">
        <v>2503</v>
      </c>
      <c r="B118" s="15" t="s">
        <v>2496</v>
      </c>
      <c r="C118" s="15" t="s">
        <v>2504</v>
      </c>
      <c r="D118" s="15" t="s">
        <v>2505</v>
      </c>
      <c r="E118" s="28" t="s">
        <v>19</v>
      </c>
      <c r="F118" s="16"/>
      <c r="G118" s="16"/>
      <c r="H118" s="19" t="n">
        <f aca="false">LEN(IF(F118&lt;&gt;"",F118,D118))</f>
        <v>50</v>
      </c>
      <c r="I118" s="29" t="str">
        <f aca="false">IF(OR(H118&lt;4,H118&gt;140),"분량 확인","")</f>
        <v/>
      </c>
    </row>
    <row r="119" customFormat="false" ht="61.5" hidden="false" customHeight="true" outlineLevel="0" collapsed="false">
      <c r="A119" s="13" t="s">
        <v>2506</v>
      </c>
      <c r="B119" s="15" t="s">
        <v>2507</v>
      </c>
      <c r="C119" s="15" t="s">
        <v>2508</v>
      </c>
      <c r="D119" s="15" t="s">
        <v>2509</v>
      </c>
      <c r="E119" s="28" t="s">
        <v>19</v>
      </c>
      <c r="F119" s="16"/>
      <c r="G119" s="17" t="s">
        <v>2510</v>
      </c>
      <c r="H119" s="19" t="n">
        <f aca="false">LEN(IF(F119&lt;&gt;"",F119,D119))</f>
        <v>20</v>
      </c>
      <c r="I119" s="29" t="str">
        <f aca="false">IF(OR(H119&lt;4,H119&gt;140),"분량 확인","")</f>
        <v/>
      </c>
    </row>
    <row r="120" customFormat="false" ht="61.5" hidden="false" customHeight="true" outlineLevel="0" collapsed="false">
      <c r="A120" s="13" t="s">
        <v>2511</v>
      </c>
      <c r="B120" s="15" t="s">
        <v>2507</v>
      </c>
      <c r="C120" s="15" t="s">
        <v>2512</v>
      </c>
      <c r="D120" s="15" t="s">
        <v>2513</v>
      </c>
      <c r="E120" s="28" t="s">
        <v>19</v>
      </c>
      <c r="F120" s="16"/>
      <c r="G120" s="16"/>
      <c r="H120" s="19" t="n">
        <f aca="false">LEN(IF(F120&lt;&gt;"",F120,D120))</f>
        <v>34</v>
      </c>
      <c r="I120" s="29" t="str">
        <f aca="false">IF(OR(H120&lt;4,H120&gt;140),"분량 확인","")</f>
        <v/>
      </c>
    </row>
    <row r="121" customFormat="false" ht="75.75" hidden="false" customHeight="true" outlineLevel="0" collapsed="false">
      <c r="A121" s="13" t="s">
        <v>2514</v>
      </c>
      <c r="B121" s="15" t="s">
        <v>2507</v>
      </c>
      <c r="C121" s="15" t="s">
        <v>2515</v>
      </c>
      <c r="D121" s="15" t="s">
        <v>2516</v>
      </c>
      <c r="E121" s="28" t="s">
        <v>19</v>
      </c>
      <c r="F121" s="16"/>
      <c r="G121" s="16"/>
      <c r="H121" s="19" t="n">
        <f aca="false">LEN(IF(F121&lt;&gt;"",F121,D121))</f>
        <v>44</v>
      </c>
      <c r="I121" s="29" t="str">
        <f aca="false">IF(OR(H121&lt;4,H121&gt;140),"분량 확인","")</f>
        <v/>
      </c>
    </row>
    <row r="122" customFormat="false" ht="61.5" hidden="false" customHeight="true" outlineLevel="0" collapsed="false">
      <c r="A122" s="13" t="s">
        <v>2517</v>
      </c>
      <c r="B122" s="15" t="s">
        <v>2518</v>
      </c>
      <c r="C122" s="15" t="s">
        <v>2519</v>
      </c>
      <c r="D122" s="15" t="s">
        <v>2520</v>
      </c>
      <c r="E122" s="28" t="s">
        <v>19</v>
      </c>
      <c r="F122" s="16"/>
      <c r="G122" s="17" t="s">
        <v>2521</v>
      </c>
      <c r="H122" s="19" t="n">
        <f aca="false">LEN(IF(F122&lt;&gt;"",F122,D122))</f>
        <v>22</v>
      </c>
      <c r="I122" s="29" t="str">
        <f aca="false">IF(OR(H122&lt;4,H122&gt;140),"분량 확인","")</f>
        <v/>
      </c>
    </row>
    <row r="123" customFormat="false" ht="61.5" hidden="false" customHeight="true" outlineLevel="0" collapsed="false">
      <c r="A123" s="13" t="s">
        <v>2522</v>
      </c>
      <c r="B123" s="15" t="s">
        <v>2518</v>
      </c>
      <c r="C123" s="15" t="s">
        <v>2523</v>
      </c>
      <c r="D123" s="15" t="s">
        <v>2524</v>
      </c>
      <c r="E123" s="28" t="s">
        <v>19</v>
      </c>
      <c r="F123" s="16"/>
      <c r="G123" s="16"/>
      <c r="H123" s="19" t="n">
        <f aca="false">LEN(IF(F123&lt;&gt;"",F123,D123))</f>
        <v>37</v>
      </c>
      <c r="I123" s="29" t="str">
        <f aca="false">IF(OR(H123&lt;4,H123&gt;140),"분량 확인","")</f>
        <v/>
      </c>
    </row>
    <row r="124" customFormat="false" ht="75.75" hidden="false" customHeight="true" outlineLevel="0" collapsed="false">
      <c r="A124" s="13" t="s">
        <v>2525</v>
      </c>
      <c r="B124" s="15" t="s">
        <v>2518</v>
      </c>
      <c r="C124" s="15" t="s">
        <v>2526</v>
      </c>
      <c r="D124" s="15" t="s">
        <v>2527</v>
      </c>
      <c r="E124" s="28" t="s">
        <v>19</v>
      </c>
      <c r="F124" s="16"/>
      <c r="G124" s="16"/>
      <c r="H124" s="19" t="n">
        <f aca="false">LEN(IF(F124&lt;&gt;"",F124,D124))</f>
        <v>49</v>
      </c>
      <c r="I124" s="29" t="str">
        <f aca="false">IF(OR(H124&lt;4,H124&gt;140),"분량 확인","")</f>
        <v/>
      </c>
    </row>
    <row r="125" customFormat="false" ht="48" hidden="false" customHeight="true" outlineLevel="0" collapsed="false">
      <c r="A125" s="13" t="s">
        <v>2528</v>
      </c>
      <c r="B125" s="15" t="s">
        <v>2529</v>
      </c>
      <c r="C125" s="15" t="s">
        <v>2530</v>
      </c>
      <c r="D125" s="15" t="s">
        <v>2531</v>
      </c>
      <c r="E125" s="28" t="s">
        <v>19</v>
      </c>
      <c r="F125" s="16"/>
      <c r="G125" s="17" t="s">
        <v>2532</v>
      </c>
      <c r="H125" s="19" t="n">
        <f aca="false">LEN(IF(F125&lt;&gt;"",F125,D125))</f>
        <v>31</v>
      </c>
      <c r="I125" s="29" t="str">
        <f aca="false">IF(OR(H125&lt;4,H125&gt;140),"분량 확인","")</f>
        <v/>
      </c>
    </row>
    <row r="126" customFormat="false" ht="75.75" hidden="false" customHeight="true" outlineLevel="0" collapsed="false">
      <c r="A126" s="13" t="s">
        <v>2533</v>
      </c>
      <c r="B126" s="15" t="s">
        <v>2529</v>
      </c>
      <c r="C126" s="15" t="s">
        <v>2534</v>
      </c>
      <c r="D126" s="15" t="s">
        <v>2535</v>
      </c>
      <c r="E126" s="28" t="s">
        <v>19</v>
      </c>
      <c r="F126" s="16"/>
      <c r="G126" s="16"/>
      <c r="H126" s="19" t="n">
        <f aca="false">LEN(IF(F126&lt;&gt;"",F126,D126))</f>
        <v>125</v>
      </c>
      <c r="I126" s="29" t="str">
        <f aca="false">IF(OR(H126&lt;4,H126&gt;140),"분량 확인","")</f>
        <v/>
      </c>
    </row>
    <row r="127" customFormat="false" ht="61.5" hidden="false" customHeight="true" outlineLevel="0" collapsed="false">
      <c r="A127" s="13" t="s">
        <v>2536</v>
      </c>
      <c r="B127" s="15" t="s">
        <v>2529</v>
      </c>
      <c r="C127" s="15" t="s">
        <v>2537</v>
      </c>
      <c r="D127" s="15" t="s">
        <v>2538</v>
      </c>
      <c r="E127" s="28" t="s">
        <v>19</v>
      </c>
      <c r="F127" s="16"/>
      <c r="G127" s="16"/>
      <c r="H127" s="19" t="n">
        <f aca="false">LEN(IF(F127&lt;&gt;"",F127,D127))</f>
        <v>55</v>
      </c>
      <c r="I127" s="29" t="str">
        <f aca="false">IF(OR(H127&lt;4,H127&gt;140),"분량 확인","")</f>
        <v/>
      </c>
    </row>
  </sheetData>
  <autoFilter ref="A1:I127"/>
  <conditionalFormatting sqref="E2:E127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127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127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2F53"/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75.75" hidden="false" customHeight="true" outlineLevel="0" collapsed="false">
      <c r="A2" s="13" t="s">
        <v>2539</v>
      </c>
      <c r="B2" s="15" t="s">
        <v>2540</v>
      </c>
      <c r="C2" s="14" t="s">
        <v>2541</v>
      </c>
      <c r="D2" s="15" t="s">
        <v>2542</v>
      </c>
      <c r="E2" s="28" t="s">
        <v>19</v>
      </c>
      <c r="F2" s="16"/>
      <c r="G2" s="16"/>
      <c r="H2" s="19" t="n">
        <f aca="false">LEN(IF(F2&lt;&gt;"",F2,D2))</f>
        <v>132</v>
      </c>
      <c r="I2" s="29" t="str">
        <f aca="false">IF(OR(H2&lt;50,H2&gt;450),"분량 확인","")</f>
        <v/>
      </c>
    </row>
    <row r="3" customFormat="false" ht="61.5" hidden="false" customHeight="true" outlineLevel="0" collapsed="false">
      <c r="A3" s="13" t="s">
        <v>2543</v>
      </c>
      <c r="B3" s="15" t="s">
        <v>2540</v>
      </c>
      <c r="C3" s="14" t="s">
        <v>2544</v>
      </c>
      <c r="D3" s="15" t="s">
        <v>2545</v>
      </c>
      <c r="E3" s="28" t="s">
        <v>19</v>
      </c>
      <c r="F3" s="16"/>
      <c r="G3" s="16"/>
      <c r="H3" s="19" t="n">
        <f aca="false">LEN(IF(F3&lt;&gt;"",F3,D3))</f>
        <v>107</v>
      </c>
      <c r="I3" s="29" t="str">
        <f aca="false">IF(OR(H3&lt;50,H3&gt;450),"분량 확인","")</f>
        <v/>
      </c>
    </row>
    <row r="4" customFormat="false" ht="75.75" hidden="false" customHeight="true" outlineLevel="0" collapsed="false">
      <c r="A4" s="13" t="s">
        <v>2546</v>
      </c>
      <c r="B4" s="15" t="s">
        <v>2547</v>
      </c>
      <c r="C4" s="14" t="s">
        <v>2541</v>
      </c>
      <c r="D4" s="15" t="s">
        <v>2548</v>
      </c>
      <c r="E4" s="28" t="s">
        <v>19</v>
      </c>
      <c r="F4" s="16"/>
      <c r="G4" s="16"/>
      <c r="H4" s="19" t="n">
        <f aca="false">LEN(IF(F4&lt;&gt;"",F4,D4))</f>
        <v>119</v>
      </c>
      <c r="I4" s="29" t="str">
        <f aca="false">IF(OR(H4&lt;50,H4&gt;450),"분량 확인","")</f>
        <v/>
      </c>
    </row>
    <row r="5" customFormat="false" ht="61.5" hidden="false" customHeight="true" outlineLevel="0" collapsed="false">
      <c r="A5" s="13" t="s">
        <v>2549</v>
      </c>
      <c r="B5" s="15" t="s">
        <v>2547</v>
      </c>
      <c r="C5" s="14" t="s">
        <v>2544</v>
      </c>
      <c r="D5" s="15" t="s">
        <v>2550</v>
      </c>
      <c r="E5" s="28" t="s">
        <v>19</v>
      </c>
      <c r="F5" s="16"/>
      <c r="G5" s="16"/>
      <c r="H5" s="19" t="n">
        <f aca="false">LEN(IF(F5&lt;&gt;"",F5,D5))</f>
        <v>106</v>
      </c>
      <c r="I5" s="29" t="str">
        <f aca="false">IF(OR(H5&lt;50,H5&gt;450),"분량 확인","")</f>
        <v/>
      </c>
    </row>
    <row r="6" customFormat="false" ht="75.75" hidden="false" customHeight="true" outlineLevel="0" collapsed="false">
      <c r="A6" s="13" t="s">
        <v>2551</v>
      </c>
      <c r="B6" s="15" t="s">
        <v>2552</v>
      </c>
      <c r="C6" s="14" t="s">
        <v>2541</v>
      </c>
      <c r="D6" s="15" t="s">
        <v>2553</v>
      </c>
      <c r="E6" s="28" t="s">
        <v>19</v>
      </c>
      <c r="F6" s="16"/>
      <c r="G6" s="16"/>
      <c r="H6" s="19" t="n">
        <f aca="false">LEN(IF(F6&lt;&gt;"",F6,D6))</f>
        <v>124</v>
      </c>
      <c r="I6" s="29" t="str">
        <f aca="false">IF(OR(H6&lt;50,H6&gt;450),"분량 확인","")</f>
        <v/>
      </c>
    </row>
    <row r="7" customFormat="false" ht="61.5" hidden="false" customHeight="true" outlineLevel="0" collapsed="false">
      <c r="A7" s="13" t="s">
        <v>2554</v>
      </c>
      <c r="B7" s="15" t="s">
        <v>2552</v>
      </c>
      <c r="C7" s="14" t="s">
        <v>2544</v>
      </c>
      <c r="D7" s="15" t="s">
        <v>2555</v>
      </c>
      <c r="E7" s="28" t="s">
        <v>19</v>
      </c>
      <c r="F7" s="16"/>
      <c r="G7" s="16"/>
      <c r="H7" s="19" t="n">
        <f aca="false">LEN(IF(F7&lt;&gt;"",F7,D7))</f>
        <v>99</v>
      </c>
      <c r="I7" s="29" t="str">
        <f aca="false">IF(OR(H7&lt;50,H7&gt;450),"분량 확인","")</f>
        <v/>
      </c>
    </row>
    <row r="8" customFormat="false" ht="75.75" hidden="false" customHeight="true" outlineLevel="0" collapsed="false">
      <c r="A8" s="13" t="s">
        <v>2556</v>
      </c>
      <c r="B8" s="15" t="s">
        <v>2557</v>
      </c>
      <c r="C8" s="14" t="s">
        <v>2541</v>
      </c>
      <c r="D8" s="15" t="s">
        <v>2558</v>
      </c>
      <c r="E8" s="28" t="s">
        <v>19</v>
      </c>
      <c r="F8" s="16"/>
      <c r="G8" s="16"/>
      <c r="H8" s="19" t="n">
        <f aca="false">LEN(IF(F8&lt;&gt;"",F8,D8))</f>
        <v>129</v>
      </c>
      <c r="I8" s="29" t="str">
        <f aca="false">IF(OR(H8&lt;50,H8&gt;450),"분량 확인","")</f>
        <v/>
      </c>
    </row>
    <row r="9" customFormat="false" ht="61.5" hidden="false" customHeight="true" outlineLevel="0" collapsed="false">
      <c r="A9" s="13" t="s">
        <v>2559</v>
      </c>
      <c r="B9" s="15" t="s">
        <v>2557</v>
      </c>
      <c r="C9" s="14" t="s">
        <v>2544</v>
      </c>
      <c r="D9" s="15" t="s">
        <v>2560</v>
      </c>
      <c r="E9" s="28" t="s">
        <v>19</v>
      </c>
      <c r="F9" s="16"/>
      <c r="G9" s="16"/>
      <c r="H9" s="19" t="n">
        <f aca="false">LEN(IF(F9&lt;&gt;"",F9,D9))</f>
        <v>95</v>
      </c>
      <c r="I9" s="29" t="str">
        <f aca="false">IF(OR(H9&lt;50,H9&gt;450),"분량 확인","")</f>
        <v/>
      </c>
    </row>
    <row r="10" customFormat="false" ht="75.75" hidden="false" customHeight="true" outlineLevel="0" collapsed="false">
      <c r="A10" s="13" t="s">
        <v>2561</v>
      </c>
      <c r="B10" s="15" t="s">
        <v>2562</v>
      </c>
      <c r="C10" s="14" t="s">
        <v>2541</v>
      </c>
      <c r="D10" s="15" t="s">
        <v>2563</v>
      </c>
      <c r="E10" s="28" t="s">
        <v>19</v>
      </c>
      <c r="F10" s="16"/>
      <c r="G10" s="16"/>
      <c r="H10" s="19" t="n">
        <f aca="false">LEN(IF(F10&lt;&gt;"",F10,D10))</f>
        <v>117</v>
      </c>
      <c r="I10" s="29" t="str">
        <f aca="false">IF(OR(H10&lt;50,H10&gt;450),"분량 확인","")</f>
        <v/>
      </c>
    </row>
    <row r="11" customFormat="false" ht="61.5" hidden="false" customHeight="true" outlineLevel="0" collapsed="false">
      <c r="A11" s="13" t="s">
        <v>2564</v>
      </c>
      <c r="B11" s="15" t="s">
        <v>2562</v>
      </c>
      <c r="C11" s="14" t="s">
        <v>2544</v>
      </c>
      <c r="D11" s="15" t="s">
        <v>2565</v>
      </c>
      <c r="E11" s="28" t="s">
        <v>19</v>
      </c>
      <c r="F11" s="16"/>
      <c r="G11" s="16"/>
      <c r="H11" s="19" t="n">
        <f aca="false">LEN(IF(F11&lt;&gt;"",F11,D11))</f>
        <v>92</v>
      </c>
      <c r="I11" s="29" t="str">
        <f aca="false">IF(OR(H11&lt;50,H11&gt;450),"분량 확인","")</f>
        <v/>
      </c>
    </row>
    <row r="12" customFormat="false" ht="75.75" hidden="false" customHeight="true" outlineLevel="0" collapsed="false">
      <c r="A12" s="13" t="s">
        <v>2566</v>
      </c>
      <c r="B12" s="15" t="s">
        <v>2567</v>
      </c>
      <c r="C12" s="14" t="s">
        <v>2541</v>
      </c>
      <c r="D12" s="15" t="s">
        <v>2568</v>
      </c>
      <c r="E12" s="28" t="s">
        <v>19</v>
      </c>
      <c r="F12" s="16"/>
      <c r="G12" s="16"/>
      <c r="H12" s="19" t="n">
        <f aca="false">LEN(IF(F12&lt;&gt;"",F12,D12))</f>
        <v>117</v>
      </c>
      <c r="I12" s="29" t="str">
        <f aca="false">IF(OR(H12&lt;50,H12&gt;450),"분량 확인","")</f>
        <v/>
      </c>
    </row>
    <row r="13" customFormat="false" ht="61.5" hidden="false" customHeight="true" outlineLevel="0" collapsed="false">
      <c r="A13" s="13" t="s">
        <v>2569</v>
      </c>
      <c r="B13" s="15" t="s">
        <v>2567</v>
      </c>
      <c r="C13" s="14" t="s">
        <v>2544</v>
      </c>
      <c r="D13" s="15" t="s">
        <v>2570</v>
      </c>
      <c r="E13" s="28" t="s">
        <v>19</v>
      </c>
      <c r="F13" s="16"/>
      <c r="G13" s="16"/>
      <c r="H13" s="19" t="n">
        <f aca="false">LEN(IF(F13&lt;&gt;"",F13,D13))</f>
        <v>97</v>
      </c>
      <c r="I13" s="29" t="str">
        <f aca="false">IF(OR(H13&lt;50,H13&gt;450),"분량 확인","")</f>
        <v/>
      </c>
    </row>
    <row r="14" customFormat="false" ht="61.5" hidden="false" customHeight="true" outlineLevel="0" collapsed="false">
      <c r="A14" s="13" t="s">
        <v>2571</v>
      </c>
      <c r="B14" s="15" t="s">
        <v>2572</v>
      </c>
      <c r="C14" s="14" t="s">
        <v>2541</v>
      </c>
      <c r="D14" s="15" t="s">
        <v>2573</v>
      </c>
      <c r="E14" s="28" t="s">
        <v>19</v>
      </c>
      <c r="F14" s="16"/>
      <c r="G14" s="16"/>
      <c r="H14" s="19" t="n">
        <f aca="false">LEN(IF(F14&lt;&gt;"",F14,D14))</f>
        <v>73</v>
      </c>
      <c r="I14" s="29" t="str">
        <f aca="false">IF(OR(H14&lt;50,H14&gt;450),"분량 확인","")</f>
        <v/>
      </c>
    </row>
    <row r="15" customFormat="false" ht="61.5" hidden="false" customHeight="true" outlineLevel="0" collapsed="false">
      <c r="A15" s="13" t="s">
        <v>2574</v>
      </c>
      <c r="B15" s="15" t="s">
        <v>2572</v>
      </c>
      <c r="C15" s="14" t="s">
        <v>2544</v>
      </c>
      <c r="D15" s="15" t="s">
        <v>2575</v>
      </c>
      <c r="E15" s="28" t="s">
        <v>19</v>
      </c>
      <c r="F15" s="16"/>
      <c r="G15" s="16"/>
      <c r="H15" s="19" t="n">
        <f aca="false">LEN(IF(F15&lt;&gt;"",F15,D15))</f>
        <v>97</v>
      </c>
      <c r="I15" s="29" t="str">
        <f aca="false">IF(OR(H15&lt;50,H15&gt;450),"분량 확인","")</f>
        <v/>
      </c>
    </row>
    <row r="16" customFormat="false" ht="132" hidden="false" customHeight="true" outlineLevel="0" collapsed="false">
      <c r="A16" s="13" t="s">
        <v>2576</v>
      </c>
      <c r="B16" s="15" t="s">
        <v>2540</v>
      </c>
      <c r="C16" s="14" t="s">
        <v>2577</v>
      </c>
      <c r="D16" s="14" t="s">
        <v>2578</v>
      </c>
      <c r="E16" s="28" t="s">
        <v>19</v>
      </c>
      <c r="F16" s="16"/>
      <c r="G16" s="16"/>
      <c r="H16" s="19" t="n">
        <f aca="false">LEN(IF(F16&lt;&gt;"",F16,D16))</f>
        <v>237</v>
      </c>
      <c r="I16" s="29" t="str">
        <f aca="false">IF(OR(H16&lt;50,H16&gt;450),"분량 확인","")</f>
        <v/>
      </c>
    </row>
    <row r="17" customFormat="false" ht="103.5" hidden="false" customHeight="true" outlineLevel="0" collapsed="false">
      <c r="A17" s="13" t="s">
        <v>2579</v>
      </c>
      <c r="B17" s="15" t="s">
        <v>2540</v>
      </c>
      <c r="C17" s="14" t="s">
        <v>2580</v>
      </c>
      <c r="D17" s="14" t="s">
        <v>2581</v>
      </c>
      <c r="E17" s="28" t="s">
        <v>19</v>
      </c>
      <c r="F17" s="16"/>
      <c r="G17" s="16"/>
      <c r="H17" s="19" t="n">
        <f aca="false">LEN(IF(F17&lt;&gt;"",F17,D17))</f>
        <v>187</v>
      </c>
      <c r="I17" s="29" t="str">
        <f aca="false">IF(OR(H17&lt;50,H17&gt;450),"분량 확인","")</f>
        <v/>
      </c>
    </row>
    <row r="18" customFormat="false" ht="117.75" hidden="false" customHeight="true" outlineLevel="0" collapsed="false">
      <c r="A18" s="13" t="s">
        <v>2582</v>
      </c>
      <c r="B18" s="15" t="s">
        <v>2547</v>
      </c>
      <c r="C18" s="14" t="s">
        <v>2577</v>
      </c>
      <c r="D18" s="14" t="s">
        <v>2583</v>
      </c>
      <c r="E18" s="28" t="s">
        <v>19</v>
      </c>
      <c r="F18" s="16"/>
      <c r="G18" s="16"/>
      <c r="H18" s="19" t="n">
        <f aca="false">LEN(IF(F18&lt;&gt;"",F18,D18))</f>
        <v>208</v>
      </c>
      <c r="I18" s="29" t="str">
        <f aca="false">IF(OR(H18&lt;50,H18&gt;450),"분량 확인","")</f>
        <v/>
      </c>
    </row>
    <row r="19" customFormat="false" ht="103.5" hidden="false" customHeight="true" outlineLevel="0" collapsed="false">
      <c r="A19" s="13" t="s">
        <v>2584</v>
      </c>
      <c r="B19" s="15" t="s">
        <v>2547</v>
      </c>
      <c r="C19" s="14" t="s">
        <v>2580</v>
      </c>
      <c r="D19" s="14" t="s">
        <v>2585</v>
      </c>
      <c r="E19" s="28" t="s">
        <v>19</v>
      </c>
      <c r="F19" s="16"/>
      <c r="G19" s="16"/>
      <c r="H19" s="19" t="n">
        <f aca="false">LEN(IF(F19&lt;&gt;"",F19,D19))</f>
        <v>186</v>
      </c>
      <c r="I19" s="29" t="str">
        <f aca="false">IF(OR(H19&lt;50,H19&gt;450),"분량 확인","")</f>
        <v/>
      </c>
    </row>
    <row r="20" customFormat="false" ht="117.75" hidden="false" customHeight="true" outlineLevel="0" collapsed="false">
      <c r="A20" s="13" t="s">
        <v>2586</v>
      </c>
      <c r="B20" s="15" t="s">
        <v>2552</v>
      </c>
      <c r="C20" s="14" t="s">
        <v>2577</v>
      </c>
      <c r="D20" s="14" t="s">
        <v>2587</v>
      </c>
      <c r="E20" s="28" t="s">
        <v>19</v>
      </c>
      <c r="F20" s="16"/>
      <c r="G20" s="16"/>
      <c r="H20" s="19" t="n">
        <f aca="false">LEN(IF(F20&lt;&gt;"",F20,D20))</f>
        <v>207</v>
      </c>
      <c r="I20" s="29" t="str">
        <f aca="false">IF(OR(H20&lt;50,H20&gt;450),"분량 확인","")</f>
        <v/>
      </c>
    </row>
    <row r="21" customFormat="false" ht="103.5" hidden="false" customHeight="true" outlineLevel="0" collapsed="false">
      <c r="A21" s="13" t="s">
        <v>2588</v>
      </c>
      <c r="B21" s="15" t="s">
        <v>2552</v>
      </c>
      <c r="C21" s="14" t="s">
        <v>2580</v>
      </c>
      <c r="D21" s="14" t="s">
        <v>2589</v>
      </c>
      <c r="E21" s="28" t="s">
        <v>19</v>
      </c>
      <c r="F21" s="16"/>
      <c r="G21" s="16"/>
      <c r="H21" s="19" t="n">
        <f aca="false">LEN(IF(F21&lt;&gt;"",F21,D21))</f>
        <v>187</v>
      </c>
      <c r="I21" s="29" t="str">
        <f aca="false">IF(OR(H21&lt;50,H21&gt;450),"분량 확인","")</f>
        <v/>
      </c>
    </row>
    <row r="22" customFormat="false" ht="117.75" hidden="false" customHeight="true" outlineLevel="0" collapsed="false">
      <c r="A22" s="13" t="s">
        <v>2590</v>
      </c>
      <c r="B22" s="15" t="s">
        <v>2557</v>
      </c>
      <c r="C22" s="14" t="s">
        <v>2577</v>
      </c>
      <c r="D22" s="14" t="s">
        <v>2591</v>
      </c>
      <c r="E22" s="28" t="s">
        <v>19</v>
      </c>
      <c r="F22" s="16"/>
      <c r="G22" s="16"/>
      <c r="H22" s="19" t="n">
        <f aca="false">LEN(IF(F22&lt;&gt;"",F22,D22))</f>
        <v>218</v>
      </c>
      <c r="I22" s="29" t="str">
        <f aca="false">IF(OR(H22&lt;50,H22&gt;450),"분량 확인","")</f>
        <v/>
      </c>
    </row>
    <row r="23" customFormat="false" ht="103.5" hidden="false" customHeight="true" outlineLevel="0" collapsed="false">
      <c r="A23" s="13" t="s">
        <v>2592</v>
      </c>
      <c r="B23" s="15" t="s">
        <v>2557</v>
      </c>
      <c r="C23" s="14" t="s">
        <v>2580</v>
      </c>
      <c r="D23" s="14" t="s">
        <v>2593</v>
      </c>
      <c r="E23" s="28" t="s">
        <v>19</v>
      </c>
      <c r="F23" s="16"/>
      <c r="G23" s="16"/>
      <c r="H23" s="19" t="n">
        <f aca="false">LEN(IF(F23&lt;&gt;"",F23,D23))</f>
        <v>188</v>
      </c>
      <c r="I23" s="29" t="str">
        <f aca="false">IF(OR(H23&lt;50,H23&gt;450),"분량 확인","")</f>
        <v/>
      </c>
    </row>
    <row r="24" customFormat="false" ht="117.75" hidden="false" customHeight="true" outlineLevel="0" collapsed="false">
      <c r="A24" s="13" t="s">
        <v>2594</v>
      </c>
      <c r="B24" s="15" t="s">
        <v>2562</v>
      </c>
      <c r="C24" s="14" t="s">
        <v>2577</v>
      </c>
      <c r="D24" s="14" t="s">
        <v>2595</v>
      </c>
      <c r="E24" s="28" t="s">
        <v>19</v>
      </c>
      <c r="F24" s="16"/>
      <c r="G24" s="16"/>
      <c r="H24" s="19" t="n">
        <f aca="false">LEN(IF(F24&lt;&gt;"",F24,D24))</f>
        <v>204</v>
      </c>
      <c r="I24" s="29" t="str">
        <f aca="false">IF(OR(H24&lt;50,H24&gt;450),"분량 확인","")</f>
        <v/>
      </c>
    </row>
    <row r="25" customFormat="false" ht="103.5" hidden="false" customHeight="true" outlineLevel="0" collapsed="false">
      <c r="A25" s="13" t="s">
        <v>2596</v>
      </c>
      <c r="B25" s="15" t="s">
        <v>2562</v>
      </c>
      <c r="C25" s="14" t="s">
        <v>2580</v>
      </c>
      <c r="D25" s="14" t="s">
        <v>2597</v>
      </c>
      <c r="E25" s="28" t="s">
        <v>19</v>
      </c>
      <c r="F25" s="16"/>
      <c r="G25" s="16"/>
      <c r="H25" s="19" t="n">
        <f aca="false">LEN(IF(F25&lt;&gt;"",F25,D25))</f>
        <v>178</v>
      </c>
      <c r="I25" s="29" t="str">
        <f aca="false">IF(OR(H25&lt;50,H25&gt;450),"분량 확인","")</f>
        <v/>
      </c>
    </row>
    <row r="26" customFormat="false" ht="117.75" hidden="false" customHeight="true" outlineLevel="0" collapsed="false">
      <c r="A26" s="13" t="s">
        <v>2598</v>
      </c>
      <c r="B26" s="15" t="s">
        <v>2567</v>
      </c>
      <c r="C26" s="14" t="s">
        <v>2577</v>
      </c>
      <c r="D26" s="14" t="s">
        <v>2599</v>
      </c>
      <c r="E26" s="28" t="s">
        <v>19</v>
      </c>
      <c r="F26" s="16"/>
      <c r="G26" s="16"/>
      <c r="H26" s="19" t="n">
        <f aca="false">LEN(IF(F26&lt;&gt;"",F26,D26))</f>
        <v>206</v>
      </c>
      <c r="I26" s="29" t="str">
        <f aca="false">IF(OR(H26&lt;50,H26&gt;450),"분량 확인","")</f>
        <v/>
      </c>
    </row>
    <row r="27" customFormat="false" ht="103.5" hidden="false" customHeight="true" outlineLevel="0" collapsed="false">
      <c r="A27" s="13" t="s">
        <v>2600</v>
      </c>
      <c r="B27" s="15" t="s">
        <v>2567</v>
      </c>
      <c r="C27" s="14" t="s">
        <v>2580</v>
      </c>
      <c r="D27" s="14" t="s">
        <v>2601</v>
      </c>
      <c r="E27" s="28" t="s">
        <v>19</v>
      </c>
      <c r="F27" s="16"/>
      <c r="G27" s="16"/>
      <c r="H27" s="19" t="n">
        <f aca="false">LEN(IF(F27&lt;&gt;"",F27,D27))</f>
        <v>186</v>
      </c>
      <c r="I27" s="29" t="str">
        <f aca="false">IF(OR(H27&lt;50,H27&gt;450),"분량 확인","")</f>
        <v/>
      </c>
    </row>
    <row r="28" customFormat="false" ht="103.5" hidden="false" customHeight="true" outlineLevel="0" collapsed="false">
      <c r="A28" s="13" t="s">
        <v>2602</v>
      </c>
      <c r="B28" s="15" t="s">
        <v>2572</v>
      </c>
      <c r="C28" s="14" t="s">
        <v>2577</v>
      </c>
      <c r="D28" s="14" t="s">
        <v>2603</v>
      </c>
      <c r="E28" s="28" t="s">
        <v>19</v>
      </c>
      <c r="F28" s="16"/>
      <c r="G28" s="16"/>
      <c r="H28" s="19" t="n">
        <f aca="false">LEN(IF(F28&lt;&gt;"",F28,D28))</f>
        <v>182</v>
      </c>
      <c r="I28" s="29" t="str">
        <f aca="false">IF(OR(H28&lt;50,H28&gt;450),"분량 확인","")</f>
        <v/>
      </c>
    </row>
    <row r="29" customFormat="false" ht="75.75" hidden="false" customHeight="true" outlineLevel="0" collapsed="false">
      <c r="A29" s="13" t="s">
        <v>2604</v>
      </c>
      <c r="B29" s="15" t="s">
        <v>2572</v>
      </c>
      <c r="C29" s="14" t="s">
        <v>2580</v>
      </c>
      <c r="D29" s="14" t="s">
        <v>2605</v>
      </c>
      <c r="E29" s="28" t="s">
        <v>19</v>
      </c>
      <c r="F29" s="16"/>
      <c r="G29" s="16"/>
      <c r="H29" s="19" t="n">
        <f aca="false">LEN(IF(F29&lt;&gt;"",F29,D29))</f>
        <v>144</v>
      </c>
      <c r="I29" s="29" t="str">
        <f aca="false">IF(OR(H29&lt;50,H29&gt;450),"분량 확인","")</f>
        <v/>
      </c>
    </row>
  </sheetData>
  <autoFilter ref="A1:I29"/>
  <conditionalFormatting sqref="E2:E29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29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29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2F53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75.75" hidden="false" customHeight="true" outlineLevel="0" collapsed="false">
      <c r="A2" s="13" t="s">
        <v>2606</v>
      </c>
      <c r="B2" s="15" t="s">
        <v>2607</v>
      </c>
      <c r="C2" s="15" t="s">
        <v>2608</v>
      </c>
      <c r="D2" s="15" t="s">
        <v>2609</v>
      </c>
      <c r="E2" s="28" t="s">
        <v>19</v>
      </c>
      <c r="F2" s="16"/>
      <c r="G2" s="16"/>
      <c r="H2" s="19" t="n">
        <f aca="false">LEN(IF(F2&lt;&gt;"",F2,D2))</f>
        <v>129</v>
      </c>
      <c r="I2" s="29" t="str">
        <f aca="false">IF(OR(H2&lt;0,H2&gt;2000),"분량 확인","")</f>
        <v/>
      </c>
    </row>
    <row r="3" customFormat="false" ht="48" hidden="false" customHeight="true" outlineLevel="0" collapsed="false">
      <c r="A3" s="13" t="s">
        <v>2610</v>
      </c>
      <c r="B3" s="15" t="s">
        <v>2611</v>
      </c>
      <c r="C3" s="15" t="s">
        <v>2608</v>
      </c>
      <c r="D3" s="15" t="s">
        <v>2612</v>
      </c>
      <c r="E3" s="28" t="s">
        <v>19</v>
      </c>
      <c r="F3" s="16"/>
      <c r="G3" s="16"/>
      <c r="H3" s="19" t="n">
        <f aca="false">LEN(IF(F3&lt;&gt;"",F3,D3))</f>
        <v>6</v>
      </c>
      <c r="I3" s="29" t="str">
        <f aca="false">IF(OR(H3&lt;0,H3&gt;2000),"분량 확인","")</f>
        <v/>
      </c>
    </row>
    <row r="4" customFormat="false" ht="75.75" hidden="false" customHeight="true" outlineLevel="0" collapsed="false">
      <c r="A4" s="13" t="s">
        <v>2613</v>
      </c>
      <c r="B4" s="15" t="s">
        <v>2614</v>
      </c>
      <c r="C4" s="15" t="s">
        <v>2608</v>
      </c>
      <c r="D4" s="15" t="s">
        <v>2615</v>
      </c>
      <c r="E4" s="28" t="s">
        <v>19</v>
      </c>
      <c r="F4" s="16"/>
      <c r="G4" s="16"/>
      <c r="H4" s="19" t="n">
        <f aca="false">LEN(IF(F4&lt;&gt;"",F4,D4))</f>
        <v>124</v>
      </c>
      <c r="I4" s="29" t="str">
        <f aca="false">IF(OR(H4&lt;0,H4&gt;2000),"분량 확인","")</f>
        <v/>
      </c>
    </row>
    <row r="5" customFormat="false" ht="75.75" hidden="false" customHeight="true" outlineLevel="0" collapsed="false">
      <c r="A5" s="13" t="s">
        <v>2616</v>
      </c>
      <c r="B5" s="15" t="s">
        <v>2617</v>
      </c>
      <c r="C5" s="15" t="s">
        <v>2608</v>
      </c>
      <c r="D5" s="15" t="s">
        <v>2618</v>
      </c>
      <c r="E5" s="28" t="s">
        <v>19</v>
      </c>
      <c r="F5" s="16"/>
      <c r="G5" s="16"/>
      <c r="H5" s="19" t="n">
        <f aca="false">LEN(IF(F5&lt;&gt;"",F5,D5))</f>
        <v>123</v>
      </c>
      <c r="I5" s="29" t="str">
        <f aca="false">IF(OR(H5&lt;0,H5&gt;2000),"분량 확인","")</f>
        <v/>
      </c>
    </row>
    <row r="6" customFormat="false" ht="33.75" hidden="false" customHeight="true" outlineLevel="0" collapsed="false">
      <c r="A6" s="13" t="s">
        <v>2619</v>
      </c>
      <c r="B6" s="15" t="s">
        <v>2620</v>
      </c>
      <c r="C6" s="15" t="s">
        <v>2608</v>
      </c>
      <c r="D6" s="15"/>
      <c r="E6" s="28" t="s">
        <v>19</v>
      </c>
      <c r="F6" s="16"/>
      <c r="G6" s="16"/>
      <c r="H6" s="19" t="n">
        <f aca="false">LEN(IF(F6&lt;&gt;"",F6,D6))</f>
        <v>0</v>
      </c>
      <c r="I6" s="29" t="str">
        <f aca="false">IF(OR(H6&lt;0,H6&gt;2000),"분량 확인","")</f>
        <v/>
      </c>
    </row>
  </sheetData>
  <autoFilter ref="A1:I6"/>
  <conditionalFormatting sqref="E2:E6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6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6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2F53"/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33.75" hidden="false" customHeight="true" outlineLevel="0" collapsed="false">
      <c r="A2" s="13" t="s">
        <v>2621</v>
      </c>
      <c r="B2" s="15" t="s">
        <v>2622</v>
      </c>
      <c r="C2" s="15" t="s">
        <v>2623</v>
      </c>
      <c r="D2" s="15" t="s">
        <v>2624</v>
      </c>
      <c r="E2" s="28" t="s">
        <v>19</v>
      </c>
      <c r="F2" s="16"/>
      <c r="G2" s="16"/>
      <c r="H2" s="19" t="n">
        <f aca="false">LEN(IF(F2&lt;&gt;"",F2,D2))</f>
        <v>56</v>
      </c>
      <c r="I2" s="29" t="str">
        <f aca="false">IF(OR(H2&lt;30,H2&gt;90),"분량 확인","")</f>
        <v/>
      </c>
    </row>
    <row r="3" customFormat="false" ht="33.75" hidden="false" customHeight="true" outlineLevel="0" collapsed="false">
      <c r="A3" s="13" t="s">
        <v>2625</v>
      </c>
      <c r="B3" s="15" t="s">
        <v>2626</v>
      </c>
      <c r="C3" s="15" t="s">
        <v>2623</v>
      </c>
      <c r="D3" s="15" t="s">
        <v>2627</v>
      </c>
      <c r="E3" s="28" t="s">
        <v>19</v>
      </c>
      <c r="F3" s="16"/>
      <c r="G3" s="16"/>
      <c r="H3" s="19" t="n">
        <f aca="false">LEN(IF(F3&lt;&gt;"",F3,D3))</f>
        <v>58</v>
      </c>
      <c r="I3" s="29" t="str">
        <f aca="false">IF(OR(H3&lt;30,H3&gt;90),"분량 확인","")</f>
        <v/>
      </c>
    </row>
    <row r="4" customFormat="false" ht="33.75" hidden="false" customHeight="true" outlineLevel="0" collapsed="false">
      <c r="A4" s="13" t="s">
        <v>2628</v>
      </c>
      <c r="B4" s="15" t="s">
        <v>2629</v>
      </c>
      <c r="C4" s="15" t="s">
        <v>2623</v>
      </c>
      <c r="D4" s="15" t="s">
        <v>2630</v>
      </c>
      <c r="E4" s="28" t="s">
        <v>19</v>
      </c>
      <c r="F4" s="16"/>
      <c r="G4" s="16"/>
      <c r="H4" s="19" t="n">
        <f aca="false">LEN(IF(F4&lt;&gt;"",F4,D4))</f>
        <v>51</v>
      </c>
      <c r="I4" s="29" t="str">
        <f aca="false">IF(OR(H4&lt;30,H4&gt;90),"분량 확인","")</f>
        <v/>
      </c>
    </row>
    <row r="5" customFormat="false" ht="33.75" hidden="false" customHeight="true" outlineLevel="0" collapsed="false">
      <c r="A5" s="13" t="s">
        <v>236</v>
      </c>
      <c r="B5" s="15" t="s">
        <v>2631</v>
      </c>
      <c r="C5" s="15" t="s">
        <v>2623</v>
      </c>
      <c r="D5" s="15" t="s">
        <v>239</v>
      </c>
      <c r="E5" s="28" t="s">
        <v>19</v>
      </c>
      <c r="F5" s="16"/>
      <c r="G5" s="17" t="s">
        <v>2632</v>
      </c>
      <c r="H5" s="19" t="n">
        <f aca="false">LEN(IF(F5&lt;&gt;"",F5,D5))</f>
        <v>42</v>
      </c>
      <c r="I5" s="29" t="str">
        <f aca="false">IF(OR(H5&lt;30,H5&gt;90),"분량 확인","")</f>
        <v/>
      </c>
    </row>
    <row r="6" customFormat="false" ht="33.75" hidden="false" customHeight="true" outlineLevel="0" collapsed="false">
      <c r="A6" s="13" t="s">
        <v>2633</v>
      </c>
      <c r="B6" s="15" t="s">
        <v>2634</v>
      </c>
      <c r="C6" s="15" t="s">
        <v>2623</v>
      </c>
      <c r="D6" s="15" t="s">
        <v>2635</v>
      </c>
      <c r="E6" s="28" t="s">
        <v>19</v>
      </c>
      <c r="F6" s="16"/>
      <c r="G6" s="16"/>
      <c r="H6" s="19" t="n">
        <f aca="false">LEN(IF(F6&lt;&gt;"",F6,D6))</f>
        <v>58</v>
      </c>
      <c r="I6" s="29" t="str">
        <f aca="false">IF(OR(H6&lt;30,H6&gt;90),"분량 확인","")</f>
        <v/>
      </c>
    </row>
    <row r="7" customFormat="false" ht="33.75" hidden="false" customHeight="true" outlineLevel="0" collapsed="false">
      <c r="A7" s="13" t="s">
        <v>2636</v>
      </c>
      <c r="B7" s="15" t="s">
        <v>2637</v>
      </c>
      <c r="C7" s="15" t="s">
        <v>2623</v>
      </c>
      <c r="D7" s="15" t="s">
        <v>2638</v>
      </c>
      <c r="E7" s="28" t="s">
        <v>19</v>
      </c>
      <c r="F7" s="16"/>
      <c r="G7" s="16"/>
      <c r="H7" s="19" t="n">
        <f aca="false">LEN(IF(F7&lt;&gt;"",F7,D7))</f>
        <v>47</v>
      </c>
      <c r="I7" s="29" t="str">
        <f aca="false">IF(OR(H7&lt;30,H7&gt;90),"분량 확인","")</f>
        <v/>
      </c>
    </row>
    <row r="8" customFormat="false" ht="33.75" hidden="false" customHeight="true" outlineLevel="0" collapsed="false">
      <c r="A8" s="13" t="s">
        <v>2639</v>
      </c>
      <c r="B8" s="15" t="s">
        <v>2640</v>
      </c>
      <c r="C8" s="15" t="s">
        <v>2623</v>
      </c>
      <c r="D8" s="15" t="s">
        <v>2641</v>
      </c>
      <c r="E8" s="28" t="s">
        <v>19</v>
      </c>
      <c r="F8" s="16"/>
      <c r="G8" s="16"/>
      <c r="H8" s="19" t="n">
        <f aca="false">LEN(IF(F8&lt;&gt;"",F8,D8))</f>
        <v>38</v>
      </c>
      <c r="I8" s="29" t="str">
        <f aca="false">IF(OR(H8&lt;30,H8&gt;90),"분량 확인","")</f>
        <v/>
      </c>
    </row>
    <row r="9" customFormat="false" ht="33.75" hidden="false" customHeight="true" outlineLevel="0" collapsed="false">
      <c r="A9" s="13" t="s">
        <v>2642</v>
      </c>
      <c r="B9" s="15" t="s">
        <v>2643</v>
      </c>
      <c r="C9" s="15" t="s">
        <v>2623</v>
      </c>
      <c r="D9" s="15" t="s">
        <v>2644</v>
      </c>
      <c r="E9" s="28" t="s">
        <v>19</v>
      </c>
      <c r="F9" s="16"/>
      <c r="G9" s="16"/>
      <c r="H9" s="19" t="n">
        <f aca="false">LEN(IF(F9&lt;&gt;"",F9,D9))</f>
        <v>54</v>
      </c>
      <c r="I9" s="29" t="str">
        <f aca="false">IF(OR(H9&lt;30,H9&gt;90),"분량 확인","")</f>
        <v/>
      </c>
    </row>
  </sheetData>
  <autoFilter ref="A1:I9"/>
  <conditionalFormatting sqref="E2:E9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9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9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2F53"/>
    <pageSetUpPr fitToPage="fals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1" t="s">
        <v>553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554</v>
      </c>
      <c r="I1" s="12" t="s">
        <v>555</v>
      </c>
    </row>
    <row r="2" customFormat="false" ht="19.5" hidden="false" customHeight="true" outlineLevel="0" collapsed="false">
      <c r="A2" s="13" t="s">
        <v>2645</v>
      </c>
      <c r="B2" s="14" t="s">
        <v>2646</v>
      </c>
      <c r="C2" s="14" t="s">
        <v>2647</v>
      </c>
      <c r="D2" s="15" t="s">
        <v>2648</v>
      </c>
      <c r="E2" s="28" t="s">
        <v>19</v>
      </c>
      <c r="F2" s="16"/>
      <c r="G2" s="16"/>
      <c r="H2" s="19" t="n">
        <f aca="false">LEN(IF(F2&lt;&gt;"",F2,D2))</f>
        <v>28</v>
      </c>
      <c r="I2" s="29" t="str">
        <f aca="false">IF(OR(H2&lt;1,H2&gt;400),"분량 확인","")</f>
        <v/>
      </c>
    </row>
    <row r="3" customFormat="false" ht="19.5" hidden="false" customHeight="true" outlineLevel="0" collapsed="false">
      <c r="A3" s="13" t="s">
        <v>225</v>
      </c>
      <c r="B3" s="14" t="s">
        <v>2646</v>
      </c>
      <c r="C3" s="14" t="s">
        <v>2649</v>
      </c>
      <c r="D3" s="15" t="s">
        <v>2650</v>
      </c>
      <c r="E3" s="28" t="s">
        <v>19</v>
      </c>
      <c r="F3" s="16"/>
      <c r="G3" s="17" t="s">
        <v>2651</v>
      </c>
      <c r="H3" s="19" t="n">
        <f aca="false">LEN(IF(F3&lt;&gt;"",F3,D3))</f>
        <v>6</v>
      </c>
      <c r="I3" s="29" t="str">
        <f aca="false">IF(OR(H3&lt;1,H3&gt;400),"분량 확인","")</f>
        <v/>
      </c>
    </row>
    <row r="4" customFormat="false" ht="19.5" hidden="false" customHeight="true" outlineLevel="0" collapsed="false">
      <c r="A4" s="13" t="s">
        <v>2652</v>
      </c>
      <c r="B4" s="14" t="s">
        <v>2653</v>
      </c>
      <c r="C4" s="14" t="s">
        <v>2654</v>
      </c>
      <c r="D4" s="15" t="s">
        <v>2655</v>
      </c>
      <c r="E4" s="28" t="s">
        <v>19</v>
      </c>
      <c r="F4" s="16"/>
      <c r="G4" s="16"/>
      <c r="H4" s="19" t="n">
        <f aca="false">LEN(IF(F4&lt;&gt;"",F4,D4))</f>
        <v>23</v>
      </c>
      <c r="I4" s="29" t="str">
        <f aca="false">IF(OR(H4&lt;1,H4&gt;400),"분량 확인","")</f>
        <v/>
      </c>
    </row>
    <row r="5" customFormat="false" ht="19.5" hidden="false" customHeight="true" outlineLevel="0" collapsed="false">
      <c r="A5" s="13" t="s">
        <v>2656</v>
      </c>
      <c r="B5" s="14" t="s">
        <v>2653</v>
      </c>
      <c r="C5" s="14" t="s">
        <v>2657</v>
      </c>
      <c r="D5" s="15" t="s">
        <v>2658</v>
      </c>
      <c r="E5" s="28" t="s">
        <v>19</v>
      </c>
      <c r="F5" s="16"/>
      <c r="G5" s="16"/>
      <c r="H5" s="19" t="n">
        <f aca="false">LEN(IF(F5&lt;&gt;"",F5,D5))</f>
        <v>18</v>
      </c>
      <c r="I5" s="29" t="str">
        <f aca="false">IF(OR(H5&lt;1,H5&gt;400),"분량 확인","")</f>
        <v/>
      </c>
    </row>
    <row r="6" customFormat="false" ht="19.5" hidden="false" customHeight="true" outlineLevel="0" collapsed="false">
      <c r="A6" s="13" t="s">
        <v>2659</v>
      </c>
      <c r="B6" s="14" t="s">
        <v>2653</v>
      </c>
      <c r="C6" s="14" t="s">
        <v>2660</v>
      </c>
      <c r="D6" s="15" t="s">
        <v>2661</v>
      </c>
      <c r="E6" s="28" t="s">
        <v>19</v>
      </c>
      <c r="F6" s="16"/>
      <c r="G6" s="16"/>
      <c r="H6" s="19" t="n">
        <f aca="false">LEN(IF(F6&lt;&gt;"",F6,D6))</f>
        <v>3</v>
      </c>
      <c r="I6" s="29" t="str">
        <f aca="false">IF(OR(H6&lt;1,H6&gt;400),"분량 확인","")</f>
        <v/>
      </c>
    </row>
    <row r="7" customFormat="false" ht="19.5" hidden="false" customHeight="true" outlineLevel="0" collapsed="false">
      <c r="A7" s="13" t="s">
        <v>2662</v>
      </c>
      <c r="B7" s="14" t="s">
        <v>2653</v>
      </c>
      <c r="C7" s="14" t="s">
        <v>2663</v>
      </c>
      <c r="D7" s="15" t="s">
        <v>2664</v>
      </c>
      <c r="E7" s="28" t="s">
        <v>19</v>
      </c>
      <c r="F7" s="16"/>
      <c r="G7" s="16"/>
      <c r="H7" s="19" t="n">
        <f aca="false">LEN(IF(F7&lt;&gt;"",F7,D7))</f>
        <v>16</v>
      </c>
      <c r="I7" s="29" t="str">
        <f aca="false">IF(OR(H7&lt;1,H7&gt;400),"분량 확인","")</f>
        <v/>
      </c>
    </row>
    <row r="8" customFormat="false" ht="19.5" hidden="false" customHeight="true" outlineLevel="0" collapsed="false">
      <c r="A8" s="13" t="s">
        <v>2665</v>
      </c>
      <c r="B8" s="14" t="s">
        <v>2653</v>
      </c>
      <c r="C8" s="14" t="s">
        <v>2649</v>
      </c>
      <c r="D8" s="15" t="s">
        <v>2666</v>
      </c>
      <c r="E8" s="28" t="s">
        <v>19</v>
      </c>
      <c r="F8" s="16"/>
      <c r="G8" s="16"/>
      <c r="H8" s="19" t="n">
        <f aca="false">LEN(IF(F8&lt;&gt;"",F8,D8))</f>
        <v>9</v>
      </c>
      <c r="I8" s="29" t="str">
        <f aca="false">IF(OR(H8&lt;1,H8&gt;400),"분량 확인","")</f>
        <v/>
      </c>
    </row>
    <row r="9" customFormat="false" ht="33.75" hidden="false" customHeight="true" outlineLevel="0" collapsed="false">
      <c r="A9" s="13" t="s">
        <v>2667</v>
      </c>
      <c r="B9" s="14" t="s">
        <v>2668</v>
      </c>
      <c r="C9" s="14" t="s">
        <v>2654</v>
      </c>
      <c r="D9" s="14" t="s">
        <v>2669</v>
      </c>
      <c r="E9" s="28" t="s">
        <v>19</v>
      </c>
      <c r="F9" s="16"/>
      <c r="G9" s="16"/>
      <c r="H9" s="19" t="n">
        <f aca="false">LEN(IF(F9&lt;&gt;"",F9,D9))</f>
        <v>31</v>
      </c>
      <c r="I9" s="29" t="str">
        <f aca="false">IF(OR(H9&lt;1,H9&gt;400),"분량 확인","")</f>
        <v/>
      </c>
    </row>
    <row r="10" customFormat="false" ht="19.5" hidden="false" customHeight="true" outlineLevel="0" collapsed="false">
      <c r="A10" s="13" t="s">
        <v>533</v>
      </c>
      <c r="B10" s="14" t="s">
        <v>2668</v>
      </c>
      <c r="C10" s="14" t="s">
        <v>2657</v>
      </c>
      <c r="D10" s="15" t="s">
        <v>2670</v>
      </c>
      <c r="E10" s="28" t="s">
        <v>19</v>
      </c>
      <c r="F10" s="16"/>
      <c r="G10" s="17" t="s">
        <v>2671</v>
      </c>
      <c r="H10" s="19" t="n">
        <f aca="false">LEN(IF(F10&lt;&gt;"",F10,D10))</f>
        <v>13</v>
      </c>
      <c r="I10" s="29" t="str">
        <f aca="false">IF(OR(H10&lt;1,H10&gt;400),"분량 확인","")</f>
        <v/>
      </c>
    </row>
    <row r="11" customFormat="false" ht="33.75" hidden="false" customHeight="true" outlineLevel="0" collapsed="false">
      <c r="A11" s="13" t="s">
        <v>2672</v>
      </c>
      <c r="B11" s="14" t="s">
        <v>2668</v>
      </c>
      <c r="C11" s="14" t="s">
        <v>2673</v>
      </c>
      <c r="D11" s="15" t="s">
        <v>2674</v>
      </c>
      <c r="E11" s="28" t="s">
        <v>19</v>
      </c>
      <c r="F11" s="16"/>
      <c r="G11" s="16"/>
      <c r="H11" s="19" t="n">
        <f aca="false">LEN(IF(F11&lt;&gt;"",F11,D11))</f>
        <v>11</v>
      </c>
      <c r="I11" s="29" t="str">
        <f aca="false">IF(OR(H11&lt;1,H11&gt;400),"분량 확인","")</f>
        <v/>
      </c>
    </row>
    <row r="12" customFormat="false" ht="19.5" hidden="false" customHeight="true" outlineLevel="0" collapsed="false">
      <c r="A12" s="13" t="s">
        <v>2675</v>
      </c>
      <c r="B12" s="14" t="s">
        <v>2668</v>
      </c>
      <c r="C12" s="14" t="s">
        <v>2676</v>
      </c>
      <c r="D12" s="15" t="s">
        <v>2677</v>
      </c>
      <c r="E12" s="28" t="s">
        <v>19</v>
      </c>
      <c r="F12" s="16"/>
      <c r="G12" s="16"/>
      <c r="H12" s="19" t="n">
        <f aca="false">LEN(IF(F12&lt;&gt;"",F12,D12))</f>
        <v>8</v>
      </c>
      <c r="I12" s="29" t="str">
        <f aca="false">IF(OR(H12&lt;1,H12&gt;400),"분량 확인","")</f>
        <v/>
      </c>
    </row>
    <row r="13" customFormat="false" ht="75.75" hidden="false" customHeight="true" outlineLevel="0" collapsed="false">
      <c r="A13" s="13" t="s">
        <v>221</v>
      </c>
      <c r="B13" s="14" t="s">
        <v>2678</v>
      </c>
      <c r="C13" s="14" t="s">
        <v>2679</v>
      </c>
      <c r="D13" s="15" t="s">
        <v>2680</v>
      </c>
      <c r="E13" s="28" t="s">
        <v>19</v>
      </c>
      <c r="F13" s="16"/>
      <c r="G13" s="17" t="s">
        <v>2681</v>
      </c>
      <c r="H13" s="19" t="n">
        <f aca="false">LEN(IF(F13&lt;&gt;"",F13,D13))</f>
        <v>126</v>
      </c>
      <c r="I13" s="29" t="str">
        <f aca="false">IF(OR(H13&lt;1,H13&gt;400),"분량 확인","")</f>
        <v/>
      </c>
    </row>
    <row r="14" customFormat="false" ht="19.5" hidden="false" customHeight="true" outlineLevel="0" collapsed="false">
      <c r="A14" s="13" t="s">
        <v>2682</v>
      </c>
      <c r="B14" s="14" t="s">
        <v>2678</v>
      </c>
      <c r="C14" s="14" t="s">
        <v>2649</v>
      </c>
      <c r="D14" s="15" t="s">
        <v>2683</v>
      </c>
      <c r="E14" s="28" t="s">
        <v>19</v>
      </c>
      <c r="F14" s="16"/>
      <c r="G14" s="16"/>
      <c r="H14" s="19" t="n">
        <f aca="false">LEN(IF(F14&lt;&gt;"",F14,D14))</f>
        <v>7</v>
      </c>
      <c r="I14" s="29" t="str">
        <f aca="false">IF(OR(H14&lt;1,H14&gt;400),"분량 확인","")</f>
        <v/>
      </c>
    </row>
    <row r="15" customFormat="false" ht="33.75" hidden="false" customHeight="true" outlineLevel="0" collapsed="false">
      <c r="A15" s="13" t="s">
        <v>2684</v>
      </c>
      <c r="B15" s="14" t="s">
        <v>2685</v>
      </c>
      <c r="C15" s="14" t="s">
        <v>2654</v>
      </c>
      <c r="D15" s="15" t="s">
        <v>2686</v>
      </c>
      <c r="E15" s="28" t="s">
        <v>19</v>
      </c>
      <c r="F15" s="16"/>
      <c r="G15" s="16"/>
      <c r="H15" s="19" t="n">
        <f aca="false">LEN(IF(F15&lt;&gt;"",F15,D15))</f>
        <v>37</v>
      </c>
      <c r="I15" s="29" t="str">
        <f aca="false">IF(OR(H15&lt;1,H15&gt;400),"분량 확인","")</f>
        <v/>
      </c>
    </row>
    <row r="16" customFormat="false" ht="33.75" hidden="false" customHeight="true" outlineLevel="0" collapsed="false">
      <c r="A16" s="13" t="s">
        <v>546</v>
      </c>
      <c r="B16" s="14" t="s">
        <v>2685</v>
      </c>
      <c r="C16" s="14" t="s">
        <v>2657</v>
      </c>
      <c r="D16" s="15" t="s">
        <v>2687</v>
      </c>
      <c r="E16" s="28" t="s">
        <v>19</v>
      </c>
      <c r="F16" s="16"/>
      <c r="G16" s="17" t="s">
        <v>2688</v>
      </c>
      <c r="H16" s="19" t="n">
        <f aca="false">LEN(IF(F16&lt;&gt;"",F16,D16))</f>
        <v>50</v>
      </c>
      <c r="I16" s="29" t="str">
        <f aca="false">IF(OR(H16&lt;1,H16&gt;400),"분량 확인","")</f>
        <v/>
      </c>
    </row>
    <row r="17" customFormat="false" ht="33.75" hidden="false" customHeight="true" outlineLevel="0" collapsed="false">
      <c r="A17" s="13" t="s">
        <v>2689</v>
      </c>
      <c r="B17" s="14" t="s">
        <v>2685</v>
      </c>
      <c r="C17" s="14" t="s">
        <v>2690</v>
      </c>
      <c r="D17" s="15" t="s">
        <v>2691</v>
      </c>
      <c r="E17" s="28" t="s">
        <v>19</v>
      </c>
      <c r="F17" s="16"/>
      <c r="G17" s="16"/>
      <c r="H17" s="19" t="n">
        <f aca="false">LEN(IF(F17&lt;&gt;"",F17,D17))</f>
        <v>31</v>
      </c>
      <c r="I17" s="29" t="str">
        <f aca="false">IF(OR(H17&lt;1,H17&gt;400),"분량 확인","")</f>
        <v/>
      </c>
    </row>
    <row r="18" customFormat="false" ht="33.75" hidden="false" customHeight="true" outlineLevel="0" collapsed="false">
      <c r="A18" s="13" t="s">
        <v>2692</v>
      </c>
      <c r="B18" s="14" t="s">
        <v>2685</v>
      </c>
      <c r="C18" s="14" t="s">
        <v>2693</v>
      </c>
      <c r="D18" s="15" t="s">
        <v>2694</v>
      </c>
      <c r="E18" s="28" t="s">
        <v>19</v>
      </c>
      <c r="F18" s="16"/>
      <c r="G18" s="16"/>
      <c r="H18" s="19" t="n">
        <f aca="false">LEN(IF(F18&lt;&gt;"",F18,D18))</f>
        <v>25</v>
      </c>
      <c r="I18" s="29" t="str">
        <f aca="false">IF(OR(H18&lt;1,H18&gt;400),"분량 확인","")</f>
        <v/>
      </c>
    </row>
    <row r="19" customFormat="false" ht="33.75" hidden="false" customHeight="true" outlineLevel="0" collapsed="false">
      <c r="A19" s="13" t="s">
        <v>2695</v>
      </c>
      <c r="B19" s="14" t="s">
        <v>2685</v>
      </c>
      <c r="C19" s="14" t="s">
        <v>2696</v>
      </c>
      <c r="D19" s="15" t="s">
        <v>2697</v>
      </c>
      <c r="E19" s="28" t="s">
        <v>19</v>
      </c>
      <c r="F19" s="16"/>
      <c r="G19" s="16"/>
      <c r="H19" s="19" t="n">
        <f aca="false">LEN(IF(F19&lt;&gt;"",F19,D19))</f>
        <v>30</v>
      </c>
      <c r="I19" s="29" t="str">
        <f aca="false">IF(OR(H19&lt;1,H19&gt;400),"분량 확인","")</f>
        <v/>
      </c>
    </row>
    <row r="20" customFormat="false" ht="33.75" hidden="false" customHeight="true" outlineLevel="0" collapsed="false">
      <c r="A20" s="13" t="s">
        <v>2698</v>
      </c>
      <c r="B20" s="14" t="s">
        <v>2685</v>
      </c>
      <c r="C20" s="14" t="s">
        <v>2699</v>
      </c>
      <c r="D20" s="15" t="s">
        <v>2700</v>
      </c>
      <c r="E20" s="28" t="s">
        <v>19</v>
      </c>
      <c r="F20" s="16"/>
      <c r="G20" s="16"/>
      <c r="H20" s="19" t="n">
        <f aca="false">LEN(IF(F20&lt;&gt;"",F20,D20))</f>
        <v>25</v>
      </c>
      <c r="I20" s="29" t="str">
        <f aca="false">IF(OR(H20&lt;1,H20&gt;400),"분량 확인","")</f>
        <v/>
      </c>
    </row>
    <row r="21" customFormat="false" ht="33.75" hidden="false" customHeight="true" outlineLevel="0" collapsed="false">
      <c r="A21" s="13" t="s">
        <v>232</v>
      </c>
      <c r="B21" s="14" t="s">
        <v>2685</v>
      </c>
      <c r="C21" s="14" t="s">
        <v>2701</v>
      </c>
      <c r="D21" s="15" t="s">
        <v>235</v>
      </c>
      <c r="E21" s="28" t="s">
        <v>19</v>
      </c>
      <c r="F21" s="16"/>
      <c r="G21" s="17" t="s">
        <v>2702</v>
      </c>
      <c r="H21" s="19" t="n">
        <f aca="false">LEN(IF(F21&lt;&gt;"",F21,D21))</f>
        <v>28</v>
      </c>
      <c r="I21" s="29" t="str">
        <f aca="false">IF(OR(H21&lt;1,H21&gt;400),"분량 확인","")</f>
        <v/>
      </c>
    </row>
    <row r="22" customFormat="false" ht="33.75" hidden="false" customHeight="true" outlineLevel="0" collapsed="false">
      <c r="A22" s="13" t="s">
        <v>2703</v>
      </c>
      <c r="B22" s="14" t="s">
        <v>2685</v>
      </c>
      <c r="C22" s="14" t="s">
        <v>2704</v>
      </c>
      <c r="D22" s="15" t="s">
        <v>2705</v>
      </c>
      <c r="E22" s="28" t="s">
        <v>19</v>
      </c>
      <c r="F22" s="16"/>
      <c r="G22" s="16"/>
      <c r="H22" s="19" t="n">
        <f aca="false">LEN(IF(F22&lt;&gt;"",F22,D22))</f>
        <v>31</v>
      </c>
      <c r="I22" s="29" t="str">
        <f aca="false">IF(OR(H22&lt;1,H22&gt;400),"분량 확인","")</f>
        <v/>
      </c>
    </row>
    <row r="23" customFormat="false" ht="33.75" hidden="false" customHeight="true" outlineLevel="0" collapsed="false">
      <c r="A23" s="13" t="s">
        <v>2706</v>
      </c>
      <c r="B23" s="14" t="s">
        <v>2685</v>
      </c>
      <c r="C23" s="14" t="s">
        <v>2707</v>
      </c>
      <c r="D23" s="15" t="s">
        <v>2708</v>
      </c>
      <c r="E23" s="28" t="s">
        <v>19</v>
      </c>
      <c r="F23" s="16"/>
      <c r="G23" s="16"/>
      <c r="H23" s="19" t="n">
        <f aca="false">LEN(IF(F23&lt;&gt;"",F23,D23))</f>
        <v>4</v>
      </c>
      <c r="I23" s="29" t="str">
        <f aca="false">IF(OR(H23&lt;1,H23&gt;400),"분량 확인","")</f>
        <v/>
      </c>
    </row>
    <row r="24" customFormat="false" ht="19.5" hidden="false" customHeight="true" outlineLevel="0" collapsed="false">
      <c r="A24" s="13" t="s">
        <v>2709</v>
      </c>
      <c r="B24" s="14" t="s">
        <v>2685</v>
      </c>
      <c r="C24" s="14" t="s">
        <v>2710</v>
      </c>
      <c r="D24" s="15" t="s">
        <v>2711</v>
      </c>
      <c r="E24" s="28" t="s">
        <v>19</v>
      </c>
      <c r="F24" s="16"/>
      <c r="G24" s="16"/>
      <c r="H24" s="19" t="n">
        <f aca="false">LEN(IF(F24&lt;&gt;"",F24,D24))</f>
        <v>19</v>
      </c>
      <c r="I24" s="29" t="str">
        <f aca="false">IF(OR(H24&lt;1,H24&gt;400),"분량 확인","")</f>
        <v/>
      </c>
    </row>
    <row r="25" customFormat="false" ht="33.75" hidden="false" customHeight="true" outlineLevel="0" collapsed="false">
      <c r="A25" s="13" t="s">
        <v>2712</v>
      </c>
      <c r="B25" s="14" t="s">
        <v>2685</v>
      </c>
      <c r="C25" s="14" t="s">
        <v>2713</v>
      </c>
      <c r="D25" s="15" t="s">
        <v>2714</v>
      </c>
      <c r="E25" s="28" t="s">
        <v>19</v>
      </c>
      <c r="F25" s="16"/>
      <c r="G25" s="16"/>
      <c r="H25" s="19" t="n">
        <f aca="false">LEN(IF(F25&lt;&gt;"",F25,D25))</f>
        <v>39</v>
      </c>
      <c r="I25" s="29" t="str">
        <f aca="false">IF(OR(H25&lt;1,H25&gt;400),"분량 확인","")</f>
        <v/>
      </c>
    </row>
    <row r="26" customFormat="false" ht="61.5" hidden="false" customHeight="true" outlineLevel="0" collapsed="false">
      <c r="A26" s="13" t="s">
        <v>2715</v>
      </c>
      <c r="B26" s="14" t="s">
        <v>2685</v>
      </c>
      <c r="C26" s="14" t="s">
        <v>2716</v>
      </c>
      <c r="D26" s="15" t="s">
        <v>2717</v>
      </c>
      <c r="E26" s="28" t="s">
        <v>19</v>
      </c>
      <c r="F26" s="16"/>
      <c r="G26" s="16"/>
      <c r="H26" s="19" t="n">
        <f aca="false">LEN(IF(F26&lt;&gt;"",F26,D26))</f>
        <v>101</v>
      </c>
      <c r="I26" s="29" t="str">
        <f aca="false">IF(OR(H26&lt;1,H26&gt;400),"분량 확인","")</f>
        <v/>
      </c>
    </row>
    <row r="27" customFormat="false" ht="48" hidden="false" customHeight="true" outlineLevel="0" collapsed="false">
      <c r="A27" s="13" t="s">
        <v>543</v>
      </c>
      <c r="B27" s="14" t="s">
        <v>2718</v>
      </c>
      <c r="C27" s="14" t="s">
        <v>2719</v>
      </c>
      <c r="D27" s="15" t="s">
        <v>2720</v>
      </c>
      <c r="E27" s="28" t="s">
        <v>19</v>
      </c>
      <c r="F27" s="16"/>
      <c r="G27" s="17" t="s">
        <v>2721</v>
      </c>
      <c r="H27" s="19" t="n">
        <f aca="false">LEN(IF(F27&lt;&gt;"",F27,D27))</f>
        <v>67</v>
      </c>
      <c r="I27" s="29" t="str">
        <f aca="false">IF(OR(H27&lt;1,H27&gt;400),"분량 확인","")</f>
        <v/>
      </c>
    </row>
    <row r="28" customFormat="false" ht="33.75" hidden="false" customHeight="true" outlineLevel="0" collapsed="false">
      <c r="A28" s="13" t="s">
        <v>2722</v>
      </c>
      <c r="B28" s="14" t="s">
        <v>2718</v>
      </c>
      <c r="C28" s="14" t="s">
        <v>2723</v>
      </c>
      <c r="D28" s="15" t="s">
        <v>2724</v>
      </c>
      <c r="E28" s="28" t="s">
        <v>19</v>
      </c>
      <c r="F28" s="16"/>
      <c r="G28" s="16"/>
      <c r="H28" s="19" t="n">
        <f aca="false">LEN(IF(F28&lt;&gt;"",F28,D28))</f>
        <v>30</v>
      </c>
      <c r="I28" s="29" t="str">
        <f aca="false">IF(OR(H28&lt;1,H28&gt;400),"분량 확인","")</f>
        <v/>
      </c>
    </row>
    <row r="29" customFormat="false" ht="19.5" hidden="false" customHeight="true" outlineLevel="0" collapsed="false">
      <c r="A29" s="13" t="s">
        <v>2725</v>
      </c>
      <c r="B29" s="14" t="s">
        <v>2718</v>
      </c>
      <c r="C29" s="14" t="s">
        <v>2726</v>
      </c>
      <c r="D29" s="15" t="s">
        <v>2727</v>
      </c>
      <c r="E29" s="28" t="s">
        <v>19</v>
      </c>
      <c r="F29" s="16"/>
      <c r="G29" s="16"/>
      <c r="H29" s="19" t="n">
        <f aca="false">LEN(IF(F29&lt;&gt;"",F29,D29))</f>
        <v>7</v>
      </c>
      <c r="I29" s="29" t="str">
        <f aca="false">IF(OR(H29&lt;1,H29&gt;400),"분량 확인","")</f>
        <v/>
      </c>
    </row>
    <row r="30" customFormat="false" ht="33.75" hidden="false" customHeight="true" outlineLevel="0" collapsed="false">
      <c r="A30" s="13" t="s">
        <v>2728</v>
      </c>
      <c r="B30" s="14" t="s">
        <v>2718</v>
      </c>
      <c r="C30" s="14" t="s">
        <v>2729</v>
      </c>
      <c r="D30" s="15" t="s">
        <v>2730</v>
      </c>
      <c r="E30" s="28" t="s">
        <v>19</v>
      </c>
      <c r="F30" s="16"/>
      <c r="G30" s="16"/>
      <c r="H30" s="19" t="n">
        <f aca="false">LEN(IF(F30&lt;&gt;"",F30,D30))</f>
        <v>7</v>
      </c>
      <c r="I30" s="29" t="str">
        <f aca="false">IF(OR(H30&lt;1,H30&gt;400),"분량 확인","")</f>
        <v/>
      </c>
    </row>
    <row r="31" customFormat="false" ht="33.75" hidden="false" customHeight="true" outlineLevel="0" collapsed="false">
      <c r="A31" s="13" t="s">
        <v>536</v>
      </c>
      <c r="B31" s="14" t="s">
        <v>2731</v>
      </c>
      <c r="C31" s="14" t="s">
        <v>2719</v>
      </c>
      <c r="D31" s="15" t="s">
        <v>2732</v>
      </c>
      <c r="E31" s="28" t="s">
        <v>19</v>
      </c>
      <c r="F31" s="16"/>
      <c r="G31" s="17" t="s">
        <v>2733</v>
      </c>
      <c r="H31" s="19" t="n">
        <f aca="false">LEN(IF(F31&lt;&gt;"",F31,D31))</f>
        <v>33</v>
      </c>
      <c r="I31" s="29" t="str">
        <f aca="false">IF(OR(H31&lt;1,H31&gt;400),"분량 확인","")</f>
        <v/>
      </c>
    </row>
    <row r="32" customFormat="false" ht="33.75" hidden="false" customHeight="true" outlineLevel="0" collapsed="false">
      <c r="A32" s="13" t="s">
        <v>2734</v>
      </c>
      <c r="B32" s="14" t="s">
        <v>2731</v>
      </c>
      <c r="C32" s="14" t="s">
        <v>2735</v>
      </c>
      <c r="D32" s="15" t="s">
        <v>2736</v>
      </c>
      <c r="E32" s="28" t="s">
        <v>19</v>
      </c>
      <c r="F32" s="16"/>
      <c r="G32" s="16"/>
      <c r="H32" s="19" t="n">
        <f aca="false">LEN(IF(F32&lt;&gt;"",F32,D32))</f>
        <v>6</v>
      </c>
      <c r="I32" s="29" t="str">
        <f aca="false">IF(OR(H32&lt;1,H32&gt;400),"분량 확인","")</f>
        <v/>
      </c>
    </row>
    <row r="33" customFormat="false" ht="33.75" hidden="false" customHeight="true" outlineLevel="0" collapsed="false">
      <c r="A33" s="13" t="s">
        <v>2737</v>
      </c>
      <c r="B33" s="14" t="s">
        <v>2731</v>
      </c>
      <c r="C33" s="14" t="s">
        <v>2738</v>
      </c>
      <c r="D33" s="15" t="s">
        <v>2739</v>
      </c>
      <c r="E33" s="28" t="s">
        <v>19</v>
      </c>
      <c r="F33" s="16"/>
      <c r="G33" s="16"/>
      <c r="H33" s="19" t="n">
        <f aca="false">LEN(IF(F33&lt;&gt;"",F33,D33))</f>
        <v>8</v>
      </c>
      <c r="I33" s="29" t="str">
        <f aca="false">IF(OR(H33&lt;1,H33&gt;400),"분량 확인","")</f>
        <v/>
      </c>
    </row>
    <row r="34" customFormat="false" ht="33.75" hidden="false" customHeight="true" outlineLevel="0" collapsed="false">
      <c r="A34" s="13" t="s">
        <v>2740</v>
      </c>
      <c r="B34" s="14" t="s">
        <v>2731</v>
      </c>
      <c r="C34" s="14" t="s">
        <v>2741</v>
      </c>
      <c r="D34" s="15" t="s">
        <v>2742</v>
      </c>
      <c r="E34" s="28" t="s">
        <v>19</v>
      </c>
      <c r="F34" s="16"/>
      <c r="G34" s="16"/>
      <c r="H34" s="19" t="n">
        <f aca="false">LEN(IF(F34&lt;&gt;"",F34,D34))</f>
        <v>7</v>
      </c>
      <c r="I34" s="29" t="str">
        <f aca="false">IF(OR(H34&lt;1,H34&gt;400),"분량 확인","")</f>
        <v/>
      </c>
    </row>
    <row r="35" customFormat="false" ht="19.5" hidden="false" customHeight="true" outlineLevel="0" collapsed="false">
      <c r="A35" s="13" t="s">
        <v>2743</v>
      </c>
      <c r="B35" s="14" t="s">
        <v>2731</v>
      </c>
      <c r="C35" s="14" t="s">
        <v>2744</v>
      </c>
      <c r="D35" s="14" t="s">
        <v>2745</v>
      </c>
      <c r="E35" s="28" t="s">
        <v>19</v>
      </c>
      <c r="F35" s="16"/>
      <c r="G35" s="16"/>
      <c r="H35" s="19" t="n">
        <f aca="false">LEN(IF(F35&lt;&gt;"",F35,D35))</f>
        <v>12</v>
      </c>
      <c r="I35" s="29" t="str">
        <f aca="false">IF(OR(H35&lt;1,H35&gt;400),"분량 확인","")</f>
        <v/>
      </c>
    </row>
    <row r="36" customFormat="false" ht="19.5" hidden="false" customHeight="true" outlineLevel="0" collapsed="false">
      <c r="A36" s="13" t="s">
        <v>2746</v>
      </c>
      <c r="B36" s="14" t="s">
        <v>2747</v>
      </c>
      <c r="C36" s="14" t="s">
        <v>2723</v>
      </c>
      <c r="D36" s="15" t="s">
        <v>2748</v>
      </c>
      <c r="E36" s="28" t="s">
        <v>19</v>
      </c>
      <c r="F36" s="16"/>
      <c r="G36" s="16"/>
      <c r="H36" s="19" t="n">
        <f aca="false">LEN(IF(F36&lt;&gt;"",F36,D36))</f>
        <v>27</v>
      </c>
      <c r="I36" s="29" t="str">
        <f aca="false">IF(OR(H36&lt;1,H36&gt;400),"분량 확인","")</f>
        <v/>
      </c>
    </row>
    <row r="37" customFormat="false" ht="19.5" hidden="false" customHeight="true" outlineLevel="0" collapsed="false">
      <c r="A37" s="13" t="s">
        <v>2749</v>
      </c>
      <c r="B37" s="14" t="s">
        <v>2747</v>
      </c>
      <c r="C37" s="14" t="s">
        <v>2649</v>
      </c>
      <c r="D37" s="15" t="s">
        <v>2750</v>
      </c>
      <c r="E37" s="28" t="s">
        <v>19</v>
      </c>
      <c r="F37" s="16"/>
      <c r="G37" s="16"/>
      <c r="H37" s="19" t="n">
        <f aca="false">LEN(IF(F37&lt;&gt;"",F37,D37))</f>
        <v>8</v>
      </c>
      <c r="I37" s="29" t="str">
        <f aca="false">IF(OR(H37&lt;1,H37&gt;400),"분량 확인","")</f>
        <v/>
      </c>
    </row>
    <row r="38" customFormat="false" ht="33.75" hidden="false" customHeight="true" outlineLevel="0" collapsed="false">
      <c r="A38" s="13" t="s">
        <v>2751</v>
      </c>
      <c r="B38" s="15" t="s">
        <v>2752</v>
      </c>
      <c r="C38" s="14" t="s">
        <v>2753</v>
      </c>
      <c r="D38" s="14" t="s">
        <v>2754</v>
      </c>
      <c r="E38" s="28" t="s">
        <v>19</v>
      </c>
      <c r="F38" s="16"/>
      <c r="G38" s="16"/>
      <c r="H38" s="19" t="n">
        <f aca="false">LEN(IF(F38&lt;&gt;"",F38,D38))</f>
        <v>31</v>
      </c>
      <c r="I38" s="29" t="str">
        <f aca="false">IF(OR(H38&lt;1,H38&gt;400),"분량 확인","")</f>
        <v/>
      </c>
    </row>
    <row r="39" customFormat="false" ht="19.5" hidden="false" customHeight="true" outlineLevel="0" collapsed="false">
      <c r="A39" s="13" t="s">
        <v>2755</v>
      </c>
      <c r="B39" s="15" t="s">
        <v>2752</v>
      </c>
      <c r="C39" s="14" t="s">
        <v>2756</v>
      </c>
      <c r="D39" s="14" t="s">
        <v>2757</v>
      </c>
      <c r="E39" s="28" t="s">
        <v>19</v>
      </c>
      <c r="F39" s="16"/>
      <c r="G39" s="16"/>
      <c r="H39" s="19" t="n">
        <f aca="false">LEN(IF(F39&lt;&gt;"",F39,D39))</f>
        <v>15</v>
      </c>
      <c r="I39" s="29" t="str">
        <f aca="false">IF(OR(H39&lt;1,H39&gt;400),"분량 확인","")</f>
        <v/>
      </c>
    </row>
    <row r="40" customFormat="false" ht="19.5" hidden="false" customHeight="true" outlineLevel="0" collapsed="false">
      <c r="A40" s="13" t="s">
        <v>2758</v>
      </c>
      <c r="B40" s="14" t="s">
        <v>2759</v>
      </c>
      <c r="C40" s="14" t="s">
        <v>2760</v>
      </c>
      <c r="D40" s="14" t="s">
        <v>2761</v>
      </c>
      <c r="E40" s="28" t="s">
        <v>19</v>
      </c>
      <c r="F40" s="16"/>
      <c r="G40" s="16"/>
      <c r="H40" s="19" t="n">
        <f aca="false">LEN(IF(F40&lt;&gt;"",F40,D40))</f>
        <v>23</v>
      </c>
      <c r="I40" s="29" t="str">
        <f aca="false">IF(OR(H40&lt;1,H40&gt;400),"분량 확인","")</f>
        <v/>
      </c>
    </row>
    <row r="41" customFormat="false" ht="33.75" hidden="false" customHeight="true" outlineLevel="0" collapsed="false">
      <c r="A41" s="13" t="s">
        <v>2762</v>
      </c>
      <c r="B41" s="14" t="s">
        <v>2759</v>
      </c>
      <c r="C41" s="14" t="s">
        <v>2763</v>
      </c>
      <c r="D41" s="15" t="s">
        <v>2764</v>
      </c>
      <c r="E41" s="28" t="s">
        <v>19</v>
      </c>
      <c r="F41" s="16"/>
      <c r="G41" s="16"/>
      <c r="H41" s="19" t="n">
        <f aca="false">LEN(IF(F41&lt;&gt;"",F41,D41))</f>
        <v>19</v>
      </c>
      <c r="I41" s="29" t="str">
        <f aca="false">IF(OR(H41&lt;1,H41&gt;400),"분량 확인","")</f>
        <v/>
      </c>
    </row>
    <row r="42" customFormat="false" ht="48" hidden="false" customHeight="true" outlineLevel="0" collapsed="false">
      <c r="A42" s="13" t="s">
        <v>2765</v>
      </c>
      <c r="B42" s="14" t="s">
        <v>2759</v>
      </c>
      <c r="C42" s="14" t="s">
        <v>2766</v>
      </c>
      <c r="D42" s="15" t="s">
        <v>2767</v>
      </c>
      <c r="E42" s="28" t="s">
        <v>19</v>
      </c>
      <c r="F42" s="16"/>
      <c r="G42" s="16"/>
      <c r="H42" s="19" t="n">
        <f aca="false">LEN(IF(F42&lt;&gt;"",F42,D42))</f>
        <v>62</v>
      </c>
      <c r="I42" s="29" t="str">
        <f aca="false">IF(OR(H42&lt;1,H42&gt;400),"분량 확인","")</f>
        <v/>
      </c>
    </row>
    <row r="43" customFormat="false" ht="33.75" hidden="false" customHeight="true" outlineLevel="0" collapsed="false">
      <c r="A43" s="13" t="s">
        <v>2768</v>
      </c>
      <c r="B43" s="14" t="s">
        <v>2759</v>
      </c>
      <c r="C43" s="14" t="s">
        <v>2769</v>
      </c>
      <c r="D43" s="15" t="s">
        <v>2770</v>
      </c>
      <c r="E43" s="28" t="s">
        <v>19</v>
      </c>
      <c r="F43" s="16"/>
      <c r="G43" s="16"/>
      <c r="H43" s="19" t="n">
        <f aca="false">LEN(IF(F43&lt;&gt;"",F43,D43))</f>
        <v>13</v>
      </c>
      <c r="I43" s="29" t="str">
        <f aca="false">IF(OR(H43&lt;1,H43&gt;400),"분량 확인","")</f>
        <v/>
      </c>
    </row>
    <row r="44" customFormat="false" ht="33.75" hidden="false" customHeight="true" outlineLevel="0" collapsed="false">
      <c r="A44" s="13" t="s">
        <v>2771</v>
      </c>
      <c r="B44" s="14" t="s">
        <v>2759</v>
      </c>
      <c r="C44" s="14" t="s">
        <v>2772</v>
      </c>
      <c r="D44" s="14" t="s">
        <v>2773</v>
      </c>
      <c r="E44" s="28" t="s">
        <v>19</v>
      </c>
      <c r="F44" s="16"/>
      <c r="G44" s="16"/>
      <c r="H44" s="19" t="n">
        <f aca="false">LEN(IF(F44&lt;&gt;"",F44,D44))</f>
        <v>17</v>
      </c>
      <c r="I44" s="29" t="str">
        <f aca="false">IF(OR(H44&lt;1,H44&gt;400),"분량 확인","")</f>
        <v/>
      </c>
    </row>
    <row r="45" customFormat="false" ht="19.5" hidden="false" customHeight="true" outlineLevel="0" collapsed="false">
      <c r="A45" s="13" t="s">
        <v>2774</v>
      </c>
      <c r="B45" s="14" t="s">
        <v>2759</v>
      </c>
      <c r="C45" s="14" t="s">
        <v>2775</v>
      </c>
      <c r="D45" s="15" t="s">
        <v>2776</v>
      </c>
      <c r="E45" s="28" t="s">
        <v>19</v>
      </c>
      <c r="F45" s="16"/>
      <c r="G45" s="16"/>
      <c r="H45" s="19" t="n">
        <f aca="false">LEN(IF(F45&lt;&gt;"",F45,D45))</f>
        <v>20</v>
      </c>
      <c r="I45" s="29" t="str">
        <f aca="false">IF(OR(H45&lt;1,H45&gt;400),"분량 확인","")</f>
        <v/>
      </c>
    </row>
    <row r="46" customFormat="false" ht="19.5" hidden="false" customHeight="true" outlineLevel="0" collapsed="false">
      <c r="A46" s="13" t="s">
        <v>2777</v>
      </c>
      <c r="B46" s="14" t="s">
        <v>2759</v>
      </c>
      <c r="C46" s="14" t="s">
        <v>2778</v>
      </c>
      <c r="D46" s="15" t="s">
        <v>2779</v>
      </c>
      <c r="E46" s="28" t="s">
        <v>19</v>
      </c>
      <c r="F46" s="16"/>
      <c r="G46" s="16"/>
      <c r="H46" s="19" t="n">
        <f aca="false">LEN(IF(F46&lt;&gt;"",F46,D46))</f>
        <v>9</v>
      </c>
      <c r="I46" s="29" t="str">
        <f aca="false">IF(OR(H46&lt;1,H46&gt;400),"분량 확인","")</f>
        <v/>
      </c>
    </row>
    <row r="47" customFormat="false" ht="19.5" hidden="false" customHeight="true" outlineLevel="0" collapsed="false">
      <c r="A47" s="13" t="s">
        <v>2780</v>
      </c>
      <c r="B47" s="14" t="s">
        <v>2759</v>
      </c>
      <c r="C47" s="14" t="s">
        <v>2781</v>
      </c>
      <c r="D47" s="15" t="s">
        <v>2782</v>
      </c>
      <c r="E47" s="28" t="s">
        <v>19</v>
      </c>
      <c r="F47" s="16"/>
      <c r="G47" s="16"/>
      <c r="H47" s="19" t="n">
        <f aca="false">LEN(IF(F47&lt;&gt;"",F47,D47))</f>
        <v>7</v>
      </c>
      <c r="I47" s="29" t="str">
        <f aca="false">IF(OR(H47&lt;1,H47&gt;400),"분량 확인","")</f>
        <v/>
      </c>
    </row>
    <row r="48" customFormat="false" ht="19.5" hidden="false" customHeight="true" outlineLevel="0" collapsed="false">
      <c r="A48" s="13" t="s">
        <v>2783</v>
      </c>
      <c r="B48" s="14" t="s">
        <v>2759</v>
      </c>
      <c r="C48" s="14" t="s">
        <v>2784</v>
      </c>
      <c r="D48" s="15" t="s">
        <v>2785</v>
      </c>
      <c r="E48" s="28" t="s">
        <v>19</v>
      </c>
      <c r="F48" s="16"/>
      <c r="G48" s="16"/>
      <c r="H48" s="19" t="n">
        <f aca="false">LEN(IF(F48&lt;&gt;"",F48,D48))</f>
        <v>15</v>
      </c>
      <c r="I48" s="29" t="str">
        <f aca="false">IF(OR(H48&lt;1,H48&gt;400),"분량 확인","")</f>
        <v/>
      </c>
    </row>
    <row r="49" customFormat="false" ht="19.5" hidden="false" customHeight="true" outlineLevel="0" collapsed="false">
      <c r="A49" s="13" t="s">
        <v>2786</v>
      </c>
      <c r="B49" s="15" t="s">
        <v>2787</v>
      </c>
      <c r="C49" s="14" t="s">
        <v>2654</v>
      </c>
      <c r="D49" s="14" t="s">
        <v>2788</v>
      </c>
      <c r="E49" s="28" t="s">
        <v>19</v>
      </c>
      <c r="F49" s="16"/>
      <c r="G49" s="16"/>
      <c r="H49" s="19" t="n">
        <f aca="false">LEN(IF(F49&lt;&gt;"",F49,D49))</f>
        <v>23</v>
      </c>
      <c r="I49" s="29" t="str">
        <f aca="false">IF(OR(H49&lt;1,H49&gt;400),"분량 확인","")</f>
        <v/>
      </c>
    </row>
    <row r="50" customFormat="false" ht="19.5" hidden="false" customHeight="true" outlineLevel="0" collapsed="false">
      <c r="A50" s="13" t="s">
        <v>2789</v>
      </c>
      <c r="B50" s="15" t="s">
        <v>2787</v>
      </c>
      <c r="C50" s="14" t="s">
        <v>2657</v>
      </c>
      <c r="D50" s="15" t="s">
        <v>2790</v>
      </c>
      <c r="E50" s="28" t="s">
        <v>19</v>
      </c>
      <c r="F50" s="16"/>
      <c r="G50" s="16"/>
      <c r="H50" s="19" t="n">
        <f aca="false">LEN(IF(F50&lt;&gt;"",F50,D50))</f>
        <v>14</v>
      </c>
      <c r="I50" s="29" t="str">
        <f aca="false">IF(OR(H50&lt;1,H50&gt;400),"분량 확인","")</f>
        <v/>
      </c>
    </row>
    <row r="51" customFormat="false" ht="19.5" hidden="false" customHeight="true" outlineLevel="0" collapsed="false">
      <c r="A51" s="13" t="s">
        <v>2791</v>
      </c>
      <c r="B51" s="15" t="s">
        <v>2787</v>
      </c>
      <c r="C51" s="14" t="s">
        <v>2649</v>
      </c>
      <c r="D51" s="15" t="s">
        <v>2792</v>
      </c>
      <c r="E51" s="28" t="s">
        <v>19</v>
      </c>
      <c r="F51" s="16"/>
      <c r="G51" s="16"/>
      <c r="H51" s="19" t="n">
        <f aca="false">LEN(IF(F51&lt;&gt;"",F51,D51))</f>
        <v>8</v>
      </c>
      <c r="I51" s="29" t="str">
        <f aca="false">IF(OR(H51&lt;1,H51&gt;400),"분량 확인","")</f>
        <v/>
      </c>
    </row>
    <row r="52" customFormat="false" ht="61.5" hidden="false" customHeight="true" outlineLevel="0" collapsed="false">
      <c r="A52" s="13" t="s">
        <v>2793</v>
      </c>
      <c r="B52" s="15" t="s">
        <v>2794</v>
      </c>
      <c r="C52" s="15" t="s">
        <v>2795</v>
      </c>
      <c r="D52" s="15" t="s">
        <v>2796</v>
      </c>
      <c r="E52" s="28" t="s">
        <v>19</v>
      </c>
      <c r="F52" s="16"/>
      <c r="G52" s="16"/>
      <c r="H52" s="19" t="n">
        <f aca="false">LEN(IF(F52&lt;&gt;"",F52,D52))</f>
        <v>105</v>
      </c>
      <c r="I52" s="29" t="str">
        <f aca="false">IF(OR(H52&lt;1,H52&gt;400),"분량 확인","")</f>
        <v/>
      </c>
    </row>
    <row r="53" customFormat="false" ht="19.5" hidden="false" customHeight="true" outlineLevel="0" collapsed="false">
      <c r="A53" s="13" t="s">
        <v>2797</v>
      </c>
      <c r="B53" s="15" t="s">
        <v>2798</v>
      </c>
      <c r="C53" s="14" t="s">
        <v>2799</v>
      </c>
      <c r="D53" s="15" t="s">
        <v>2800</v>
      </c>
      <c r="E53" s="28" t="s">
        <v>19</v>
      </c>
      <c r="F53" s="16"/>
      <c r="G53" s="16"/>
      <c r="H53" s="19" t="n">
        <f aca="false">LEN(IF(F53&lt;&gt;"",F53,D53))</f>
        <v>28</v>
      </c>
      <c r="I53" s="29" t="str">
        <f aca="false">IF(OR(H53&lt;1,H53&gt;400),"분량 확인","")</f>
        <v/>
      </c>
    </row>
    <row r="54" customFormat="false" ht="48" hidden="false" customHeight="true" outlineLevel="0" collapsed="false">
      <c r="A54" s="13" t="s">
        <v>2801</v>
      </c>
      <c r="B54" s="15" t="s">
        <v>2798</v>
      </c>
      <c r="C54" s="14" t="s">
        <v>2802</v>
      </c>
      <c r="D54" s="15" t="s">
        <v>2803</v>
      </c>
      <c r="E54" s="28" t="s">
        <v>19</v>
      </c>
      <c r="F54" s="16"/>
      <c r="G54" s="16"/>
      <c r="H54" s="19" t="n">
        <f aca="false">LEN(IF(F54&lt;&gt;"",F54,D54))</f>
        <v>71</v>
      </c>
      <c r="I54" s="29" t="str">
        <f aca="false">IF(OR(H54&lt;1,H54&gt;400),"분량 확인","")</f>
        <v/>
      </c>
    </row>
    <row r="55" customFormat="false" ht="33.75" hidden="false" customHeight="true" outlineLevel="0" collapsed="false">
      <c r="A55" s="13" t="s">
        <v>2804</v>
      </c>
      <c r="B55" s="15" t="s">
        <v>2798</v>
      </c>
      <c r="C55" s="14" t="s">
        <v>2805</v>
      </c>
      <c r="D55" s="15" t="s">
        <v>2806</v>
      </c>
      <c r="E55" s="28" t="s">
        <v>19</v>
      </c>
      <c r="F55" s="16"/>
      <c r="G55" s="16"/>
      <c r="H55" s="19" t="n">
        <f aca="false">LEN(IF(F55&lt;&gt;"",F55,D55))</f>
        <v>8</v>
      </c>
      <c r="I55" s="29" t="str">
        <f aca="false">IF(OR(H55&lt;1,H55&gt;400),"분량 확인","")</f>
        <v/>
      </c>
    </row>
    <row r="56" customFormat="false" ht="33.75" hidden="false" customHeight="true" outlineLevel="0" collapsed="false">
      <c r="A56" s="13" t="s">
        <v>179</v>
      </c>
      <c r="B56" s="15" t="s">
        <v>2798</v>
      </c>
      <c r="C56" s="14" t="s">
        <v>2807</v>
      </c>
      <c r="D56" s="14" t="s">
        <v>2808</v>
      </c>
      <c r="E56" s="28" t="s">
        <v>19</v>
      </c>
      <c r="F56" s="16"/>
      <c r="G56" s="17" t="s">
        <v>2809</v>
      </c>
      <c r="H56" s="19" t="n">
        <f aca="false">LEN(IF(F56&lt;&gt;"",F56,D56))</f>
        <v>3</v>
      </c>
      <c r="I56" s="29" t="str">
        <f aca="false">IF(OR(H56&lt;1,H56&gt;400),"분량 확인","")</f>
        <v/>
      </c>
    </row>
    <row r="57" customFormat="false" ht="33.75" hidden="false" customHeight="true" outlineLevel="0" collapsed="false">
      <c r="A57" s="13" t="s">
        <v>175</v>
      </c>
      <c r="B57" s="15" t="s">
        <v>2798</v>
      </c>
      <c r="C57" s="14" t="s">
        <v>2810</v>
      </c>
      <c r="D57" s="14" t="s">
        <v>178</v>
      </c>
      <c r="E57" s="28" t="s">
        <v>19</v>
      </c>
      <c r="F57" s="16"/>
      <c r="G57" s="17" t="s">
        <v>2811</v>
      </c>
      <c r="H57" s="19" t="n">
        <f aca="false">LEN(IF(F57&lt;&gt;"",F57,D57))</f>
        <v>4</v>
      </c>
      <c r="I57" s="29" t="str">
        <f aca="false">IF(OR(H57&lt;1,H57&gt;400),"분량 확인","")</f>
        <v/>
      </c>
    </row>
    <row r="58" customFormat="false" ht="33.75" hidden="false" customHeight="true" outlineLevel="0" collapsed="false">
      <c r="A58" s="13" t="s">
        <v>2812</v>
      </c>
      <c r="B58" s="15" t="s">
        <v>2798</v>
      </c>
      <c r="C58" s="14" t="s">
        <v>2813</v>
      </c>
      <c r="D58" s="15" t="s">
        <v>2814</v>
      </c>
      <c r="E58" s="28" t="s">
        <v>19</v>
      </c>
      <c r="F58" s="16"/>
      <c r="G58" s="16"/>
      <c r="H58" s="19" t="n">
        <f aca="false">LEN(IF(F58&lt;&gt;"",F58,D58))</f>
        <v>10</v>
      </c>
      <c r="I58" s="29" t="str">
        <f aca="false">IF(OR(H58&lt;1,H58&gt;400),"분량 확인","")</f>
        <v/>
      </c>
    </row>
    <row r="59" customFormat="false" ht="33.75" hidden="false" customHeight="true" outlineLevel="0" collapsed="false">
      <c r="A59" s="13" t="s">
        <v>2815</v>
      </c>
      <c r="B59" s="15" t="s">
        <v>2798</v>
      </c>
      <c r="C59" s="14" t="s">
        <v>2816</v>
      </c>
      <c r="D59" s="14" t="s">
        <v>2817</v>
      </c>
      <c r="E59" s="28" t="s">
        <v>19</v>
      </c>
      <c r="F59" s="16"/>
      <c r="G59" s="16"/>
      <c r="H59" s="19" t="n">
        <f aca="false">LEN(IF(F59&lt;&gt;"",F59,D59))</f>
        <v>9</v>
      </c>
      <c r="I59" s="29" t="str">
        <f aca="false">IF(OR(H59&lt;1,H59&gt;400),"분량 확인","")</f>
        <v/>
      </c>
    </row>
    <row r="60" customFormat="false" ht="33.75" hidden="false" customHeight="true" outlineLevel="0" collapsed="false">
      <c r="A60" s="13" t="s">
        <v>228</v>
      </c>
      <c r="B60" s="15" t="s">
        <v>2798</v>
      </c>
      <c r="C60" s="14" t="s">
        <v>2818</v>
      </c>
      <c r="D60" s="14" t="s">
        <v>178</v>
      </c>
      <c r="E60" s="28" t="s">
        <v>19</v>
      </c>
      <c r="F60" s="16"/>
      <c r="G60" s="17" t="s">
        <v>2819</v>
      </c>
      <c r="H60" s="19" t="n">
        <f aca="false">LEN(IF(F60&lt;&gt;"",F60,D60))</f>
        <v>4</v>
      </c>
      <c r="I60" s="29" t="str">
        <f aca="false">IF(OR(H60&lt;1,H60&gt;400),"분량 확인","")</f>
        <v/>
      </c>
    </row>
    <row r="61" customFormat="false" ht="33.75" hidden="false" customHeight="true" outlineLevel="0" collapsed="false">
      <c r="A61" s="13" t="s">
        <v>2820</v>
      </c>
      <c r="B61" s="15" t="s">
        <v>2798</v>
      </c>
      <c r="C61" s="14" t="s">
        <v>2821</v>
      </c>
      <c r="D61" s="15" t="s">
        <v>2822</v>
      </c>
      <c r="E61" s="28" t="s">
        <v>19</v>
      </c>
      <c r="F61" s="16"/>
      <c r="G61" s="16"/>
      <c r="H61" s="19" t="n">
        <f aca="false">LEN(IF(F61&lt;&gt;"",F61,D61))</f>
        <v>5</v>
      </c>
      <c r="I61" s="29" t="str">
        <f aca="false">IF(OR(H61&lt;1,H61&gt;400),"분량 확인","")</f>
        <v/>
      </c>
    </row>
    <row r="62" customFormat="false" ht="33.75" hidden="false" customHeight="true" outlineLevel="0" collapsed="false">
      <c r="A62" s="13" t="s">
        <v>2823</v>
      </c>
      <c r="B62" s="15" t="s">
        <v>2798</v>
      </c>
      <c r="C62" s="14" t="s">
        <v>2824</v>
      </c>
      <c r="D62" s="14" t="s">
        <v>2825</v>
      </c>
      <c r="E62" s="28" t="s">
        <v>19</v>
      </c>
      <c r="F62" s="16"/>
      <c r="G62" s="16"/>
      <c r="H62" s="19" t="n">
        <f aca="false">LEN(IF(F62&lt;&gt;"",F62,D62))</f>
        <v>9</v>
      </c>
      <c r="I62" s="29" t="str">
        <f aca="false">IF(OR(H62&lt;1,H62&gt;400),"분량 확인","")</f>
        <v/>
      </c>
    </row>
    <row r="63" customFormat="false" ht="19.5" hidden="false" customHeight="true" outlineLevel="0" collapsed="false">
      <c r="A63" s="13" t="s">
        <v>2826</v>
      </c>
      <c r="B63" s="15" t="s">
        <v>2798</v>
      </c>
      <c r="C63" s="14" t="s">
        <v>2827</v>
      </c>
      <c r="D63" s="15" t="s">
        <v>2828</v>
      </c>
      <c r="E63" s="28" t="s">
        <v>19</v>
      </c>
      <c r="F63" s="16"/>
      <c r="G63" s="16"/>
      <c r="H63" s="19" t="n">
        <f aca="false">LEN(IF(F63&lt;&gt;"",F63,D63))</f>
        <v>20</v>
      </c>
      <c r="I63" s="29" t="str">
        <f aca="false">IF(OR(H63&lt;1,H63&gt;400),"분량 확인","")</f>
        <v/>
      </c>
    </row>
    <row r="64" customFormat="false" ht="48" hidden="false" customHeight="true" outlineLevel="0" collapsed="false">
      <c r="A64" s="13" t="s">
        <v>539</v>
      </c>
      <c r="B64" s="15" t="s">
        <v>2798</v>
      </c>
      <c r="C64" s="14" t="s">
        <v>2829</v>
      </c>
      <c r="D64" s="15" t="s">
        <v>542</v>
      </c>
      <c r="E64" s="28" t="s">
        <v>19</v>
      </c>
      <c r="F64" s="16"/>
      <c r="G64" s="17" t="s">
        <v>2830</v>
      </c>
      <c r="H64" s="19" t="n">
        <f aca="false">LEN(IF(F64&lt;&gt;"",F64,D64))</f>
        <v>62</v>
      </c>
      <c r="I64" s="29" t="str">
        <f aca="false">IF(OR(H64&lt;1,H64&gt;400),"분량 확인","")</f>
        <v/>
      </c>
    </row>
    <row r="65" customFormat="false" ht="61.5" hidden="false" customHeight="true" outlineLevel="0" collapsed="false">
      <c r="A65" s="13" t="s">
        <v>182</v>
      </c>
      <c r="B65" s="15" t="s">
        <v>2798</v>
      </c>
      <c r="C65" s="14" t="s">
        <v>2831</v>
      </c>
      <c r="D65" s="15" t="s">
        <v>185</v>
      </c>
      <c r="E65" s="28" t="s">
        <v>19</v>
      </c>
      <c r="F65" s="16"/>
      <c r="G65" s="17" t="s">
        <v>2832</v>
      </c>
      <c r="H65" s="19" t="n">
        <f aca="false">LEN(IF(F65&lt;&gt;"",F65,D65))</f>
        <v>94</v>
      </c>
      <c r="I65" s="29" t="str">
        <f aca="false">IF(OR(H65&lt;1,H65&gt;400),"분량 확인","")</f>
        <v/>
      </c>
    </row>
    <row r="66" customFormat="false" ht="19.5" hidden="false" customHeight="true" outlineLevel="0" collapsed="false">
      <c r="A66" s="13" t="s">
        <v>2833</v>
      </c>
      <c r="B66" s="15" t="s">
        <v>2834</v>
      </c>
      <c r="C66" s="14" t="s">
        <v>2654</v>
      </c>
      <c r="D66" s="15" t="s">
        <v>2835</v>
      </c>
      <c r="E66" s="28" t="s">
        <v>19</v>
      </c>
      <c r="F66" s="16"/>
      <c r="G66" s="16"/>
      <c r="H66" s="19" t="n">
        <f aca="false">LEN(IF(F66&lt;&gt;"",F66,D66))</f>
        <v>14</v>
      </c>
      <c r="I66" s="29" t="str">
        <f aca="false">IF(OR(H66&lt;1,H66&gt;400),"분량 확인","")</f>
        <v/>
      </c>
    </row>
    <row r="67" customFormat="false" ht="75.75" hidden="false" customHeight="true" outlineLevel="0" collapsed="false">
      <c r="A67" s="13" t="s">
        <v>530</v>
      </c>
      <c r="B67" s="15" t="s">
        <v>2834</v>
      </c>
      <c r="C67" s="14" t="s">
        <v>2679</v>
      </c>
      <c r="D67" s="15" t="s">
        <v>2836</v>
      </c>
      <c r="E67" s="28" t="s">
        <v>19</v>
      </c>
      <c r="F67" s="16"/>
      <c r="G67" s="17" t="s">
        <v>2837</v>
      </c>
      <c r="H67" s="19" t="n">
        <f aca="false">LEN(IF(F67&lt;&gt;"",F67,D67))</f>
        <v>139</v>
      </c>
      <c r="I67" s="29" t="str">
        <f aca="false">IF(OR(H67&lt;1,H67&gt;400),"분량 확인","")</f>
        <v/>
      </c>
    </row>
    <row r="68" customFormat="false" ht="19.5" hidden="false" customHeight="true" outlineLevel="0" collapsed="false">
      <c r="A68" s="13" t="s">
        <v>2838</v>
      </c>
      <c r="B68" s="15" t="s">
        <v>2834</v>
      </c>
      <c r="C68" s="14" t="s">
        <v>2649</v>
      </c>
      <c r="D68" s="15" t="s">
        <v>2839</v>
      </c>
      <c r="E68" s="28" t="s">
        <v>19</v>
      </c>
      <c r="F68" s="16"/>
      <c r="G68" s="16"/>
      <c r="H68" s="19" t="n">
        <f aca="false">LEN(IF(F68&lt;&gt;"",F68,D68))</f>
        <v>15</v>
      </c>
      <c r="I68" s="29" t="str">
        <f aca="false">IF(OR(H68&lt;1,H68&gt;400),"분량 확인","")</f>
        <v/>
      </c>
    </row>
    <row r="69" customFormat="false" ht="33.75" hidden="false" customHeight="true" outlineLevel="0" collapsed="false">
      <c r="A69" s="13" t="s">
        <v>2840</v>
      </c>
      <c r="B69" s="15" t="s">
        <v>2841</v>
      </c>
      <c r="C69" s="14" t="s">
        <v>2842</v>
      </c>
      <c r="D69" s="15" t="s">
        <v>2843</v>
      </c>
      <c r="E69" s="28" t="s">
        <v>19</v>
      </c>
      <c r="F69" s="16"/>
      <c r="G69" s="16"/>
      <c r="H69" s="19" t="n">
        <f aca="false">LEN(IF(F69&lt;&gt;"",F69,D69))</f>
        <v>11</v>
      </c>
      <c r="I69" s="29" t="str">
        <f aca="false">IF(OR(H69&lt;1,H69&gt;400),"분량 확인","")</f>
        <v/>
      </c>
    </row>
    <row r="70" customFormat="false" ht="33.75" hidden="false" customHeight="true" outlineLevel="0" collapsed="false">
      <c r="A70" s="13" t="s">
        <v>2844</v>
      </c>
      <c r="B70" s="15" t="s">
        <v>2841</v>
      </c>
      <c r="C70" s="14" t="s">
        <v>2845</v>
      </c>
      <c r="D70" s="15" t="s">
        <v>2846</v>
      </c>
      <c r="E70" s="28" t="s">
        <v>19</v>
      </c>
      <c r="F70" s="16"/>
      <c r="G70" s="16"/>
      <c r="H70" s="19" t="n">
        <f aca="false">LEN(IF(F70&lt;&gt;"",F70,D70))</f>
        <v>16</v>
      </c>
      <c r="I70" s="29" t="str">
        <f aca="false">IF(OR(H70&lt;1,H70&gt;400),"분량 확인","")</f>
        <v/>
      </c>
    </row>
    <row r="71" customFormat="false" ht="33.75" hidden="false" customHeight="true" outlineLevel="0" collapsed="false">
      <c r="A71" s="13" t="s">
        <v>2847</v>
      </c>
      <c r="B71" s="15" t="s">
        <v>2841</v>
      </c>
      <c r="C71" s="14" t="s">
        <v>2848</v>
      </c>
      <c r="D71" s="15" t="s">
        <v>2849</v>
      </c>
      <c r="E71" s="28" t="s">
        <v>19</v>
      </c>
      <c r="F71" s="16"/>
      <c r="G71" s="16"/>
      <c r="H71" s="19" t="n">
        <f aca="false">LEN(IF(F71&lt;&gt;"",F71,D71))</f>
        <v>17</v>
      </c>
      <c r="I71" s="29" t="str">
        <f aca="false">IF(OR(H71&lt;1,H71&gt;400),"분량 확인","")</f>
        <v/>
      </c>
    </row>
    <row r="72" customFormat="false" ht="19.5" hidden="false" customHeight="true" outlineLevel="0" collapsed="false">
      <c r="A72" s="13" t="s">
        <v>2850</v>
      </c>
      <c r="B72" s="15" t="s">
        <v>2851</v>
      </c>
      <c r="C72" s="14" t="s">
        <v>2852</v>
      </c>
      <c r="D72" s="15" t="s">
        <v>2853</v>
      </c>
      <c r="E72" s="28" t="s">
        <v>19</v>
      </c>
      <c r="F72" s="16"/>
      <c r="G72" s="16"/>
      <c r="H72" s="19" t="n">
        <f aca="false">LEN(IF(F72&lt;&gt;"",F72,D72))</f>
        <v>18</v>
      </c>
      <c r="I72" s="29" t="str">
        <f aca="false">IF(OR(H72&lt;1,H72&gt;400),"분량 확인","")</f>
        <v/>
      </c>
    </row>
  </sheetData>
  <autoFilter ref="A1:I72"/>
  <conditionalFormatting sqref="E2:E72">
    <cfRule type="cellIs" priority="2" operator="equal" aboveAverage="0" equalAverage="0" bottom="0" percent="0" rank="0" text="" dxfId="5">
      <formula>"확정"</formula>
    </cfRule>
    <cfRule type="cellIs" priority="3" operator="equal" aboveAverage="0" equalAverage="0" bottom="0" percent="0" rank="0" text="" dxfId="6">
      <formula>"수정요청"</formula>
    </cfRule>
    <cfRule type="cellIs" priority="4" operator="equal" aboveAverage="0" equalAverage="0" bottom="0" percent="0" rank="0" text="" dxfId="7">
      <formula>"검수중"</formula>
    </cfRule>
    <cfRule type="cellIs" priority="5" operator="equal" aboveAverage="0" equalAverage="0" bottom="0" percent="0" rank="0" text="" dxfId="8">
      <formula>"삭제"</formula>
    </cfRule>
  </conditionalFormatting>
  <conditionalFormatting sqref="I2:I72">
    <cfRule type="expression" priority="6" aboveAverage="0" equalAverage="0" bottom="0" percent="0" rank="0" text="" dxfId="9">
      <formula>I2="분량 확인"</formula>
    </cfRule>
  </conditionalFormatting>
  <dataValidations count="1">
    <dataValidation allowBlank="false" error="초안 · 검수중 · 수정요청 · 확정 · 삭제 중에서 골라 주세요." errorStyle="stop" errorTitle="상태" operator="between" showDropDown="false" showErrorMessage="false" showInputMessage="false" sqref="E2:E72" type="list">
      <formula1>"초안,검수중,수정요청,확정,삭제"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2026-10-07T09:59:39Z</dcterms:created>
  <dc:creator>openpyxl</dc:creator>
  <dc:description/>
  <dc:language>en-US</dc:language>
  <cp:lastModifiedBy/>
  <dcterms:modified xsi:type="dcterms:W3CDTF">2026-10-07T09:59:40Z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